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0" windowWidth="17100" windowHeight="781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32" i="1"/>
  <c r="A31"/>
  <c r="A30"/>
  <c r="A29"/>
  <c r="A27"/>
  <c r="A26"/>
  <c r="A2" a="1"/>
  <c r="F1" a="1"/>
  <c r="F2" a="1"/>
  <c r="A28"/>
  <c r="K3" l="1"/>
  <c r="I5"/>
  <c r="G7"/>
  <c r="N8"/>
  <c r="L10"/>
  <c r="J12"/>
  <c r="H14"/>
  <c r="F16"/>
  <c r="M17"/>
  <c r="F20"/>
  <c r="K2"/>
  <c r="I4"/>
  <c r="G6"/>
  <c r="N7"/>
  <c r="L9"/>
  <c r="J11"/>
  <c r="H13"/>
  <c r="F15"/>
  <c r="M16"/>
  <c r="K18"/>
  <c r="I20"/>
  <c r="F2"/>
  <c r="M3"/>
  <c r="K5"/>
  <c r="I7"/>
  <c r="G9"/>
  <c r="N10"/>
  <c r="L12"/>
  <c r="J14"/>
  <c r="H16"/>
  <c r="F18"/>
  <c r="M19"/>
  <c r="K21"/>
  <c r="L3"/>
  <c r="J5"/>
  <c r="H7"/>
  <c r="F9"/>
  <c r="M10"/>
  <c r="K12"/>
  <c r="I14"/>
  <c r="G16"/>
  <c r="N17"/>
  <c r="L19"/>
  <c r="J21"/>
  <c r="M21"/>
  <c r="G3"/>
  <c r="N4"/>
  <c r="L6"/>
  <c r="J8"/>
  <c r="H10"/>
  <c r="F12"/>
  <c r="M13"/>
  <c r="K15"/>
  <c r="I17"/>
  <c r="G19"/>
  <c r="G2"/>
  <c r="N3"/>
  <c r="L5"/>
  <c r="J7"/>
  <c r="H9"/>
  <c r="F11"/>
  <c r="M12"/>
  <c r="K14"/>
  <c r="I16"/>
  <c r="G18"/>
  <c r="N19"/>
  <c r="L21"/>
  <c r="I3"/>
  <c r="G5"/>
  <c r="N6"/>
  <c r="L8"/>
  <c r="J10"/>
  <c r="H12"/>
  <c r="F14"/>
  <c r="M15"/>
  <c r="K17"/>
  <c r="I19"/>
  <c r="G21"/>
  <c r="H3"/>
  <c r="F5"/>
  <c r="M6"/>
  <c r="K8"/>
  <c r="I10"/>
  <c r="G12"/>
  <c r="N13"/>
  <c r="L15"/>
  <c r="J17"/>
  <c r="H19"/>
  <c r="F21"/>
  <c r="N20"/>
  <c r="L2"/>
  <c r="J4"/>
  <c r="H6"/>
  <c r="F8"/>
  <c r="M9"/>
  <c r="K11"/>
  <c r="I13"/>
  <c r="G15"/>
  <c r="N16"/>
  <c r="L18"/>
  <c r="I21"/>
  <c r="J3"/>
  <c r="H5"/>
  <c r="F7"/>
  <c r="M8"/>
  <c r="K10"/>
  <c r="I12"/>
  <c r="G14"/>
  <c r="N15"/>
  <c r="L17"/>
  <c r="J19"/>
  <c r="H21"/>
  <c r="N2"/>
  <c r="L4"/>
  <c r="J6"/>
  <c r="H8"/>
  <c r="F10"/>
  <c r="M11"/>
  <c r="K13"/>
  <c r="I15"/>
  <c r="G17"/>
  <c r="N18"/>
  <c r="L20"/>
  <c r="M2"/>
  <c r="K4"/>
  <c r="I6"/>
  <c r="G8"/>
  <c r="N9"/>
  <c r="L11"/>
  <c r="J13"/>
  <c r="H15"/>
  <c r="F17"/>
  <c r="M18"/>
  <c r="K20"/>
  <c r="K19"/>
  <c r="H2"/>
  <c r="F4"/>
  <c r="M5"/>
  <c r="K7"/>
  <c r="I9"/>
  <c r="G11"/>
  <c r="N12"/>
  <c r="L14"/>
  <c r="J16"/>
  <c r="H18"/>
  <c r="J20"/>
  <c r="F3"/>
  <c r="M4"/>
  <c r="K6"/>
  <c r="I8"/>
  <c r="G10"/>
  <c r="N11"/>
  <c r="L13"/>
  <c r="J15"/>
  <c r="H17"/>
  <c r="F19"/>
  <c r="M20"/>
  <c r="J2"/>
  <c r="H4"/>
  <c r="F6"/>
  <c r="M7"/>
  <c r="K9"/>
  <c r="I11"/>
  <c r="G13"/>
  <c r="N14"/>
  <c r="L16"/>
  <c r="J18"/>
  <c r="H20"/>
  <c r="I2"/>
  <c r="G4"/>
  <c r="N5"/>
  <c r="L7"/>
  <c r="J9"/>
  <c r="H11"/>
  <c r="F13"/>
  <c r="M14"/>
  <c r="K16"/>
  <c r="I18"/>
  <c r="G20"/>
  <c r="N21"/>
  <c r="L1"/>
  <c r="J1"/>
  <c r="H1"/>
  <c r="F1"/>
  <c r="M1"/>
  <c r="K1"/>
  <c r="I1"/>
  <c r="G1"/>
  <c r="N1"/>
  <c r="A5"/>
  <c r="B16"/>
  <c r="B21"/>
  <c r="B15"/>
  <c r="B6"/>
  <c r="A18"/>
  <c r="B3"/>
  <c r="A15"/>
  <c r="A6"/>
  <c r="B12"/>
  <c r="B17"/>
  <c r="B8"/>
  <c r="A20"/>
  <c r="B7"/>
  <c r="A19"/>
  <c r="A10"/>
  <c r="A8"/>
  <c r="A7"/>
  <c r="B18"/>
  <c r="A9"/>
  <c r="B9"/>
  <c r="A21"/>
  <c r="B25" s="1"/>
  <c r="A12"/>
  <c r="B20"/>
  <c r="A11"/>
  <c r="A2"/>
  <c r="B4"/>
  <c r="B19"/>
  <c r="B10"/>
  <c r="B5"/>
  <c r="A13"/>
  <c r="A4"/>
  <c r="A17"/>
  <c r="A3"/>
  <c r="B14"/>
  <c r="B13"/>
  <c r="B11"/>
  <c r="B2"/>
  <c r="A14"/>
  <c r="A16"/>
  <c r="A25"/>
</calcChain>
</file>

<file path=xl/sharedStrings.xml><?xml version="1.0" encoding="utf-8"?>
<sst xmlns="http://schemas.openxmlformats.org/spreadsheetml/2006/main" count="22" uniqueCount="22">
  <si>
    <t>Miley Cyrus</t>
  </si>
  <si>
    <t>lookup call sign</t>
  </si>
  <si>
    <t>how many countries so we know the currency for</t>
  </si>
  <si>
    <t>how many unique currencies are there</t>
  </si>
  <si>
    <t>how many times  in chart</t>
  </si>
  <si>
    <t>whats at this position in the chart</t>
  </si>
  <si>
    <t>which artist is 2nd bottom of the chart</t>
  </si>
  <si>
    <t>whats the exchange rate for this currency</t>
  </si>
  <si>
    <t>SGD</t>
  </si>
  <si>
    <t>how many currencies are non-icc</t>
  </si>
  <si>
    <t>=blisterLookup("blister.airlines",B25,"carrier","name")</t>
  </si>
  <si>
    <t>=COUNTA(blisterList("blister.currencies"))</t>
  </si>
  <si>
    <t>=COUNTA(blisterUnique("blister.currencies","ISO"))</t>
  </si>
  <si>
    <t>=COUNTA(blisterMatch("blister.billboardhot100",B28,"artist",,,100))</t>
  </si>
  <si>
    <t>=blisterIndex("blister.billboardhot100",B29,"title","sequence")</t>
  </si>
  <si>
    <t>=blisterIndex("blister.billboardhot100",2,"artist","sequence",TRUE)</t>
  </si>
  <si>
    <t>=blisterLookup("blister.currencies",B31,"ISO","USDrate")</t>
  </si>
  <si>
    <t>=COUNTA(blisterList("blister.currencies","ISO",,,,"USDrate","non-icc"))</t>
  </si>
  <si>
    <t>parameter</t>
  </si>
  <si>
    <t>formula</t>
  </si>
  <si>
    <t>result</t>
  </si>
  <si>
    <t>description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</si>
</sst>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2"/>
  <sheetViews>
    <sheetView tabSelected="1" workbookViewId="0">
      <selection activeCell="C13" sqref="C13"/>
    </sheetView>
  </sheetViews>
  <sheetFormatPr defaultRowHeight="15"/>
  <cols>
    <col min="1" max="1" width="17.28515625" customWidth="1"/>
    <col min="2" max="2" width="13.28515625" customWidth="1"/>
    <col min="3" max="3" width="65.5703125" customWidth="1"/>
    <col min="9" max="9" width="16.85546875" customWidth="1"/>
    <col min="14" max="14" width="13.42578125" customWidth="1"/>
  </cols>
  <sheetData>
    <row r="1" spans="1:14">
      <c r="F1" s="1" t="str">
        <f t="array" ref="F1:N1">blisterHeaders("blister.billboardhot100")</f>
        <v>sequence</v>
      </c>
      <c r="G1" s="1" t="str">
        <v>title</v>
      </c>
      <c r="H1" s="1" t="str">
        <v>link</v>
      </c>
      <c r="I1" s="1" t="str">
        <v>artist</v>
      </c>
      <c r="J1" s="1" t="str">
        <v>chart_item_title</v>
      </c>
      <c r="K1" s="1" t="str">
        <v>rank_this_week</v>
      </c>
      <c r="L1" s="1" t="str">
        <v>rank_last_week</v>
      </c>
      <c r="M1" s="1" t="str">
        <v>description</v>
      </c>
      <c r="N1" s="1" t="str">
        <v>category</v>
      </c>
    </row>
    <row r="2" spans="1:14">
      <c r="A2" t="str">
        <f t="array" ref="A2:B21">blisterData("blister.airlines")</f>
        <v>2F</v>
      </c>
      <c r="B2" t="str">
        <v>Frontier Flying Service</v>
      </c>
      <c r="F2">
        <f t="array" ref="F2:N21">blisterData("blister.billboardhot100")</f>
        <v>1</v>
      </c>
      <c r="G2" t="str">
        <v>1: Wrecking Ball</v>
      </c>
      <c r="H2" t="str">
        <v>http://www.billboard.com/charts/hot-100</v>
      </c>
      <c r="I2" t="str">
        <v>Miley Cyrus</v>
      </c>
      <c r="J2" t="str">
        <v>Wrecking Ball</v>
      </c>
      <c r="K2" t="str">
        <v>1</v>
      </c>
      <c r="L2" t="str">
        <v>1</v>
      </c>
      <c r="M2" t="str">
        <v>Wrecking Ball by Miley Cyrus ranks #1</v>
      </c>
      <c r="N2" t="str">
        <v>The Hot 100</v>
      </c>
    </row>
    <row r="3" spans="1:14">
      <c r="A3" t="str">
        <v>2J</v>
      </c>
      <c r="B3" t="str">
        <v>Air Burkina</v>
      </c>
      <c r="F3">
        <v>2</v>
      </c>
      <c r="G3" t="str">
        <v>2: Roar</v>
      </c>
      <c r="H3" t="str">
        <v>http://www.billboard.com/charts/hot-100</v>
      </c>
      <c r="I3" t="str">
        <v>Katy Perry</v>
      </c>
      <c r="J3" t="str">
        <v>Roar</v>
      </c>
      <c r="K3" t="str">
        <v>2</v>
      </c>
      <c r="L3" t="str">
        <v>2</v>
      </c>
      <c r="M3" t="str">
        <v>Roar by Katy Perry ranks #2</v>
      </c>
      <c r="N3" t="str">
        <v>The Hot 100</v>
      </c>
    </row>
    <row r="4" spans="1:14">
      <c r="A4" t="str">
        <v>2N</v>
      </c>
      <c r="B4" t="str">
        <v>Nextjet</v>
      </c>
      <c r="F4">
        <v>3</v>
      </c>
      <c r="G4" t="str">
        <v>3: Royals</v>
      </c>
      <c r="H4" t="str">
        <v>http://www.billboard.com/charts/hot-100</v>
      </c>
      <c r="I4" t="str">
        <v>Lorde</v>
      </c>
      <c r="J4" t="str">
        <v>Royals</v>
      </c>
      <c r="K4" t="str">
        <v>3</v>
      </c>
      <c r="L4" t="str">
        <v>3</v>
      </c>
      <c r="M4" t="str">
        <v>Royals by Lorde ranks #3</v>
      </c>
      <c r="N4" t="str">
        <v>The Hot 100</v>
      </c>
    </row>
    <row r="5" spans="1:14">
      <c r="A5" t="str">
        <v>3M</v>
      </c>
      <c r="B5" t="str">
        <v>Silver Airways</v>
      </c>
      <c r="F5">
        <v>4</v>
      </c>
      <c r="G5" t="str">
        <v>4: Wake Me Up!</v>
      </c>
      <c r="H5" t="str">
        <v>http://www.billboard.com/charts/hot-100</v>
      </c>
      <c r="I5" t="str">
        <v>Avicii</v>
      </c>
      <c r="J5" t="str">
        <v>Wake Me Up!</v>
      </c>
      <c r="K5" t="str">
        <v>4</v>
      </c>
      <c r="L5" t="str">
        <v>5</v>
      </c>
      <c r="M5" t="str">
        <v>Wake Me Up! by Avicii ranks #4</v>
      </c>
      <c r="N5" t="str">
        <v>The Hot 100</v>
      </c>
    </row>
    <row r="6" spans="1:14">
      <c r="A6" t="str">
        <v>3X</v>
      </c>
      <c r="B6" t="str">
        <v>Japan Air Commuter</v>
      </c>
      <c r="F6">
        <v>5</v>
      </c>
      <c r="G6" t="str">
        <v>5: Blurred Lines</v>
      </c>
      <c r="H6" t="str">
        <v>http://www.billboard.com/charts/hot-100</v>
      </c>
      <c r="I6" t="str">
        <v>Robin Thicke Featuring T.I. + Pharrell</v>
      </c>
      <c r="J6" t="str">
        <v>Blurred Lines</v>
      </c>
      <c r="K6" t="str">
        <v>5</v>
      </c>
      <c r="L6" t="str">
        <v>4</v>
      </c>
      <c r="M6" t="str">
        <v>Blurred Lines by Robin Thicke Featuring T.I. + Pharrell ranks #5</v>
      </c>
      <c r="N6" t="str">
        <v>The Hot 100</v>
      </c>
    </row>
    <row r="7" spans="1:14">
      <c r="A7" t="str">
        <v>4Z</v>
      </c>
      <c r="B7" t="str">
        <v>Airlink</v>
      </c>
      <c r="F7">
        <v>6</v>
      </c>
      <c r="G7" t="str">
        <v>6: Holy Grail</v>
      </c>
      <c r="H7" t="str">
        <v>http://www.billboard.com/charts/hot-100</v>
      </c>
      <c r="I7" t="str">
        <v>Jay Z Featuring Justin Timberlake</v>
      </c>
      <c r="J7" t="str">
        <v>Holy Grail</v>
      </c>
      <c r="K7" t="str">
        <v>6</v>
      </c>
      <c r="L7" t="str">
        <v>6</v>
      </c>
      <c r="M7" t="str">
        <v>Holy Grail by Jay Z Featuring Justin Timberlake ranks #6</v>
      </c>
      <c r="N7" t="str">
        <v>The Hot 100</v>
      </c>
    </row>
    <row r="8" spans="1:14">
      <c r="A8" t="str">
        <v>5T</v>
      </c>
      <c r="B8" t="str">
        <v>Canadian North</v>
      </c>
      <c r="F8">
        <v>7</v>
      </c>
      <c r="G8" t="str">
        <v>7: Hold On, We're Going Home</v>
      </c>
      <c r="H8" t="str">
        <v>http://www.billboard.com/charts/hot-100</v>
      </c>
      <c r="I8" t="str">
        <v>Drake Featuring Majid Jordan</v>
      </c>
      <c r="J8" t="str">
        <v>Hold On, We're Going Home</v>
      </c>
      <c r="K8" t="str">
        <v>7</v>
      </c>
      <c r="L8" t="str">
        <v>9</v>
      </c>
      <c r="M8" t="str">
        <v>Hold On, We're Going Home by Drake Featuring Majid Jordan ranks #7</v>
      </c>
      <c r="N8" t="str">
        <v>The Hot 100</v>
      </c>
    </row>
    <row r="9" spans="1:14">
      <c r="A9" t="str">
        <v>6E</v>
      </c>
      <c r="B9" t="str">
        <v>Indigo</v>
      </c>
      <c r="F9">
        <v>8</v>
      </c>
      <c r="G9" t="str">
        <v>8: Applause</v>
      </c>
      <c r="H9" t="str">
        <v>http://www.billboard.com/charts/hot-100</v>
      </c>
      <c r="I9" t="str">
        <v>Lady Gaga</v>
      </c>
      <c r="J9" t="str">
        <v>Applause</v>
      </c>
      <c r="K9" t="str">
        <v>8</v>
      </c>
      <c r="L9" t="str">
        <v>7</v>
      </c>
      <c r="M9" t="str">
        <v>Applause by Lady Gaga ranks #8</v>
      </c>
      <c r="N9" t="str">
        <v>The Hot 100</v>
      </c>
    </row>
    <row r="10" spans="1:14">
      <c r="A10" t="str">
        <v>7D</v>
      </c>
      <c r="B10" t="str">
        <v>DonbassAero</v>
      </c>
      <c r="F10">
        <v>9</v>
      </c>
      <c r="G10" t="str">
        <v>9: Summertime Sadness</v>
      </c>
      <c r="H10" t="str">
        <v>http://www.billboard.com/charts/hot-100</v>
      </c>
      <c r="I10" t="str">
        <v>Lana Del Rey &amp; Cedric Gervais</v>
      </c>
      <c r="J10" t="str">
        <v>Summertime Sadness</v>
      </c>
      <c r="K10" t="str">
        <v>9</v>
      </c>
      <c r="L10" t="str">
        <v>10</v>
      </c>
      <c r="M10" t="str">
        <v>Summertime Sadness by Lana Del Rey &amp; Cedric Gervais ranks #9</v>
      </c>
      <c r="N10" t="str">
        <v>The Hot 100</v>
      </c>
    </row>
    <row r="11" spans="1:14">
      <c r="A11" t="str">
        <v>7F</v>
      </c>
      <c r="B11" t="str">
        <v>FirstAir</v>
      </c>
      <c r="F11">
        <v>10</v>
      </c>
      <c r="G11" t="str">
        <v>10: Safe And Sound</v>
      </c>
      <c r="H11" t="str">
        <v>http://www.billboard.com/charts/hot-100</v>
      </c>
      <c r="I11" t="str">
        <v>Capital Cities</v>
      </c>
      <c r="J11" t="str">
        <v>Safe And Sound</v>
      </c>
      <c r="K11" t="str">
        <v>10</v>
      </c>
      <c r="L11" t="str">
        <v>12</v>
      </c>
      <c r="M11" t="str">
        <v>Safe And Sound by Capital Cities ranks #10</v>
      </c>
      <c r="N11" t="str">
        <v>The Hot 100</v>
      </c>
    </row>
    <row r="12" spans="1:14">
      <c r="A12" t="str">
        <v>8P</v>
      </c>
      <c r="B12" t="str">
        <v>Pacific Coast Airlines</v>
      </c>
      <c r="F12">
        <v>11</v>
      </c>
      <c r="G12" t="str">
        <v>11: Berzerk</v>
      </c>
      <c r="H12" t="str">
        <v>http://www.billboard.com/charts/hot-100</v>
      </c>
      <c r="I12" t="str">
        <v>Eminem</v>
      </c>
      <c r="J12" t="str">
        <v>Berzerk</v>
      </c>
      <c r="K12" t="str">
        <v>11</v>
      </c>
      <c r="L12" t="str">
        <v>8</v>
      </c>
      <c r="M12" t="str">
        <v>Berzerk by Eminem ranks #11</v>
      </c>
      <c r="N12" t="str">
        <v>The Hot 100</v>
      </c>
    </row>
    <row r="13" spans="1:14">
      <c r="A13" t="str">
        <v>8T</v>
      </c>
      <c r="B13" t="str">
        <v>Air Tindi</v>
      </c>
      <c r="F13">
        <v>12</v>
      </c>
      <c r="G13" t="str">
        <v>12: Work B**ch!</v>
      </c>
      <c r="H13" t="str">
        <v>http://www.billboard.com/charts/hot-100</v>
      </c>
      <c r="I13" t="str">
        <v>Britney Spears</v>
      </c>
      <c r="J13" t="str">
        <v>Work B**ch!</v>
      </c>
      <c r="K13" t="str">
        <v>12</v>
      </c>
      <c r="L13" t="str">
        <v>0</v>
      </c>
      <c r="M13" t="str">
        <v>Work B**ch! by Britney Spears ranks #12</v>
      </c>
      <c r="N13" t="str">
        <v>The Hot 100</v>
      </c>
    </row>
    <row r="14" spans="1:14">
      <c r="A14" t="str">
        <v>9H</v>
      </c>
      <c r="B14" t="str">
        <v>Dutch Antilles Express</v>
      </c>
      <c r="F14">
        <v>13</v>
      </c>
      <c r="G14" t="str">
        <v>13: The Fox</v>
      </c>
      <c r="H14" t="str">
        <v>http://www.billboard.com/charts/hot-100</v>
      </c>
      <c r="I14" t="str">
        <v>Ylvis</v>
      </c>
      <c r="J14" t="str">
        <v>The Fox</v>
      </c>
      <c r="K14" t="str">
        <v>13</v>
      </c>
      <c r="L14" t="str">
        <v>25</v>
      </c>
      <c r="M14" t="str">
        <v>The Fox by Ylvis ranks #13</v>
      </c>
      <c r="N14" t="str">
        <v>The Hot 100</v>
      </c>
    </row>
    <row r="15" spans="1:14">
      <c r="A15" t="str">
        <v>9K</v>
      </c>
      <c r="B15" t="str">
        <v>Cape Air</v>
      </c>
      <c r="F15">
        <v>14</v>
      </c>
      <c r="G15" t="str">
        <v>14: Radioactive</v>
      </c>
      <c r="H15" t="str">
        <v>http://www.billboard.com/charts/hot-100</v>
      </c>
      <c r="I15" t="str">
        <v>Imagine Dragons</v>
      </c>
      <c r="J15" t="str">
        <v>Radioactive</v>
      </c>
      <c r="K15" t="str">
        <v>14</v>
      </c>
      <c r="L15" t="str">
        <v>13</v>
      </c>
      <c r="M15" t="str">
        <v>Radioactive by Imagine Dragons ranks #14</v>
      </c>
      <c r="N15" t="str">
        <v>The Hot 100</v>
      </c>
    </row>
    <row r="16" spans="1:14">
      <c r="A16" t="str">
        <v>9K</v>
      </c>
      <c r="B16" t="str">
        <v>Nantucket Airlines</v>
      </c>
      <c r="F16">
        <v>15</v>
      </c>
      <c r="G16" t="str">
        <v>15: We Can't Stop</v>
      </c>
      <c r="H16" t="str">
        <v>http://www.billboard.com/charts/hot-100</v>
      </c>
      <c r="I16" t="str">
        <v>Miley Cyrus</v>
      </c>
      <c r="J16" t="str">
        <v>We Can't Stop</v>
      </c>
      <c r="K16" t="str">
        <v>15</v>
      </c>
      <c r="L16" t="str">
        <v>11</v>
      </c>
      <c r="M16" t="str">
        <v>We Can't Stop by Miley Cyrus ranks #15</v>
      </c>
      <c r="N16" t="str">
        <v>The Hot 100</v>
      </c>
    </row>
    <row r="17" spans="1:14">
      <c r="A17" t="str">
        <v>9L</v>
      </c>
      <c r="B17" t="str">
        <v>Colgan Air</v>
      </c>
      <c r="F17">
        <v>16</v>
      </c>
      <c r="G17" t="str">
        <v>16: That's My Kind Of Night</v>
      </c>
      <c r="H17" t="str">
        <v>http://www.billboard.com/charts/hot-100</v>
      </c>
      <c r="I17" t="str">
        <v>Luke Bryan</v>
      </c>
      <c r="J17" t="str">
        <v>That's My Kind Of Night</v>
      </c>
      <c r="K17" t="str">
        <v>16</v>
      </c>
      <c r="L17" t="str">
        <v>15</v>
      </c>
      <c r="M17" t="str">
        <v>That's My Kind Of Night by Luke Bryan ranks #16</v>
      </c>
      <c r="N17" t="str">
        <v>The Hot 100</v>
      </c>
    </row>
    <row r="18" spans="1:14">
      <c r="A18" t="str">
        <v>9M</v>
      </c>
      <c r="B18" t="str">
        <v>Central Mountain Air</v>
      </c>
      <c r="F18">
        <v>17</v>
      </c>
      <c r="G18" t="str">
        <v>17: Dark Horse</v>
      </c>
      <c r="H18" t="str">
        <v>http://www.billboard.com/charts/hot-100</v>
      </c>
      <c r="I18" t="str">
        <v>Katy Perry Featuring Juicy J</v>
      </c>
      <c r="J18" t="str">
        <v>Dark Horse</v>
      </c>
      <c r="K18" t="str">
        <v>17</v>
      </c>
      <c r="L18" t="str">
        <v>0</v>
      </c>
      <c r="M18" t="str">
        <v>Dark Horse by Katy Perry Featuring Juicy J ranks #17</v>
      </c>
      <c r="N18" t="str">
        <v>The Hot 100</v>
      </c>
    </row>
    <row r="19" spans="1:14">
      <c r="A19" t="str">
        <v>9R</v>
      </c>
      <c r="B19" t="str">
        <v>Satena</v>
      </c>
      <c r="F19">
        <v>18</v>
      </c>
      <c r="G19" t="str">
        <v>18: Clarity</v>
      </c>
      <c r="H19" t="str">
        <v>http://www.billboard.com/charts/hot-100</v>
      </c>
      <c r="I19" t="str">
        <v>Zedd Featuring Foxes</v>
      </c>
      <c r="J19" t="str">
        <v>Clarity</v>
      </c>
      <c r="K19" t="str">
        <v>18</v>
      </c>
      <c r="L19" t="str">
        <v>14</v>
      </c>
      <c r="M19" t="str">
        <v>Clarity by Zedd Featuring Foxes ranks #18</v>
      </c>
      <c r="N19" t="str">
        <v>The Hot 100</v>
      </c>
    </row>
    <row r="20" spans="1:14">
      <c r="A20" t="str">
        <v>9U</v>
      </c>
      <c r="B20" t="str">
        <v>Air Moldova</v>
      </c>
      <c r="F20">
        <v>19</v>
      </c>
      <c r="G20" t="str">
        <v>19: Lolly</v>
      </c>
      <c r="H20" t="str">
        <v>http://www.billboard.com/charts/hot-100</v>
      </c>
      <c r="I20" t="str">
        <v>Maejor Ali Featuring Juicy J &amp; Justin Bieber</v>
      </c>
      <c r="J20" t="str">
        <v>Lolly</v>
      </c>
      <c r="K20" t="str">
        <v>19</v>
      </c>
      <c r="L20" t="str">
        <v>0</v>
      </c>
      <c r="M20" t="str">
        <v>Lolly by Maejor Ali Featuring Juicy J &amp; Justin Bieber ranks #19</v>
      </c>
      <c r="N20" t="str">
        <v>The Hot 100</v>
      </c>
    </row>
    <row r="21" spans="1:14">
      <c r="A21" t="str">
        <v>9W</v>
      </c>
      <c r="B21" t="str">
        <v>Jet Airways</v>
      </c>
      <c r="F21">
        <v>20</v>
      </c>
      <c r="G21" t="str">
        <v>20: Sail</v>
      </c>
      <c r="H21" t="str">
        <v>http://www.billboard.com/charts/hot-100</v>
      </c>
      <c r="I21" t="str">
        <v>AWOLNATION</v>
      </c>
      <c r="J21" t="str">
        <v>Sail</v>
      </c>
      <c r="K21" t="str">
        <v>20</v>
      </c>
      <c r="L21" t="str">
        <v>22</v>
      </c>
      <c r="M21" t="str">
        <v>Sail by AWOLNATION ranks #20</v>
      </c>
      <c r="N21" t="str">
        <v>The Hot 100</v>
      </c>
    </row>
    <row r="24" spans="1:14">
      <c r="A24" s="1" t="s">
        <v>20</v>
      </c>
      <c r="B24" s="1" t="s">
        <v>18</v>
      </c>
      <c r="C24" s="1" t="s">
        <v>19</v>
      </c>
      <c r="D24" s="1" t="s">
        <v>21</v>
      </c>
      <c r="E24" s="1"/>
      <c r="F24" s="1"/>
      <c r="G24" s="1"/>
      <c r="H24" s="1"/>
    </row>
    <row r="25" spans="1:14">
      <c r="A25" s="2" t="str">
        <f>blisterLookup("blister.airlines",B25,"carrier","name")</f>
        <v>Jet Airways</v>
      </c>
      <c r="B25" s="2" t="str">
        <f>A21</f>
        <v>9W</v>
      </c>
      <c r="C25" s="3" t="s">
        <v>10</v>
      </c>
      <c r="D25" t="s">
        <v>1</v>
      </c>
    </row>
    <row r="26" spans="1:14">
      <c r="A26" s="2">
        <f>COUNTA(blisterList("blister.currencies"))</f>
        <v>213</v>
      </c>
      <c r="B26" s="2"/>
      <c r="C26" s="3" t="s">
        <v>11</v>
      </c>
      <c r="D26" t="s">
        <v>2</v>
      </c>
    </row>
    <row r="27" spans="1:14">
      <c r="A27" s="2">
        <f>COUNTA(blisterUnique("blister.currencies","ISO"))</f>
        <v>160</v>
      </c>
      <c r="B27" s="2"/>
      <c r="C27" s="3" t="s">
        <v>12</v>
      </c>
      <c r="D27" t="s">
        <v>3</v>
      </c>
    </row>
    <row r="28" spans="1:14">
      <c r="A28" s="2">
        <f>COUNTA(blisterMatch("blister.billboardhot100",B28,"artist",,,100))</f>
        <v>2</v>
      </c>
      <c r="B28" s="2" t="s">
        <v>0</v>
      </c>
      <c r="C28" s="3" t="s">
        <v>13</v>
      </c>
      <c r="D28" t="s">
        <v>4</v>
      </c>
    </row>
    <row r="29" spans="1:14">
      <c r="A29" s="2" t="str">
        <f>blisterIndex("blister.billboardhot100",B29,"title","sequence")</f>
        <v>20: Sail</v>
      </c>
      <c r="B29" s="2">
        <v>20</v>
      </c>
      <c r="C29" s="3" t="s">
        <v>14</v>
      </c>
      <c r="D29" t="s">
        <v>5</v>
      </c>
    </row>
    <row r="30" spans="1:14">
      <c r="A30" s="2" t="str">
        <f>blisterIndex("blister.billboardhot100",2,"artist","sequence",TRUE)</f>
        <v>Ellie Goulding</v>
      </c>
      <c r="B30" s="2"/>
      <c r="C30" s="3" t="s">
        <v>15</v>
      </c>
      <c r="D30" t="s">
        <v>6</v>
      </c>
    </row>
    <row r="31" spans="1:14">
      <c r="A31" s="2" t="str">
        <f>blisterLookup("blister.currencies",B31,"ISO","USDrate")</f>
        <v>1.25479961</v>
      </c>
      <c r="B31" s="2" t="s">
        <v>8</v>
      </c>
      <c r="C31" s="3" t="s">
        <v>16</v>
      </c>
      <c r="D31" t="s">
        <v>7</v>
      </c>
    </row>
    <row r="32" spans="1:14">
      <c r="A32" s="2">
        <f>COUNTA(blisterList("blister.currencies","ISO",,,,"USDrate","non-icc"))</f>
        <v>94</v>
      </c>
      <c r="B32" s="2"/>
      <c r="C32" s="3" t="s">
        <v>17</v>
      </c>
      <c r="D3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fhk647</dc:creator>
  <cp:lastModifiedBy>fhk647</cp:lastModifiedBy>
  <dcterms:created xsi:type="dcterms:W3CDTF">2013-09-27T12:36:16Z</dcterms:created>
  <dcterms:modified xsi:type="dcterms:W3CDTF">2013-09-30T11:36:45Z</dcterms:modified>
</cp:coreProperties>
</file>