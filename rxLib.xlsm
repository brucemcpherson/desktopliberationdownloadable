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30" windowWidth="19035" windowHeight="13290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E14" i="1"/>
  <c r="F14"/>
  <c r="D13"/>
  <c r="D14"/>
  <c r="C14"/>
  <c r="E13"/>
  <c r="C13"/>
  <c r="F12"/>
  <c r="C12"/>
  <c r="C11"/>
  <c r="F11"/>
  <c r="F10"/>
  <c r="C10"/>
  <c r="D9"/>
  <c r="E8"/>
  <c r="D8"/>
  <c r="E5"/>
  <c r="D7"/>
  <c r="F6"/>
  <c r="C6"/>
  <c r="D5"/>
  <c r="D4"/>
  <c r="D3"/>
  <c r="F4"/>
  <c r="E9"/>
  <c r="E6"/>
  <c r="F13"/>
  <c r="E12"/>
  <c r="D12"/>
  <c r="E11"/>
  <c r="D11"/>
  <c r="E10"/>
  <c r="D10"/>
  <c r="F9"/>
  <c r="C9"/>
  <c r="F8"/>
  <c r="C8"/>
  <c r="C7"/>
  <c r="F7"/>
  <c r="D6"/>
  <c r="C5"/>
  <c r="F5"/>
  <c r="C4"/>
  <c r="C3"/>
  <c r="F3"/>
  <c r="E7"/>
  <c r="E4"/>
  <c r="E3"/>
</calcChain>
</file>

<file path=xl/sharedStrings.xml><?xml version="1.0" encoding="utf-8"?>
<sst xmlns="http://schemas.openxmlformats.org/spreadsheetml/2006/main" count="29" uniqueCount="26">
  <si>
    <t>abc123</t>
  </si>
  <si>
    <t>3711-078176-01234</t>
  </si>
  <si>
    <t>a        b</t>
  </si>
  <si>
    <t>singlespace</t>
  </si>
  <si>
    <t>rxlib Name</t>
  </si>
  <si>
    <t>Input</t>
  </si>
  <si>
    <t>rxString</t>
  </si>
  <si>
    <t>rxTest</t>
  </si>
  <si>
    <t>rxReplace</t>
  </si>
  <si>
    <t>rxPattern</t>
  </si>
  <si>
    <t>postalcodeuk</t>
  </si>
  <si>
    <t>sw1 1aa</t>
  </si>
  <si>
    <t>creditcard</t>
  </si>
  <si>
    <t>[^\0-9]{3}</t>
  </si>
  <si>
    <t>numeric</t>
  </si>
  <si>
    <t>abc124</t>
  </si>
  <si>
    <t>postalcodespain</t>
  </si>
  <si>
    <t>alphabetic</t>
  </si>
  <si>
    <t>ipaddress</t>
  </si>
  <si>
    <t>192.168.1.1</t>
  </si>
  <si>
    <t>email</t>
  </si>
  <si>
    <t>excel@mcpher.com</t>
  </si>
  <si>
    <t>send to excel@mcpher.com please</t>
  </si>
  <si>
    <t>emailinside</t>
  </si>
  <si>
    <t>punctuation</t>
  </si>
  <si>
    <t>a,+ .. 102 9()_</t>
  </si>
</sst>
</file>

<file path=xl/styles.xml><?xml version="1.0" encoding="utf-8"?>
<styleSheet xmlns="http://schemas.openxmlformats.org/spreadsheetml/2006/main">
  <numFmts count="1">
    <numFmt numFmtId="164" formatCode="[$-409]h:mm:ss\ AM/PM;@"/>
  </numFmts>
  <fonts count="5">
    <font>
      <sz val="11"/>
      <color theme="1"/>
      <name val="Calibri"/>
      <family val="2"/>
      <scheme val="minor"/>
    </font>
    <font>
      <sz val="8"/>
      <color rgb="FF276600"/>
      <name val="Tahoma"/>
      <family val="2"/>
    </font>
    <font>
      <sz val="8"/>
      <color rgb="FF000000"/>
      <name val="Tahoma"/>
      <family val="2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</cellStyleXfs>
  <cellXfs count="7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0" xfId="1"/>
    <xf numFmtId="164" fontId="3" fillId="2" borderId="0" xfId="1" applyNumberFormat="1"/>
    <xf numFmtId="0" fontId="0" fillId="0" borderId="0" xfId="0" applyAlignment="1">
      <alignment horizontal="left"/>
    </xf>
    <xf numFmtId="0" fontId="4" fillId="0" borderId="0" xfId="2" applyAlignment="1" applyProtection="1"/>
  </cellXfs>
  <cellStyles count="3">
    <cellStyle name="Accent2" xfId="1" builtinId="33"/>
    <cellStyle name="Hyperlink" xfId="2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excel@mcpher.com" TargetMode="External"/><Relationship Id="rId2" Type="http://schemas.openxmlformats.org/officeDocument/2006/relationships/hyperlink" Target="mailto:excel@mcpher.com" TargetMode="External"/><Relationship Id="rId1" Type="http://schemas.openxmlformats.org/officeDocument/2006/relationships/hyperlink" Target="mailto:excel@mcpher.com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F14"/>
  <sheetViews>
    <sheetView tabSelected="1" workbookViewId="0">
      <selection activeCell="E14" sqref="E14"/>
    </sheetView>
  </sheetViews>
  <sheetFormatPr defaultRowHeight="15"/>
  <cols>
    <col min="1" max="1" width="16.85546875" customWidth="1"/>
    <col min="2" max="2" width="16.42578125" customWidth="1"/>
    <col min="3" max="3" width="7.5703125" customWidth="1"/>
    <col min="4" max="4" width="9.140625" customWidth="1"/>
    <col min="5" max="5" width="36" customWidth="1"/>
    <col min="6" max="6" width="7.7109375" customWidth="1"/>
  </cols>
  <sheetData>
    <row r="2" spans="1:6">
      <c r="A2" s="3" t="s">
        <v>4</v>
      </c>
      <c r="B2" s="4" t="s">
        <v>5</v>
      </c>
      <c r="C2" s="3" t="s">
        <v>7</v>
      </c>
      <c r="D2" s="3" t="s">
        <v>6</v>
      </c>
      <c r="E2" s="3" t="s">
        <v>8</v>
      </c>
      <c r="F2" s="3" t="s">
        <v>9</v>
      </c>
    </row>
    <row r="3" spans="1:6">
      <c r="A3" t="s">
        <v>3</v>
      </c>
      <c r="B3" t="s">
        <v>2</v>
      </c>
      <c r="C3" t="b">
        <f t="shared" ref="C3:C14" si="0">rxtest(A3,B3)</f>
        <v>1</v>
      </c>
      <c r="D3" t="str">
        <f t="shared" ref="D3:D14" si="1">rxstring(A3,B3)</f>
        <v xml:space="preserve">a        </v>
      </c>
      <c r="E3" s="2" t="str">
        <f>rxreplace(A3,B3,"$1 ")</f>
        <v>a b</v>
      </c>
      <c r="F3" t="str">
        <f t="shared" ref="F3:F14" si="2">rxPattern(A3)</f>
        <v>(\S+)\x20{2,}(?=\S+)</v>
      </c>
    </row>
    <row r="4" spans="1:6">
      <c r="A4" t="s">
        <v>10</v>
      </c>
      <c r="B4" t="s">
        <v>11</v>
      </c>
      <c r="C4" t="b">
        <f t="shared" si="0"/>
        <v>1</v>
      </c>
      <c r="D4" t="str">
        <f t="shared" si="1"/>
        <v>sw1 1aa</v>
      </c>
      <c r="E4" s="2" t="str">
        <f>rxreplace(A4,B4,"valid post code")</f>
        <v>valid post code</v>
      </c>
      <c r="F4" t="str">
        <f t="shared" si="2"/>
        <v>(((^[BEGLMNS][1-9]\d?)|(^W[2-9])|(^(A[BL]|B[ABDHLNRST]|C[ABFHMORTVW]|D[ADEGHLNTY]|E[HNX]|F[KY]|G[LUY]|H[ADGPRSUX]|I[GMPV]|JE|K[ATWY]|L[ADELNSU]|M[EKL]|N[EGNPRW]|O[LX]|P[AEHLOR]|R[GHM]|S[AEGKL-PRSTWY]|T[ADFNQRSW]|UB|W[ADFNRSV]|YO|ZE)\d\d?)|(^W1[A-HJKSTUW0-9])|(((^WC[1-2])|(^EC[1-4])|(^SW1))[ABEHMNPRVWXY]))(\s*)?([0-9][ABD-HJLNP-UW-Z]{2}))|(^GIR\s?0AA)</v>
      </c>
    </row>
    <row r="5" spans="1:6">
      <c r="A5" t="s">
        <v>12</v>
      </c>
      <c r="B5" s="1" t="s">
        <v>1</v>
      </c>
      <c r="C5" t="b">
        <f t="shared" si="0"/>
        <v>1</v>
      </c>
      <c r="D5" t="str">
        <f t="shared" si="1"/>
        <v>3711-078176-01234</v>
      </c>
      <c r="E5" s="2" t="str">
        <f>rxreplace(A5,B5,"ending " &amp; RIGHT(rxstring(A5,B5),4))</f>
        <v>ending 1234</v>
      </c>
      <c r="F5" t="str">
        <f t="shared" si="2"/>
        <v>^((4\d{3})|(5[1-5]\d{2}))(-?|\040?)(\d{4}(-?|\040?)){3}|^(3[4,7]\d{2})(-?|\040?)\d{6}(-?|\040?)\d{5}</v>
      </c>
    </row>
    <row r="6" spans="1:6">
      <c r="A6" t="s">
        <v>13</v>
      </c>
      <c r="B6" t="s">
        <v>0</v>
      </c>
      <c r="C6" t="b">
        <f t="shared" si="0"/>
        <v>1</v>
      </c>
      <c r="D6" t="str">
        <f t="shared" si="1"/>
        <v>abc</v>
      </c>
      <c r="E6" s="2" t="str">
        <f>rxreplace(A6,B6,"***")</f>
        <v>***123</v>
      </c>
      <c r="F6" t="str">
        <f t="shared" si="2"/>
        <v>[^\0-9]{3}</v>
      </c>
    </row>
    <row r="7" spans="1:6">
      <c r="A7" t="s">
        <v>14</v>
      </c>
      <c r="B7" t="s">
        <v>15</v>
      </c>
      <c r="C7" t="b">
        <f t="shared" si="0"/>
        <v>1</v>
      </c>
      <c r="D7" t="str">
        <f t="shared" si="1"/>
        <v>124</v>
      </c>
      <c r="E7" s="2" t="str">
        <f>rxreplace(A7,B7,"x")</f>
        <v>abcxxx</v>
      </c>
      <c r="F7" t="str">
        <f t="shared" si="2"/>
        <v>[\0-9]</v>
      </c>
    </row>
    <row r="8" spans="1:6">
      <c r="A8" t="s">
        <v>16</v>
      </c>
      <c r="B8" s="5">
        <v>10234</v>
      </c>
      <c r="C8" t="b">
        <f t="shared" si="0"/>
        <v>1</v>
      </c>
      <c r="D8" t="str">
        <f t="shared" si="1"/>
        <v>10234</v>
      </c>
      <c r="E8" s="2" t="str">
        <f>rxreplace(A8,B8,"valid post code")</f>
        <v>valid post code</v>
      </c>
      <c r="F8" t="str">
        <f t="shared" si="2"/>
        <v>^([1-9]{2}|[0-9][1-9]|[1-9][0-9])[0-9]{3}$</v>
      </c>
    </row>
    <row r="9" spans="1:6">
      <c r="A9" t="s">
        <v>17</v>
      </c>
      <c r="B9" t="s">
        <v>15</v>
      </c>
      <c r="C9" t="b">
        <f t="shared" si="0"/>
        <v>1</v>
      </c>
      <c r="D9" t="str">
        <f t="shared" si="1"/>
        <v>abc</v>
      </c>
      <c r="E9" s="2" t="str">
        <f>rxreplace(A9,B9,"x")</f>
        <v>xxx124</v>
      </c>
      <c r="F9" t="str">
        <f t="shared" si="2"/>
        <v>[\a-zA-Z]</v>
      </c>
    </row>
    <row r="10" spans="1:6">
      <c r="A10" t="s">
        <v>18</v>
      </c>
      <c r="B10" t="s">
        <v>19</v>
      </c>
      <c r="C10" t="b">
        <f t="shared" si="0"/>
        <v>1</v>
      </c>
      <c r="D10" t="str">
        <f t="shared" si="1"/>
        <v>192.168.1.1</v>
      </c>
      <c r="E10" s="2" t="str">
        <f>TEXT(rxreplace(A10,B10,"$1"),"000.")&amp;TEXT(rxreplace(A10,B10,"$2"),"000.")&amp;TEXT(rxreplace(A10,B10,"$3"),"000.")&amp;TEXT(rxreplace(A10,B10,"$4"),"000")</f>
        <v>192.168.001.001</v>
      </c>
      <c r="F10" t="str">
        <f t="shared" si="2"/>
        <v>^(\d{1,2}|1\d\d|2[0-4]\d|25[0-5])\.(\d{1,2}|1\d\d|2[0-4]\d|25[0-5])\.(\d{1,2}|1\d\d|2[0-4]\d|25[0-5])\.(\d{1,2}|1\d\d|2[0-4]\d|25[0-5])$</v>
      </c>
    </row>
    <row r="11" spans="1:6">
      <c r="A11" t="s">
        <v>20</v>
      </c>
      <c r="B11" s="6" t="s">
        <v>21</v>
      </c>
      <c r="C11" t="b">
        <f t="shared" si="0"/>
        <v>1</v>
      </c>
      <c r="D11" t="str">
        <f t="shared" si="1"/>
        <v>excel@mcpher.com</v>
      </c>
      <c r="E11" s="2" t="str">
        <f>rxreplace(A11,B11,"valid email")</f>
        <v>valid email</v>
      </c>
      <c r="F11" t="str">
        <f t="shared" si="2"/>
        <v>^[A-Z0-9._%+-]+@[A-Z0-9.-]+\.[A-Z]{2,4}$</v>
      </c>
    </row>
    <row r="12" spans="1:6">
      <c r="A12" t="s">
        <v>23</v>
      </c>
      <c r="B12" s="6" t="s">
        <v>22</v>
      </c>
      <c r="C12" t="b">
        <f t="shared" si="0"/>
        <v>1</v>
      </c>
      <c r="D12" t="str">
        <f t="shared" si="1"/>
        <v>excel@mcpher.com</v>
      </c>
      <c r="E12" s="2" t="str">
        <f>rxreplace(A12,B12,"***@***")</f>
        <v>send to ***@*** please</v>
      </c>
      <c r="F12" t="str">
        <f t="shared" si="2"/>
        <v>\b[A-Z0-9._%+-]+@[A-Z0-9.-]+\.[A-Z]{2,4}\b</v>
      </c>
    </row>
    <row r="13" spans="1:6">
      <c r="A13" t="s">
        <v>20</v>
      </c>
      <c r="B13" s="6" t="s">
        <v>22</v>
      </c>
      <c r="C13" t="b">
        <f t="shared" si="0"/>
        <v>0</v>
      </c>
      <c r="D13" t="str">
        <f t="shared" si="1"/>
        <v/>
      </c>
      <c r="E13" s="2" t="str">
        <f>rxreplace(A13,B13,"***@***")</f>
        <v>send to excel@mcpher.com please</v>
      </c>
      <c r="F13" t="str">
        <f t="shared" si="2"/>
        <v>^[A-Z0-9._%+-]+@[A-Z0-9.-]+\.[A-Z]{2,4}$</v>
      </c>
    </row>
    <row r="14" spans="1:6">
      <c r="A14" t="s">
        <v>24</v>
      </c>
      <c r="B14" t="s">
        <v>25</v>
      </c>
      <c r="C14" t="b">
        <f t="shared" si="0"/>
        <v>1</v>
      </c>
      <c r="D14" t="str">
        <f t="shared" si="1"/>
        <v>,+..()_</v>
      </c>
      <c r="E14" s="2" t="str">
        <f>rxreplace(A14,B14,"")</f>
        <v>a  102 9</v>
      </c>
      <c r="F14" t="str">
        <f t="shared" si="2"/>
        <v>[^A-Za-z0-9\x20]+</v>
      </c>
    </row>
  </sheetData>
  <hyperlinks>
    <hyperlink ref="B11" r:id="rId1"/>
    <hyperlink ref="B12" r:id="rId2" display="excel@mcpher.com"/>
    <hyperlink ref="B13" r:id="rId3" display="excel@mcpher.com"/>
  </hyperlinks>
  <pageMargins left="0.7" right="0.7" top="0.75" bottom="0.75" header="0.3" footer="0.3"/>
  <pageSetup orientation="portrait" horizontalDpi="1200" verticalDpi="1200" r:id="rId4"/>
  <ignoredErrors>
    <ignoredError sqref="E8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5"/>
  <sheetViews>
    <sheetView workbookViewId="0">
      <selection activeCell="F22" sqref="F22"/>
    </sheetView>
  </sheetViews>
  <sheetFormatPr defaultRowHeight="15"/>
  <sheetData>
    <row r="1" spans="1:7">
      <c r="A1">
        <v>1</v>
      </c>
      <c r="B1">
        <v>2</v>
      </c>
      <c r="C1">
        <v>3</v>
      </c>
      <c r="D1">
        <v>4</v>
      </c>
      <c r="F1">
        <v>1</v>
      </c>
      <c r="G1">
        <v>2</v>
      </c>
    </row>
    <row r="2" spans="1:7">
      <c r="A2">
        <v>5</v>
      </c>
      <c r="B2">
        <v>6</v>
      </c>
      <c r="C2">
        <v>7</v>
      </c>
      <c r="D2">
        <v>8</v>
      </c>
      <c r="F2">
        <v>3</v>
      </c>
      <c r="G2">
        <v>4</v>
      </c>
    </row>
    <row r="4" spans="1:7">
      <c r="F4">
        <v>5</v>
      </c>
      <c r="G4">
        <v>6</v>
      </c>
    </row>
    <row r="5" spans="1:7">
      <c r="F5">
        <v>7</v>
      </c>
      <c r="G5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Motorola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McPherson Bruce-FHK647</dc:creator>
  <cp:lastModifiedBy>McPherson Bruce-FHK647</cp:lastModifiedBy>
  <dcterms:created xsi:type="dcterms:W3CDTF">2010-12-02T15:07:34Z</dcterms:created>
  <dcterms:modified xsi:type="dcterms:W3CDTF">2011-11-28T19:29:36Z</dcterms:modified>
</cp:coreProperties>
</file>