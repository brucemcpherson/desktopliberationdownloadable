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47.xml" ContentType="application/vnd.ms-excel.controlproperties+xml"/>
  <Override PartName="/xl/ctrlProps/ctrlProp29.xml" ContentType="application/vnd.ms-excel.controlproperties+xml"/>
  <Override PartName="/xl/ctrlProps/ctrlProp38.xml" ContentType="application/vnd.ms-excel.contro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vbaProject.bin" ContentType="application/vnd.ms-office.vbaProject"/>
  <Override PartName="/xl/ctrlProps/ctrlProp27.xml" ContentType="application/vnd.ms-excel.controlproperties+xml"/>
  <Override PartName="/xl/ctrlProps/ctrlProp45.xml" ContentType="application/vnd.ms-excel.controlproperties+xml"/>
  <Override PartName="/xl/ctrlProps/ctrlProp18.xml" ContentType="application/vnd.ms-excel.controlproperties+xml"/>
  <Override PartName="/xl/ctrlProps/ctrlProp36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ctrlProps/ctrlProp43.xml" ContentType="application/vnd.ms-excel.controlproperties+xml"/>
  <Override PartName="/xl/ctrlProps/ctrlProp16.xml" ContentType="application/vnd.ms-excel.controlproperties+xml"/>
  <Override PartName="/xl/ctrlProps/ctrlProp25.xml" ContentType="application/vnd.ms-excel.controlproperties+xml"/>
  <Override PartName="/xl/ctrlProps/ctrlProp34.xml" ContentType="application/vnd.ms-excel.controlproperties+xml"/>
  <Override PartName="/xl/worksheets/sheet3.xml" ContentType="application/vnd.openxmlformats-officedocument.spreadsheetml.worksheet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ctrlProps/ctrlProp32.xml" ContentType="application/vnd.ms-excel.controlproperties+xml"/>
  <Override PartName="/xl/ctrlProps/ctrlProp41.xml" ContentType="application/vnd.ms-excel.controlproperties+xml"/>
  <Override PartName="/xl/worksheets/sheet1.xml" ContentType="application/vnd.openxmlformats-officedocument.spreadsheetml.worksheet+xml"/>
  <Override PartName="/xl/ctrlProps/ctrlProp30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ctrlProps/ctrlProp2.xml" ContentType="application/vnd.ms-excel.control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ctrlProps/ctrlProp28.xml" ContentType="application/vnd.ms-excel.controlproperties+xml"/>
  <Override PartName="/xl/ctrlProps/ctrlProp48.xml" ContentType="application/vnd.ms-excel.controlproperties+xml"/>
  <Override PartName="/xl/ctrlProps/ctrlProp19.xml" ContentType="application/vnd.ms-excel.controlproperties+xml"/>
  <Override PartName="/xl/ctrlProps/ctrlProp3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trlProps/ctrlProp46.xml" ContentType="application/vnd.ms-excel.controlproperties+xml"/>
  <Override PartName="/xl/ctrlProps/ctrlProp26.xml" ContentType="application/vnd.ms-excel.controlproperties+xml"/>
  <Override PartName="/xl/ctrlProps/ctrlProp17.xml" ContentType="application/vnd.ms-excel.controlproperties+xml"/>
  <Override PartName="/xl/ctrlProps/ctrlProp3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44.xml" ContentType="application/vnd.ms-excel.controlproperties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3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trlProps/ctrlProp22.xml" ContentType="application/vnd.ms-excel.controlproperties+xml"/>
  <Override PartName="/xl/ctrlProps/ctrlProp42.xml" ContentType="application/vnd.ms-excel.controlproperties+xml"/>
  <Override PartName="/xl/ctrlProps/ctrlProp7.xml" ContentType="application/vnd.ms-excel.controlproperties+xml"/>
  <Override PartName="/xl/ctrlProps/ctrlProp33.xml" ContentType="application/vnd.ms-excel.controlproperties+xml"/>
  <Override PartName="/xl/ctrlProps/ctrlProp13.xml" ContentType="application/vnd.ms-excel.controlproperties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20.xml" ContentType="application/vnd.ms-excel.controlproperties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40.xml" ContentType="application/vnd.ms-excel.controlproperties+xml"/>
  <Override PartName="/xl/ctrlProps/ctrlProp31.xml" ContentType="application/vnd.ms-excel.controlproperties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10920" windowHeight="10125"/>
  </bookViews>
  <sheets>
    <sheet name="venuemaster" sheetId="22" r:id="rId1"/>
    <sheet name="geoCodingParameters" sheetId="11" r:id="rId2"/>
    <sheet name="Step by Step Master" sheetId="50" r:id="rId3"/>
    <sheet name="Step by Step Parameters" sheetId="51" r:id="rId4"/>
    <sheet name="Step by Step Transactions" sheetId="52" r:id="rId5"/>
    <sheet name="Step by Step Join" sheetId="53" r:id="rId6"/>
    <sheet name="OrgParameters" sheetId="44" r:id="rId7"/>
    <sheet name="FamilyParameters" sheetId="38" r:id="rId8"/>
    <sheet name="OrdersParameters" sheetId="19" r:id="rId9"/>
    <sheet name="VenuesParameters" sheetId="20" r:id="rId10"/>
    <sheet name="PalacesParameters" sheetId="25" r:id="rId11"/>
    <sheet name="f1Circuits" sheetId="55" r:id="rId12"/>
    <sheet name="f1Parameters" sheetId="56" r:id="rId13"/>
    <sheet name="f1Races" sheetId="57" r:id="rId14"/>
    <sheet name="f1MapThis" sheetId="58" r:id="rId15"/>
    <sheet name="ArtistMaster" sheetId="37" r:id="rId16"/>
    <sheet name="VenueMapping" sheetId="21" r:id="rId17"/>
    <sheet name="VenueTransactions" sheetId="23" r:id="rId18"/>
    <sheet name="CustomerMaster" sheetId="9" r:id="rId19"/>
    <sheet name="PalaceMaster" sheetId="28" r:id="rId20"/>
    <sheet name="DynastyMaster" sheetId="26" r:id="rId21"/>
    <sheet name="PalaceTransactions" sheetId="29" r:id="rId22"/>
    <sheet name="PalaceMapping" sheetId="31" r:id="rId23"/>
    <sheet name="OrdersMapping" sheetId="15" r:id="rId24"/>
    <sheet name="OrdersTransactions" sheetId="14" r:id="rId25"/>
    <sheet name="PeopleMapping" sheetId="43" r:id="rId26"/>
    <sheet name="Homes" sheetId="42" r:id="rId27"/>
    <sheet name="Families" sheetId="41" r:id="rId28"/>
    <sheet name="PeopleTransactions" sheetId="40" r:id="rId29"/>
    <sheet name="People" sheetId="39" r:id="rId30"/>
    <sheet name="Offices" sheetId="46" r:id="rId31"/>
    <sheet name="Functions" sheetId="48" r:id="rId32"/>
    <sheet name="Staff" sheetId="45" r:id="rId33"/>
    <sheet name="StaffMapping" sheetId="49" r:id="rId34"/>
    <sheet name="StaffTransactions" sheetId="47" r:id="rId35"/>
    <sheet name="API cObject names" sheetId="12" r:id="rId36"/>
    <sheet name="Bing API cObject names" sheetId="17" r:id="rId37"/>
    <sheet name="Yahoo API cObject names" sheetId="18" r:id="rId38"/>
    <sheet name="Debug" sheetId="13" r:id="rId39"/>
    <sheet name="f1" sheetId="54" r:id="rId40"/>
    <sheet name="Tube" sheetId="59" r:id="rId41"/>
  </sheets>
  <functionGroups/>
  <definedNames>
    <definedName name="_xlnm._FilterDatabase" localSheetId="40" hidden="1">Tube!$A$1:$P$40</definedName>
  </definedNames>
  <calcPr calcId="125725"/>
</workbook>
</file>

<file path=xl/calcChain.xml><?xml version="1.0" encoding="utf-8"?>
<calcChain xmlns="http://schemas.openxmlformats.org/spreadsheetml/2006/main">
  <c r="B45" i="11"/>
  <c r="B59"/>
  <c r="G3" i="50"/>
  <c r="G4"/>
  <c r="G5"/>
  <c r="G6"/>
  <c r="G7"/>
  <c r="G8"/>
  <c r="G2"/>
  <c r="L2" i="59" l="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J2"/>
  <c r="K2" s="1"/>
  <c r="J3"/>
  <c r="K3" s="1"/>
  <c r="J4"/>
  <c r="K4" s="1"/>
  <c r="J5"/>
  <c r="K5" s="1"/>
  <c r="J6"/>
  <c r="K6" s="1"/>
  <c r="J7"/>
  <c r="K7" s="1"/>
  <c r="J8"/>
  <c r="K8" s="1"/>
  <c r="J9"/>
  <c r="K9" s="1"/>
  <c r="J10"/>
  <c r="K10" s="1"/>
  <c r="J11"/>
  <c r="K11" s="1"/>
  <c r="J12"/>
  <c r="K12" s="1"/>
  <c r="J13"/>
  <c r="K13" s="1"/>
  <c r="J14"/>
  <c r="K14" s="1"/>
  <c r="J15"/>
  <c r="K15" s="1"/>
  <c r="J16"/>
  <c r="K16" s="1"/>
  <c r="J17"/>
  <c r="K17" s="1"/>
  <c r="J18"/>
  <c r="K18" s="1"/>
  <c r="J19"/>
  <c r="K19" s="1"/>
  <c r="J20"/>
  <c r="K20" s="1"/>
  <c r="J21"/>
  <c r="K21" s="1"/>
  <c r="J22"/>
  <c r="K22" s="1"/>
  <c r="J23"/>
  <c r="K23" s="1"/>
  <c r="J24"/>
  <c r="K24" s="1"/>
  <c r="J25"/>
  <c r="K25" s="1"/>
  <c r="J26"/>
  <c r="K26" s="1"/>
  <c r="J27"/>
  <c r="K27" s="1"/>
  <c r="J28"/>
  <c r="K28" s="1"/>
  <c r="J29"/>
  <c r="K29" s="1"/>
  <c r="J30"/>
  <c r="K30" s="1"/>
  <c r="J31"/>
  <c r="K31" s="1"/>
  <c r="J32"/>
  <c r="K32" s="1"/>
  <c r="J33"/>
  <c r="K33" s="1"/>
  <c r="J34"/>
  <c r="K34" s="1"/>
  <c r="J35"/>
  <c r="K35" s="1"/>
  <c r="J36"/>
  <c r="K36" s="1"/>
  <c r="J37"/>
  <c r="K37" s="1"/>
  <c r="J38"/>
  <c r="K38" s="1"/>
  <c r="J39"/>
  <c r="K39" s="1"/>
  <c r="J40"/>
  <c r="K40" s="1"/>
  <c r="I2"/>
  <c r="P2" s="1"/>
  <c r="I3"/>
  <c r="P3" s="1"/>
  <c r="I4"/>
  <c r="P4" s="1"/>
  <c r="I5"/>
  <c r="P5" s="1"/>
  <c r="I6"/>
  <c r="P6" s="1"/>
  <c r="I7"/>
  <c r="P7" s="1"/>
  <c r="I8"/>
  <c r="P8" s="1"/>
  <c r="I9"/>
  <c r="P9" s="1"/>
  <c r="I10"/>
  <c r="P10" s="1"/>
  <c r="I11"/>
  <c r="P11" s="1"/>
  <c r="I12"/>
  <c r="P12" s="1"/>
  <c r="I13"/>
  <c r="P13" s="1"/>
  <c r="I14"/>
  <c r="P14" s="1"/>
  <c r="I15"/>
  <c r="P15" s="1"/>
  <c r="I16"/>
  <c r="P16" s="1"/>
  <c r="I17"/>
  <c r="P17" s="1"/>
  <c r="I18"/>
  <c r="P18" s="1"/>
  <c r="I19"/>
  <c r="P19" s="1"/>
  <c r="I20"/>
  <c r="P20" s="1"/>
  <c r="I21"/>
  <c r="P21" s="1"/>
  <c r="I22"/>
  <c r="P22" s="1"/>
  <c r="I23"/>
  <c r="P23" s="1"/>
  <c r="I24"/>
  <c r="P24" s="1"/>
  <c r="I25"/>
  <c r="P25" s="1"/>
  <c r="I26"/>
  <c r="P26" s="1"/>
  <c r="I27"/>
  <c r="P27" s="1"/>
  <c r="I28"/>
  <c r="P28" s="1"/>
  <c r="I29"/>
  <c r="P29" s="1"/>
  <c r="I30"/>
  <c r="P30" s="1"/>
  <c r="I31"/>
  <c r="P31" s="1"/>
  <c r="I32"/>
  <c r="P32" s="1"/>
  <c r="I33"/>
  <c r="P33" s="1"/>
  <c r="I34"/>
  <c r="P34" s="1"/>
  <c r="I35"/>
  <c r="P35" s="1"/>
  <c r="I36"/>
  <c r="P36" s="1"/>
  <c r="I37"/>
  <c r="P37" s="1"/>
  <c r="I38"/>
  <c r="P38" s="1"/>
  <c r="I39"/>
  <c r="P39" s="1"/>
  <c r="I40"/>
  <c r="P40" s="1"/>
  <c r="H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I3" i="50"/>
  <c r="I4"/>
  <c r="I5"/>
  <c r="I6"/>
  <c r="I7"/>
  <c r="I8"/>
  <c r="I2"/>
  <c r="F3" i="57" l="1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2"/>
  <c r="I3" i="55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2"/>
  <c r="F3" i="50"/>
  <c r="F4"/>
  <c r="F5"/>
  <c r="F6"/>
  <c r="F7"/>
  <c r="F8"/>
  <c r="F2"/>
  <c r="D3"/>
  <c r="D4"/>
  <c r="D5"/>
  <c r="D6"/>
  <c r="D7"/>
  <c r="D8"/>
  <c r="D2"/>
  <c r="I3" i="22"/>
  <c r="I4"/>
  <c r="I5"/>
  <c r="I6"/>
  <c r="I7"/>
  <c r="I8"/>
  <c r="I2"/>
  <c r="H2" i="50"/>
  <c r="H4"/>
  <c r="E5" i="22"/>
  <c r="E8"/>
  <c r="H7" i="50"/>
  <c r="E4" i="22"/>
  <c r="E2"/>
  <c r="E7"/>
  <c r="H5" i="50"/>
  <c r="E3" i="22"/>
  <c r="H6" i="50"/>
  <c r="H3"/>
  <c r="H8"/>
  <c r="E6" i="22"/>
  <c r="D8" i="46" l="1"/>
  <c r="E8"/>
  <c r="G16" i="47"/>
  <c r="H16"/>
  <c r="I16"/>
  <c r="J16"/>
  <c r="E6" i="46"/>
  <c r="E7"/>
  <c r="D7"/>
  <c r="G15" i="47"/>
  <c r="H15"/>
  <c r="I15"/>
  <c r="J15"/>
  <c r="D6" i="46"/>
  <c r="D10" i="42"/>
  <c r="G3" i="47"/>
  <c r="G4"/>
  <c r="G5"/>
  <c r="G6"/>
  <c r="G7"/>
  <c r="G8"/>
  <c r="G9"/>
  <c r="G10"/>
  <c r="G11"/>
  <c r="G12"/>
  <c r="G13"/>
  <c r="G14"/>
  <c r="H3"/>
  <c r="H4"/>
  <c r="H5"/>
  <c r="H6"/>
  <c r="H7"/>
  <c r="H8"/>
  <c r="H9"/>
  <c r="H10"/>
  <c r="H11"/>
  <c r="H12"/>
  <c r="H13"/>
  <c r="H14"/>
  <c r="H2"/>
  <c r="J3"/>
  <c r="J4"/>
  <c r="J5"/>
  <c r="J6"/>
  <c r="J7"/>
  <c r="J8"/>
  <c r="J9"/>
  <c r="J10"/>
  <c r="J11"/>
  <c r="J12"/>
  <c r="J13"/>
  <c r="J14"/>
  <c r="J2"/>
  <c r="I3"/>
  <c r="I4"/>
  <c r="I5"/>
  <c r="I6"/>
  <c r="I7"/>
  <c r="I8"/>
  <c r="I9"/>
  <c r="I10"/>
  <c r="I11"/>
  <c r="I12"/>
  <c r="I13"/>
  <c r="I14"/>
  <c r="I2"/>
  <c r="G2"/>
  <c r="E5" i="46"/>
  <c r="D5"/>
  <c r="E4"/>
  <c r="D4"/>
  <c r="E3"/>
  <c r="D3"/>
  <c r="E2"/>
  <c r="D2"/>
  <c r="A27" i="44"/>
  <c r="A26"/>
  <c r="A25"/>
  <c r="A24"/>
  <c r="I3" i="40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2"/>
  <c r="H46"/>
  <c r="G46"/>
  <c r="H45"/>
  <c r="G45"/>
  <c r="H44"/>
  <c r="G44"/>
  <c r="H43"/>
  <c r="G43"/>
  <c r="H42"/>
  <c r="G42"/>
  <c r="H41"/>
  <c r="G41"/>
  <c r="H40"/>
  <c r="G40"/>
  <c r="H39"/>
  <c r="G39"/>
  <c r="P10" i="42"/>
  <c r="H38" i="40"/>
  <c r="G38"/>
  <c r="H37"/>
  <c r="G37"/>
  <c r="H36"/>
  <c r="G36"/>
  <c r="H35"/>
  <c r="G35"/>
  <c r="H34"/>
  <c r="G34"/>
  <c r="H33"/>
  <c r="G33"/>
  <c r="H32"/>
  <c r="G3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2"/>
  <c r="H31"/>
  <c r="H30"/>
  <c r="H29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"/>
  <c r="P8" i="42"/>
  <c r="P9"/>
  <c r="D9"/>
  <c r="D8"/>
  <c r="D7"/>
  <c r="P7"/>
  <c r="P5"/>
  <c r="P6"/>
  <c r="D5"/>
  <c r="D6"/>
  <c r="P4"/>
  <c r="D4"/>
  <c r="P3"/>
  <c r="D3"/>
  <c r="P2"/>
  <c r="D2"/>
  <c r="A29" i="25"/>
  <c r="A30"/>
  <c r="A34"/>
  <c r="A35"/>
  <c r="A37"/>
  <c r="A38"/>
  <c r="A39"/>
  <c r="A40"/>
  <c r="A41"/>
  <c r="A42"/>
  <c r="A45"/>
  <c r="A46"/>
  <c r="A47"/>
  <c r="A25"/>
  <c r="A27" i="38"/>
  <c r="A26"/>
  <c r="A25"/>
  <c r="A24"/>
  <c r="D4" i="28"/>
  <c r="D3"/>
  <c r="D2"/>
  <c r="D8" i="22"/>
  <c r="D7"/>
  <c r="D6"/>
  <c r="D5"/>
  <c r="D4"/>
  <c r="D3"/>
  <c r="D2"/>
  <c r="D3" i="9"/>
  <c r="D4"/>
  <c r="D5"/>
  <c r="D6"/>
  <c r="D7"/>
  <c r="D8"/>
  <c r="D9"/>
  <c r="D10"/>
  <c r="D11"/>
  <c r="D12"/>
  <c r="D2"/>
  <c r="T3" i="28"/>
  <c r="P3"/>
  <c r="P4"/>
  <c r="P2"/>
  <c r="N3" i="26"/>
  <c r="N2"/>
  <c r="A24" i="25"/>
  <c r="A26"/>
  <c r="A27"/>
  <c r="A28"/>
  <c r="I2" i="26"/>
  <c r="I3"/>
  <c r="W3" i="22"/>
  <c r="W4"/>
  <c r="W5"/>
  <c r="W6"/>
  <c r="W7"/>
  <c r="W8"/>
  <c r="W2"/>
  <c r="U3"/>
  <c r="U4"/>
  <c r="U5"/>
  <c r="U6"/>
  <c r="U7"/>
  <c r="U8"/>
  <c r="U2"/>
  <c r="P12" i="9"/>
  <c r="P3"/>
  <c r="P4"/>
  <c r="P5"/>
  <c r="P6"/>
  <c r="P7"/>
  <c r="P8"/>
  <c r="P9"/>
  <c r="P10"/>
  <c r="P11"/>
  <c r="P2"/>
  <c r="K6" i="11"/>
  <c r="K7"/>
  <c r="K8"/>
  <c r="K9"/>
  <c r="K10"/>
  <c r="K11"/>
  <c r="K12"/>
  <c r="K13"/>
  <c r="K14"/>
  <c r="K15"/>
  <c r="K5"/>
</calcChain>
</file>

<file path=xl/sharedStrings.xml><?xml version="1.0" encoding="utf-8"?>
<sst xmlns="http://schemas.openxmlformats.org/spreadsheetml/2006/main" count="18630" uniqueCount="3285">
  <si>
    <t>Customer</t>
  </si>
  <si>
    <t>Quantity</t>
  </si>
  <si>
    <t>Smiths</t>
  </si>
  <si>
    <t>Jones</t>
  </si>
  <si>
    <t>john</t>
  </si>
  <si>
    <t>fred</t>
  </si>
  <si>
    <t>joe</t>
  </si>
  <si>
    <t>Contact</t>
  </si>
  <si>
    <t>Price</t>
  </si>
  <si>
    <t>US</t>
  </si>
  <si>
    <t>Country</t>
  </si>
  <si>
    <t>Comments</t>
  </si>
  <si>
    <t>Hans</t>
  </si>
  <si>
    <t>Marie</t>
  </si>
  <si>
    <t>Schneider</t>
  </si>
  <si>
    <t>ID</t>
  </si>
  <si>
    <t>Address</t>
  </si>
  <si>
    <t>Customer ID</t>
  </si>
  <si>
    <t>Fields</t>
  </si>
  <si>
    <t>_deserialization.results.1.formatted_address</t>
  </si>
  <si>
    <t>Clean Address</t>
  </si>
  <si>
    <t>_deserialization.results</t>
  </si>
  <si>
    <t>_deserialization.results.1</t>
  </si>
  <si>
    <t>_deserialization.results.1.address_components</t>
  </si>
  <si>
    <t>_deserialization.results.1.address_components.1</t>
  </si>
  <si>
    <t>_deserialization.results.1.address_components.1.long_name</t>
  </si>
  <si>
    <t>_deserialization.results.1.address_components.1.short_name</t>
  </si>
  <si>
    <t>_deserialization.results.1.address_components.1.types</t>
  </si>
  <si>
    <t>_deserialization.results.1.address_components.1.types.1</t>
  </si>
  <si>
    <t>_deserialization.results.1.address_components.2</t>
  </si>
  <si>
    <t>_deserialization.results.1.address_components.2.long_name</t>
  </si>
  <si>
    <t>_deserialization.results.1.address_components.2.short_name</t>
  </si>
  <si>
    <t>_deserialization.results.1.address_components.2.types</t>
  </si>
  <si>
    <t>_deserialization.results.1.address_components.2.types.1</t>
  </si>
  <si>
    <t>_deserialization.results.1.address_components.3</t>
  </si>
  <si>
    <t>_deserialization.results.1.address_components.3.long_name</t>
  </si>
  <si>
    <t>_deserialization.results.1.address_components.3.short_name</t>
  </si>
  <si>
    <t>_deserialization.results.1.address_components.3.types</t>
  </si>
  <si>
    <t>_deserialization.results.1.address_components.3.types.1</t>
  </si>
  <si>
    <t>_deserialization.results.1.address_components.3.types.2</t>
  </si>
  <si>
    <t>_deserialization.results.1.address_components.4</t>
  </si>
  <si>
    <t>_deserialization.results.1.address_components.4.long_name</t>
  </si>
  <si>
    <t>_deserialization.results.1.address_components.4.short_name</t>
  </si>
  <si>
    <t>_deserialization.results.1.address_components.4.types</t>
  </si>
  <si>
    <t>_deserialization.results.1.address_components.4.types.1</t>
  </si>
  <si>
    <t>_deserialization.results.1.address_components.4.types.2</t>
  </si>
  <si>
    <t>_deserialization.results.1.address_components.5</t>
  </si>
  <si>
    <t>_deserialization.results.1.address_components.5.long_name</t>
  </si>
  <si>
    <t>_deserialization.results.1.address_components.5.short_name</t>
  </si>
  <si>
    <t>_deserialization.results.1.address_components.5.types</t>
  </si>
  <si>
    <t>_deserialization.results.1.address_components.5.types.1</t>
  </si>
  <si>
    <t>_deserialization.results.1.address_components.5.types.2</t>
  </si>
  <si>
    <t>_deserialization.results.1.address_components.6</t>
  </si>
  <si>
    <t>_deserialization.results.1.address_components.6.long_name</t>
  </si>
  <si>
    <t>_deserialization.results.1.address_components.6.short_name</t>
  </si>
  <si>
    <t>_deserialization.results.1.address_components.6.types</t>
  </si>
  <si>
    <t>_deserialization.results.1.address_components.6.types.1</t>
  </si>
  <si>
    <t>_deserialization.results.1.address_components.6.types.2</t>
  </si>
  <si>
    <t>_deserialization.results.1.geometry.location.lat</t>
  </si>
  <si>
    <t>_deserialization.results.1.geometry.location.lng</t>
  </si>
  <si>
    <t>address_components</t>
  </si>
  <si>
    <t>long_name</t>
  </si>
  <si>
    <t>short_name</t>
  </si>
  <si>
    <t>postal_code</t>
  </si>
  <si>
    <t>political</t>
  </si>
  <si>
    <t>locality</t>
  </si>
  <si>
    <t>administrative_area_level_2</t>
  </si>
  <si>
    <t>country</t>
  </si>
  <si>
    <t>1600 Amphitheatre Pkwy, Mountain View, CA 94043, USA</t>
  </si>
  <si>
    <t>athens</t>
  </si>
  <si>
    <t>street_number</t>
  </si>
  <si>
    <t>Amphitheatre Pkwy</t>
  </si>
  <si>
    <t>route</t>
  </si>
  <si>
    <t>Mountain View</t>
  </si>
  <si>
    <t>San Jose</t>
  </si>
  <si>
    <t>administrative_area_level_3</t>
  </si>
  <si>
    <t>Santa Clara</t>
  </si>
  <si>
    <t>California</t>
  </si>
  <si>
    <t>CA</t>
  </si>
  <si>
    <t>administrative_area_level_1</t>
  </si>
  <si>
    <t>_deserialization.results.1.address_components.7</t>
  </si>
  <si>
    <t>_deserialization.results.1.address_components.7.long_name</t>
  </si>
  <si>
    <t>United States</t>
  </si>
  <si>
    <t>_deserialization.results.1.address_components.7.short_name</t>
  </si>
  <si>
    <t>_deserialization.results.1.address_components.7.types</t>
  </si>
  <si>
    <t>_deserialization.results.1.address_components.7.types.1</t>
  </si>
  <si>
    <t>State</t>
  </si>
  <si>
    <t>Input Address</t>
  </si>
  <si>
    <t>Type</t>
  </si>
  <si>
    <t>Street</t>
  </si>
  <si>
    <t>Street Number</t>
  </si>
  <si>
    <t>variation</t>
  </si>
  <si>
    <t>component</t>
  </si>
  <si>
    <t>fullkey</t>
  </si>
  <si>
    <t>Latitude</t>
  </si>
  <si>
    <t>Longtitude</t>
  </si>
  <si>
    <t>Fullkey</t>
  </si>
  <si>
    <t>City</t>
  </si>
  <si>
    <t>special</t>
  </si>
  <si>
    <t>administrative_area_level_</t>
  </si>
  <si>
    <t>Brussels</t>
  </si>
  <si>
    <t>BE</t>
  </si>
  <si>
    <t>United Kingdom</t>
  </si>
  <si>
    <t>GB</t>
  </si>
  <si>
    <t>Athens</t>
  </si>
  <si>
    <t>Greece</t>
  </si>
  <si>
    <t>Typical Value</t>
  </si>
  <si>
    <t>Postal Code</t>
  </si>
  <si>
    <t>state</t>
  </si>
  <si>
    <t>edinburgh</t>
  </si>
  <si>
    <t>Edinburgh</t>
  </si>
  <si>
    <t>City of Edinburgh</t>
  </si>
  <si>
    <t>Edinburgh, City of Edinburgh, UK</t>
  </si>
  <si>
    <t>Column Name</t>
  </si>
  <si>
    <t>the required field ID can be found in column named in 'column name' in input data</t>
  </si>
  <si>
    <t>the required field Address can be found in column named in 'column name' in input data</t>
  </si>
  <si>
    <t>Boulevard de Waterloo 16, 1000 City of Brussels, Belgium</t>
  </si>
  <si>
    <t>7 Balchug st.
Moscow 115035
Russian Federation</t>
  </si>
  <si>
    <t>google russia</t>
  </si>
  <si>
    <t>Moscow</t>
  </si>
  <si>
    <t>RU</t>
  </si>
  <si>
    <t>GNAT Heights
30 Independence Ave
North Ridge, Accra
Ghana</t>
  </si>
  <si>
    <t>google ghana</t>
  </si>
  <si>
    <t>Accra</t>
  </si>
  <si>
    <t>Accra Metropolis</t>
  </si>
  <si>
    <t>GH</t>
  </si>
  <si>
    <t>Google India Pvt Ltd</t>
  </si>
  <si>
    <t>Gurgaon</t>
  </si>
  <si>
    <t>India</t>
  </si>
  <si>
    <t>Buenos Aires, C1107AAH</t>
  </si>
  <si>
    <t>google argentina</t>
  </si>
  <si>
    <t>L30, Unit 3007, Teemtower, Teemmall,
208 Tianhe Road, Tianhe District,
Guangzhou, 510620</t>
  </si>
  <si>
    <t>google guangzhou</t>
  </si>
  <si>
    <t>Sublocality</t>
  </si>
  <si>
    <t>Country Code</t>
  </si>
  <si>
    <t>19 El Shahid Helmy El Masry St.
Almaza Area- P.O. Box 150
Heliopolis, Cairo
Egypt</t>
  </si>
  <si>
    <t>Google Cairo</t>
  </si>
  <si>
    <t>Egypt</t>
  </si>
  <si>
    <t>US=1,BE=1,CN=1,IN=1,AR=1,EG=1,default=2</t>
  </si>
  <si>
    <t>Rules</t>
  </si>
  <si>
    <t>Tabs</t>
  </si>
  <si>
    <t>Measures</t>
  </si>
  <si>
    <t>Orders</t>
  </si>
  <si>
    <t>latitude</t>
  </si>
  <si>
    <t>longtitude</t>
  </si>
  <si>
    <t>comments</t>
  </si>
  <si>
    <t>Worksheet</t>
  </si>
  <si>
    <t>Name</t>
  </si>
  <si>
    <t>CustomerMaster</t>
  </si>
  <si>
    <t>Transactions</t>
  </si>
  <si>
    <t>OrdersTransactions</t>
  </si>
  <si>
    <t>Where to find the customer master</t>
  </si>
  <si>
    <t>the transaction records</t>
  </si>
  <si>
    <t>Join</t>
  </si>
  <si>
    <t>OrdersMapping</t>
  </si>
  <si>
    <t>the join of the customer master and the transactions</t>
  </si>
  <si>
    <t>Master</t>
  </si>
  <si>
    <t>Bing</t>
  </si>
  <si>
    <t>Key</t>
  </si>
  <si>
    <t>AmVoAsOUH9QHTL4-Zc7qF7MjU8tm7zR9rDdXsA5QRsgudEwRJmz_a_NkGMmTUn3I</t>
  </si>
  <si>
    <t>Value</t>
  </si>
  <si>
    <t>Tower C Building No.8
DLF Cyber City
Gurgaon
122002 india</t>
  </si>
  <si>
    <t>_deserialization.resourcesets.1.resources</t>
  </si>
  <si>
    <t>_deserialization.resourcesets.1.resources.1</t>
  </si>
  <si>
    <t>_deserialization.resourcesets.1.resources.1.__type</t>
  </si>
  <si>
    <t>Location:http://schemas.microsoft.com/search/local/ws/rest/v1</t>
  </si>
  <si>
    <t>_deserialization.resourcesets.1.resources.1.bbox</t>
  </si>
  <si>
    <t>_deserialization.resourcesets.1.resources.1.bbox.1</t>
  </si>
  <si>
    <t>_deserialization.resourcesets.1.resources.1.bbox.2</t>
  </si>
  <si>
    <t>_deserialization.resourcesets.1.resources.1.bbox.3</t>
  </si>
  <si>
    <t>_deserialization.resourcesets.1.resources.1.bbox.4</t>
  </si>
  <si>
    <t>_deserialization.resourcesets.1.resources.1.name</t>
  </si>
  <si>
    <t>1600 Amphitheatre Pkwy, Mountain View, CA 94043-1351</t>
  </si>
  <si>
    <t>_deserialization.resourcesets.1.resources.1.point</t>
  </si>
  <si>
    <t>_deserialization.resourcesets.1.resources.1.point.type</t>
  </si>
  <si>
    <t>Point</t>
  </si>
  <si>
    <t>_deserialization.resourcesets.1.resources.1.point.coordinates</t>
  </si>
  <si>
    <t>_deserialization.resourcesets.1.resources.1.point.coordinates.1</t>
  </si>
  <si>
    <t>_deserialization.resourcesets.1.resources.1.point.coordinates.2</t>
  </si>
  <si>
    <t>_deserialization.resourcesets.1.resources.1.address</t>
  </si>
  <si>
    <t>_deserialization.resourcesets.1.resources.1.address.addressline</t>
  </si>
  <si>
    <t>1600 Amphitheatre Pkwy</t>
  </si>
  <si>
    <t>_deserialization.resourcesets.1.resources.1.address.admindistrict</t>
  </si>
  <si>
    <t>_deserialization.resourcesets.1.resources.1.address.admindistrict2</t>
  </si>
  <si>
    <t>Santa Clara Co.</t>
  </si>
  <si>
    <t>_deserialization.resourcesets.1.resources.1.address.countryregion</t>
  </si>
  <si>
    <t>_deserialization.resourcesets.1.resources.1.address.formattedaddress</t>
  </si>
  <si>
    <t>_deserialization.resourcesets.1.resources.1.address.locality</t>
  </si>
  <si>
    <t>_deserialization.resourcesets.1.resources.1.address.postalcode</t>
  </si>
  <si>
    <t>94043-1351</t>
  </si>
  <si>
    <t>_deserialization.resourcesets.1.resources.1.confidence</t>
  </si>
  <si>
    <t>High</t>
  </si>
  <si>
    <t>_deserialization.resourcesets.1.resources.1.entitytype</t>
  </si>
  <si>
    <t>Bing component</t>
  </si>
  <si>
    <t>Brussels Waterloolaan 16 boulevard de Waterloo 1000 Brussels</t>
  </si>
  <si>
    <t>Bing special</t>
  </si>
  <si>
    <t>You need to get your own key</t>
  </si>
  <si>
    <t>Yahoo</t>
  </si>
  <si>
    <t>XyeQGy3e</t>
  </si>
  <si>
    <t>Yahoo component</t>
  </si>
  <si>
    <t>Yahoo Special</t>
  </si>
  <si>
    <t>_deserialization.resultset.results</t>
  </si>
  <si>
    <t>_deserialization.resultset.results.1</t>
  </si>
  <si>
    <t>_deserialization.resultset.results.1.quality</t>
  </si>
  <si>
    <t>_deserialization.resultset.results.1.latitude</t>
  </si>
  <si>
    <t>_deserialization.resultset.results.1.longitude</t>
  </si>
  <si>
    <t>_deserialization.resultset.results.1.offsetlat</t>
  </si>
  <si>
    <t>_deserialization.resultset.results.1.offsetlon</t>
  </si>
  <si>
    <t>_deserialization.resultset.results.1.radius</t>
  </si>
  <si>
    <t>_deserialization.resultset.results.1.name</t>
  </si>
  <si>
    <t>_deserialization.resultset.results.1.line1</t>
  </si>
  <si>
    <t>1600 Amphitheatre Pky</t>
  </si>
  <si>
    <t>_deserialization.resultset.results.1.line2</t>
  </si>
  <si>
    <t>Mountain View, CA  94043-1351</t>
  </si>
  <si>
    <t>_deserialization.resultset.results.1.line3</t>
  </si>
  <si>
    <t>_deserialization.resultset.results.1.line4</t>
  </si>
  <si>
    <t>_deserialization.resultset.results.1.house</t>
  </si>
  <si>
    <t>_deserialization.resultset.results.1.street</t>
  </si>
  <si>
    <t>Amphitheatre Pky</t>
  </si>
  <si>
    <t>_deserialization.resultset.results.1.xstreet</t>
  </si>
  <si>
    <t>_deserialization.resultset.results.1.unittype</t>
  </si>
  <si>
    <t>_deserialization.resultset.results.1.unit</t>
  </si>
  <si>
    <t>_deserialization.resultset.results.1.postal</t>
  </si>
  <si>
    <t>_deserialization.resultset.results.1.neighborhood</t>
  </si>
  <si>
    <t>_deserialization.resultset.results.1.city</t>
  </si>
  <si>
    <t>_deserialization.resultset.results.1.county</t>
  </si>
  <si>
    <t>Santa Clara County</t>
  </si>
  <si>
    <t>_deserialization.resultset.results.1.state</t>
  </si>
  <si>
    <t>_deserialization.resultset.results.1.country</t>
  </si>
  <si>
    <t>_deserialization.resultset.results.1.countrycode</t>
  </si>
  <si>
    <t>_deserialization.resultset.results.1.statecode</t>
  </si>
  <si>
    <t>_deserialization.resultset.results.1.countycode</t>
  </si>
  <si>
    <t>_deserialization.resultset.results.1.uzip</t>
  </si>
  <si>
    <t>_deserialization.resultset.results.1.hash</t>
  </si>
  <si>
    <t>92F5774D0FC9C1AA</t>
  </si>
  <si>
    <t>_deserialization.resultset.results.1.woeid</t>
  </si>
  <si>
    <t>_deserialization.resultset.results.1.woetype</t>
  </si>
  <si>
    <t>Comment</t>
  </si>
  <si>
    <t>Athens, Greece</t>
  </si>
  <si>
    <t>lat</t>
  </si>
  <si>
    <t>lng</t>
  </si>
  <si>
    <t>title</t>
  </si>
  <si>
    <t>content</t>
  </si>
  <si>
    <t>Content</t>
  </si>
  <si>
    <t>Belgium</t>
  </si>
  <si>
    <t>Boulevard de Waterloo</t>
  </si>
  <si>
    <t>GR</t>
  </si>
  <si>
    <t>Russian Federation</t>
  </si>
  <si>
    <t>Ghana</t>
  </si>
  <si>
    <t>Osu Klottey</t>
  </si>
  <si>
    <t>IN</t>
  </si>
  <si>
    <t>AR</t>
  </si>
  <si>
    <t>Argentina</t>
  </si>
  <si>
    <t>Buenos Aires</t>
  </si>
  <si>
    <t>CN</t>
  </si>
  <si>
    <t>China</t>
  </si>
  <si>
    <t>Guangdong</t>
  </si>
  <si>
    <t>Guangzhou</t>
  </si>
  <si>
    <t>Tianhe</t>
  </si>
  <si>
    <t>EG</t>
  </si>
  <si>
    <t>Markers</t>
  </si>
  <si>
    <t>Marker html</t>
  </si>
  <si>
    <t>Code</t>
  </si>
  <si>
    <t>Header</t>
  </si>
  <si>
    <t>main</t>
  </si>
  <si>
    <t>functions</t>
  </si>
  <si>
    <t>body</t>
  </si>
  <si>
    <t>probably don’t need to touch</t>
  </si>
  <si>
    <t>you can mess around here to design your web page</t>
  </si>
  <si>
    <t>filename</t>
  </si>
  <si>
    <t>name of file to generate</t>
  </si>
  <si>
    <t>Note - if you  want to plot this on a map, first go to the parameter sheet and change the filename for the generated html file to something appropriate</t>
  </si>
  <si>
    <t>Yahoo Marker html</t>
  </si>
  <si>
    <t>//------
function initialize() {
    var mcpherData = mcpherDataPopulate();
    if (mcpherData.cJobject.length &gt; 0) {
     var myOptions = {
        center: new YGeoPoint(mcpherData.cJobject[0].lat, mcpherData.cJobject[0].lng),
   mapTypeId: YAHOO_MAP_REG,
   zoom : 16
     };
    // get parameters if any
     var qparams = mcpherGetqparams();
     if (qparams['zoom']) myOptions['zoom'] = parseInt(qparams['zoom']);
  // create the map
     var map = new  YMap(document.getElementById('map_canvas')); 
     map.addTypeControl();
     map.addZoomLong();
     map.addPanControl();
     map.setMapType(myOptions['mapTypeID']);
     map.drawZoomAndCenter(myOptions['center'],myOptions['zoom']);
// add the excel data
     for ( var i = 0 ; i &lt; mcpherData.cJobject.length;i++) 
                    mcpherAddMarker ( map, mcpherData.cJobject[i] );
     }
};</t>
  </si>
  <si>
    <t>function mcpherAddMarker(gMap, cj) {
  var gp = new YGeoPoint( cj.lat , cj.lng );
 var marker = gMap.addMarker ( gp ); 
  if (cj.content){
        var infoWindow = new YMarker (gp);
            infoWindow.addAutoExpand(cj.title);
            YEvent.Capture(infoWindow, EventsList.MouseClick,  
                function(){  
                    infoWindow.openSmartWindow(cj.content);  
                });  
            gMap.addOverlay(infoWindow );
      }
  return marker;
    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</t>
  </si>
  <si>
    <t>&lt;body onload="initialize()"&gt;
  "Testing Excel to Yahoo mapping - http://rambings.mcpher.com"
  &lt;div id="map_canvas" style="width:100%; height:100%"&gt;&lt;/div&gt;
&lt;/body&gt;
&lt;/html&gt;</t>
  </si>
  <si>
    <t>Ovi Marker html</t>
  </si>
  <si>
    <t>&lt;!DOCTYPE html&gt;
&lt;html&gt;
&lt;head&gt;
&lt;meta name='viewport' content='initial-scale=1.0, user-scalable=no' /&gt;
&lt;style type='text/css'&gt;
  html { height: 100% }
  body { height: 100%; margin: 0; padding: 0 }
  #map_canvas { height: 100%}
&lt;/style&gt;
&lt;script src='http://api.maps.ovi.com/jsl.js' type='text/javascript' charset='utf-8'&gt;&lt;/script&gt;
&lt;/script&gt;
&lt;script type='text/javascript'&gt;
//--generated</t>
  </si>
  <si>
    <t>function mcpherAuthorize() {
 ovi.mapsapi.util.ApplicationContext.set("authenticationToken", "&lt;Token&gt;");
};
//------
function initialize() {
    var mcpherData = mcpherDataPopulate();
    mcpherAuthorize();
    if (mcpherData.cJobject.length &gt; 0) {
     var myOptions = {
   center: [parseFloat(mcpherData.cJobject[0].lat), parseFloat(mcpherData.cJobject[0].lng) ],
        mapTypeId: 0,
        zoom : 2
     };
    // get parameters if any
     var qparams = mcpherGetqparams();
     if (qparams['zoom']) myOptions['zoom'] = parseInt(qparams['zoom']);
  // create the map
    var mapContainer = document.getElementById("map_canvas");
 var bubbleContainer = new ovi.mapsapi.map.component.InfoBubbles();
 var components = [
  new ovi.mapsapi.map.component.Behavior(),
  new ovi.mapsapi.map.component.TypeSelector(),
  new ovi.mapsapi.map.component.ZoomBar(),
  new ovi.mapsapi.map.component.ScaleBar(),
  new ovi.mapsapi.map.component.Overview(),
  new ovi.mapsapi.map.component.ViewControl(),
  new ovi.mapsapi.map.component.RightClick(),
  bubbleContainer 
 ];
 if (ovi.mapsapi.map &amp;&amp; ovi.mapsapi.map.Display) {
 var map = (window.display = new ovi.mapsapi.map.Display(mapContainer, {
   components: components,
   zoomLevel: myOptions['zoom'],
   fading: 250, // fading duration of tiles in miliseconds
   center: myOptions['center']
  }));
 }
// add the excel data
     for ( var i = 0 ; i &lt; mcpherData.cJobject.length;i++) 
                    mcpherAddMarker ( map, mcpherData.cJobject[i] ,bubbleContainer);
     }
};</t>
  </si>
  <si>
    <t xml:space="preserve">function mcpherAddMarker(gMap, cj,bc) {
  var gp = new ovi.mapsapi.geo.Coordinate( parseFloat(cj.lat), parseFloat(cj.lng));
  var marker = new ovi.mapsapi.map.StandardMarker(gp);
  var titleBubble ;
  gMap.objects.add(marker); 
  marker.addListener("mouseover", function() {
   titleBubble = bc.addBubble(cj.title, gp); 
  });
  marker.addListener("mouseleave", function() {
   bc.removeBubble(titleBubble); 
  });
 if (cj.content){
  marker.addListener("click", function() {
   bc.addBubble(cj.content, gp); 
  });
      }
  return marker;
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
</t>
  </si>
  <si>
    <t>&lt;body onload="initialize()"&gt;
  "Testing Excel to Ovi mapping - http://rambings.mcpher.com"
  &lt;div id="map_canvas" style="width:100%; height:100%"&gt;&lt;/div&gt;
&lt;/body&gt;
&lt;/html&gt;</t>
  </si>
  <si>
    <t>&lt;body onload="initialize()"&gt;
  "Testing Excel to Bing  mapping - http://rambings.mcpher.com"
  &lt;div id="map_canvas" style="width:100%; height:100%"&gt;&lt;/div&gt;
&lt;/body&gt;
&lt;/html&gt;</t>
  </si>
  <si>
    <t>Bing Marker html</t>
  </si>
  <si>
    <t>//------
function initialize() {
    var mcpherData = mcpherDataPopulate();
    if (mcpherData.cJobject.length &gt; 0) {
     var myOptions = {
   center: new Microsoft.Maps.Location(parseFloat(mcpherData.cJobject[0].lat), 
    parseFloat(mcpherData.cJobject[0].lng)), 
        mapTypeId: Microsoft.Maps.MapTypeId.auto,
        zoom : 2,
   credentials : mcpherGetCredentials()
     };
    // get parameters if any
     var qparams = mcpherGetqparams();
     if (qparams['zoom']) myOptions['zoom'] = parseInt(qparams['zoom']);
  // create the map
      var mapContainer = document.getElementById("map_canvas");
      map = new Microsoft.Maps.Map(mapContainer,
   {credentials: myOptions['credentials'],
    center: myOptions['center'],
    zoom: myOptions['zoom'],
    mapTypeId: myOptions['mapTypeId']}
   );
     map.entities.clear(); 
// add the excel data
     for ( var i = 0 ; i &lt; mcpherData.cJobject.length;i++) 
                    mcpherAddMarker ( map, mcpherData.cJobject[i] );
     }
};</t>
  </si>
  <si>
    <t>function mq() {
 return String.fromCharCode(34);
}
function mcpherAddMarker(gMap, cj ) {
var pushpin= new Microsoft.Maps.Pushpin(map.getCenter(), null); 
  infoBoxStyle = mq() + 
   'background-color:White; border: medium solid DarkOrange; font-family: Sans-serif; width:auto; font-size: 70%;' + mq();
  hoverBoxStyle = mq() + 
   'background-color:Cornsilk;  border-width:0; width:auto; font-size: 70%; font-family: Sans-serif;' + mq();
  var gp = new Microsoft.Maps.Location(parseFloat(cj.lat), parseFloat(cj.lng));
  var marker = new Microsoft.Maps.Pushpin(gp,null); 
  gMap.entities.push(marker);
  var hoverBox = new Microsoft.Maps.Infobox(gp,  { 
  htmlContent: '&lt;div style='+ hoverBoxStyle + '&gt;' + cj.title + '&lt;/div&gt;',visible:false} ); 
  gMap.entities.push(hoverBox);
  Microsoft.Maps.Events.addHandler(marker, 'mouseover', function() {
    hoverBox.setOptions({visible:true}); });
  Microsoft.Maps.Events.addHandler(marker, 'mouseout', function() {
    hoverBox.setOptions({visible:false}); 
                   infoBox.setOptions({visible:false}); });
 if (cj.content){
   var infoBox = new Microsoft.Maps.Infobox(gp, { 
  htmlContent: '&lt;div style='+ infoBoxStyle + '&gt;' + cj.content + '&lt;/div&gt;',visible:false} ); 
   gMap.entities.push(infoBox);
        Microsoft.Maps.Events.addHandler(marker, 'click', function() {
    infoBox.setOptions({visible:true}); });
        Microsoft.Maps.Events.addHandler(marker, 'mouseout', function() {
    hoverBox.setOptions({visible:false}); 
                   infoBox.setOptions({visible:false}); });
      }
 else
    Microsoft.Maps.Events.addHandler(marker, 'mouseout', function() {
    hoverBox.setOptions({visible:false});  });
  return marker;
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</t>
  </si>
  <si>
    <t>Marker KML</t>
  </si>
  <si>
    <t>Detail</t>
  </si>
  <si>
    <t>World</t>
  </si>
  <si>
    <t>Matching Column</t>
  </si>
  <si>
    <t>&lt;b&gt;Smiths&lt;/b&gt;&lt;br&gt;Boulevard de Waterloo 16&lt;br&gt; 1000 City of Brussels&lt;br&gt; Belgium&lt;br&gt;</t>
  </si>
  <si>
    <t>&lt;b&gt;Jones&lt;/b&gt;&lt;br&gt;Edinburgh&lt;br&gt; City of Edinburgh&lt;br&gt; UK&lt;br&gt;</t>
  </si>
  <si>
    <t>Viz Marker html</t>
  </si>
  <si>
    <t>Operation</t>
  </si>
  <si>
    <t>sum</t>
  </si>
  <si>
    <t>count</t>
  </si>
  <si>
    <t xml:space="preserve">Country </t>
  </si>
  <si>
    <t>Chart Fields</t>
  </si>
  <si>
    <t>Filter Fields</t>
  </si>
  <si>
    <t>Table Fields</t>
  </si>
  <si>
    <t>Dictionary</t>
  </si>
  <si>
    <t>This is the mapping between Excel fields and name under which they are exported</t>
  </si>
  <si>
    <t>Anything that needs to be exported must be in this list</t>
  </si>
  <si>
    <t>Customer,Price,Quantity,Orders</t>
  </si>
  <si>
    <t>Country,Price,Quantity,Orders</t>
  </si>
  <si>
    <t>State,Price,Quantity,Orders</t>
  </si>
  <si>
    <t>City,Price,Quantity,Orders</t>
  </si>
  <si>
    <t>the dictionary name will be used through parameters and in mapped reports</t>
  </si>
  <si>
    <t>Code,State</t>
  </si>
  <si>
    <t>Customer,State,Price,Orders</t>
  </si>
  <si>
    <t>Customer,Country,Price,Orders</t>
  </si>
  <si>
    <t>Customer,City,Price,Orders</t>
  </si>
  <si>
    <t>Customer,Price,Orders,Quantity</t>
  </si>
  <si>
    <t>City,State,Country,Price,Orders,Quantity</t>
  </si>
  <si>
    <t>Code,State,City</t>
  </si>
  <si>
    <t>This defines how to treat measures for charting</t>
  </si>
  <si>
    <t>Title</t>
  </si>
  <si>
    <t>Image URL</t>
  </si>
  <si>
    <t>Photo</t>
  </si>
  <si>
    <t>don’t touch</t>
  </si>
  <si>
    <t>fix this to something for your pc before you start</t>
  </si>
  <si>
    <t>you can modify  to this to design/tailor your web page - the map_canvas div is where everything will be plotted</t>
  </si>
  <si>
    <t>header</t>
  </si>
  <si>
    <t>no</t>
  </si>
  <si>
    <t>browser</t>
  </si>
  <si>
    <t>Position</t>
  </si>
  <si>
    <t>Element</t>
  </si>
  <si>
    <t>this defines the position on the infowindow</t>
  </si>
  <si>
    <t>these are mandatory</t>
  </si>
  <si>
    <t>Position on infowindow</t>
  </si>
  <si>
    <t>see right for position key</t>
  </si>
  <si>
    <t xml:space="preserve">Show </t>
  </si>
  <si>
    <t>0 means you don’t want one</t>
  </si>
  <si>
    <t>show means show on initial infowindow</t>
  </si>
  <si>
    <t>yes</t>
  </si>
  <si>
    <t>filters</t>
  </si>
  <si>
    <t>image</t>
  </si>
  <si>
    <t>checks</t>
  </si>
  <si>
    <t>table</t>
  </si>
  <si>
    <t>summary</t>
  </si>
  <si>
    <t>chart</t>
  </si>
  <si>
    <t>mcpherInfoTab</t>
  </si>
  <si>
    <t>mcpherfunctions</t>
  </si>
  <si>
    <t>Ticket Price</t>
  </si>
  <si>
    <t>Date</t>
  </si>
  <si>
    <t>Paul Simon</t>
  </si>
  <si>
    <t>Artist</t>
  </si>
  <si>
    <t>Venue</t>
  </si>
  <si>
    <t>Rosemont Theatre
5400 North River Road, Rosemont, IL  60018</t>
  </si>
  <si>
    <t>Rosemount theatre</t>
  </si>
  <si>
    <t>Venue ID</t>
  </si>
  <si>
    <t>Sting</t>
  </si>
  <si>
    <t>IL</t>
  </si>
  <si>
    <t>6801 Franklin Ave, New Orleans, LA  70122</t>
  </si>
  <si>
    <t>UNO Lakefront Arena</t>
  </si>
  <si>
    <t>Linkin Park</t>
  </si>
  <si>
    <t>Intex</t>
  </si>
  <si>
    <t>olympic park</t>
  </si>
  <si>
    <t>olympic park, seoul,south korea</t>
  </si>
  <si>
    <t>red square</t>
  </si>
  <si>
    <t>red square,moscow</t>
  </si>
  <si>
    <t>heineken hall</t>
  </si>
  <si>
    <t>All data comes from the parameter JOIN in the name parameter block</t>
  </si>
  <si>
    <t>default</t>
  </si>
  <si>
    <t>VenueMaster</t>
  </si>
  <si>
    <t>VenueTransactions</t>
  </si>
  <si>
    <t>VenueMapping</t>
  </si>
  <si>
    <t>LA</t>
  </si>
  <si>
    <t>New Orleans</t>
  </si>
  <si>
    <t>KR</t>
  </si>
  <si>
    <t>South Korea</t>
  </si>
  <si>
    <t>Seoul</t>
  </si>
  <si>
    <t>Bangi-dong</t>
  </si>
  <si>
    <t>TH</t>
  </si>
  <si>
    <t>Thailand</t>
  </si>
  <si>
    <t>JP</t>
  </si>
  <si>
    <t>Japan</t>
  </si>
  <si>
    <t>NL</t>
  </si>
  <si>
    <t>The Netherlands</t>
  </si>
  <si>
    <t>1-5-102, Nanko-Kita, Suminoe-ku, Osaka, 559-0034</t>
  </si>
  <si>
    <t>Suminoe Ward</t>
  </si>
  <si>
    <t>559-0034</t>
  </si>
  <si>
    <t>ArenA Boulevard 590
1101 DS Amsterdam Zuidoost</t>
  </si>
  <si>
    <t>Government of Amsterdam</t>
  </si>
  <si>
    <t>Amstel III en Bullewijk</t>
  </si>
  <si>
    <t>Image</t>
  </si>
  <si>
    <t>Venue Photo</t>
  </si>
  <si>
    <t>Artist Photo</t>
  </si>
  <si>
    <t>Artist URL</t>
  </si>
  <si>
    <t>Muang Thong Thani, Ban Mai, Bang Yai, Nonthaburi, 11140</t>
  </si>
  <si>
    <t>Bang Yai</t>
  </si>
  <si>
    <t>Ban Mai</t>
  </si>
  <si>
    <t>Ban Mai, Bang Yai, Nonthaburi 11140, Thailand</t>
  </si>
  <si>
    <t>aktiv square</t>
  </si>
  <si>
    <t>http://ramblings.mcpher.com/images/pic238.png</t>
  </si>
  <si>
    <t>http://ramblings.mcpher.com/images/pic239.png</t>
  </si>
  <si>
    <t>http://ramblings.mcpher.com/images/pic240.png</t>
  </si>
  <si>
    <t>http://ramblings.mcpher.com/images/pic241.png</t>
  </si>
  <si>
    <t>average</t>
  </si>
  <si>
    <t>customer</t>
  </si>
  <si>
    <t>http://ramblings.mcpher.com/images/pic242.png</t>
  </si>
  <si>
    <t>http://ramblings.mcpher.com/images/pic243.png</t>
  </si>
  <si>
    <t>http://ramblings.mcpher.com/images/pic244.png</t>
  </si>
  <si>
    <t>Shows</t>
  </si>
  <si>
    <t>Toto</t>
  </si>
  <si>
    <t>Average Price</t>
  </si>
  <si>
    <t>Artist,Shows,Average Price</t>
  </si>
  <si>
    <t>Artist,Average Price</t>
  </si>
  <si>
    <t>City,Average Price</t>
  </si>
  <si>
    <t>Viz Html</t>
  </si>
  <si>
    <t>SpotID</t>
  </si>
  <si>
    <t>Clone</t>
  </si>
  <si>
    <t>ArtistMaster</t>
  </si>
  <si>
    <t>Artist ID</t>
  </si>
  <si>
    <t>Artists</t>
  </si>
  <si>
    <t>This is the locational data</t>
  </si>
  <si>
    <t>These are the transactions</t>
  </si>
  <si>
    <t>The joined output</t>
  </si>
  <si>
    <t>You can add as many additional joins to the transactions as you like</t>
  </si>
  <si>
    <t>Clone From</t>
  </si>
  <si>
    <t>these are copied over to the join tab from the various sheets</t>
  </si>
  <si>
    <t>&lt;b&gt;aktiv square&lt;/b&gt;&lt;br&gt;Ban Mai&lt;br&gt; Bang Yai&lt;br&gt; Nonthaburi 11140&lt;br&gt; Thailand&lt;br&gt;</t>
  </si>
  <si>
    <t>mcphervizmap</t>
  </si>
  <si>
    <t>mcpherinit</t>
  </si>
  <si>
    <t>mcpherspot</t>
  </si>
  <si>
    <t>mcpherItem</t>
  </si>
  <si>
    <t>Date,City,State,Country,Venue,Artist,Price</t>
  </si>
  <si>
    <t>Date,City,State,Venue,Artist,Price</t>
  </si>
  <si>
    <t>Date,Venue,Artist,Price</t>
  </si>
  <si>
    <t>Date,Artist,Price</t>
  </si>
  <si>
    <t>Population</t>
  </si>
  <si>
    <t>GDP</t>
  </si>
  <si>
    <t>Palace Photo</t>
  </si>
  <si>
    <t>Wiki</t>
  </si>
  <si>
    <t>Palace</t>
  </si>
  <si>
    <t>Palace ID</t>
  </si>
  <si>
    <t>Build Cost</t>
  </si>
  <si>
    <t>SA</t>
  </si>
  <si>
    <t>Personal Wealth</t>
  </si>
  <si>
    <t>Age</t>
  </si>
  <si>
    <t>Date of birth</t>
  </si>
  <si>
    <t>King</t>
  </si>
  <si>
    <r>
      <t>Abdullah Bin Abdulaziz</t>
    </r>
    <r>
      <rPr>
        <sz val="10"/>
        <color rgb="FF000000"/>
        <rFont val="Arial"/>
        <family val="2"/>
      </rPr>
      <t> </t>
    </r>
  </si>
  <si>
    <t>Haji Hassanal Bolkiah</t>
  </si>
  <si>
    <t>Dynasty Age</t>
  </si>
  <si>
    <t>Ruler</t>
  </si>
  <si>
    <t>Called</t>
  </si>
  <si>
    <t>Sultan</t>
  </si>
  <si>
    <t>BN</t>
  </si>
  <si>
    <t>Dynasty Founded</t>
  </si>
  <si>
    <t>Ruler URL</t>
  </si>
  <si>
    <t>Ruler Wiki</t>
  </si>
  <si>
    <t>1245 Collonge-Bellerive, Switzerland</t>
  </si>
  <si>
    <t>Collonge-Bellerive</t>
  </si>
  <si>
    <t>Dynasty</t>
  </si>
  <si>
    <t>House of Saud</t>
  </si>
  <si>
    <t>House of Brunei</t>
  </si>
  <si>
    <t>Dynasty ID</t>
  </si>
  <si>
    <t>Kings Palace</t>
  </si>
  <si>
    <t>Kings palace, riyadh, saudi arabia</t>
  </si>
  <si>
    <t>Average Income</t>
  </si>
  <si>
    <t xml:space="preserve">Dynasty </t>
  </si>
  <si>
    <t>master</t>
  </si>
  <si>
    <t>dynasty</t>
  </si>
  <si>
    <t>PalaceTransactions</t>
  </si>
  <si>
    <t>PalaceMaster</t>
  </si>
  <si>
    <t>PalaceMapping</t>
  </si>
  <si>
    <t>DynastyMaster</t>
  </si>
  <si>
    <t>CH</t>
  </si>
  <si>
    <t>Switzerland</t>
  </si>
  <si>
    <t>Saudi Arabia</t>
  </si>
  <si>
    <t>Istana Nurul Iman</t>
  </si>
  <si>
    <t>Istana Nurul Iman,brunei</t>
  </si>
  <si>
    <t>Palace Wiki</t>
  </si>
  <si>
    <t>Sq Feet</t>
  </si>
  <si>
    <t>Bandar Seri Begawan</t>
  </si>
  <si>
    <t>Palace,Build Cost,Sq Feet</t>
  </si>
  <si>
    <t>.\bingMarkerGenerated.html</t>
  </si>
  <si>
    <t>.\oviMarkerGenerated.html</t>
  </si>
  <si>
    <t>.\yahooMarkerGenerated.html</t>
  </si>
  <si>
    <t>.\googleMarkerGenerated.html</t>
  </si>
  <si>
    <t>Home Country</t>
  </si>
  <si>
    <t>Brunei</t>
  </si>
  <si>
    <t>Country,Palace,Dynasty,Dynasty Age,Home Country,Called,Ruler,Personal Wealth,Age</t>
  </si>
  <si>
    <t>Countries</t>
  </si>
  <si>
    <t>http://ramblings.mcpher.com/images/pic246.png</t>
  </si>
  <si>
    <t>http://ramblings.mcpher.com/images/pic245.png</t>
  </si>
  <si>
    <t>http://ramblings.mcpher.com/images/pic249.png</t>
  </si>
  <si>
    <t>Ruler Url</t>
  </si>
  <si>
    <t>Palace,Build Cost,Sq Feet,Personal Wealth,Average Income,Population</t>
  </si>
  <si>
    <t>Dynasty,Called,Ruler,Build Cost,Palace Wiki,Sq Feet,Wiki</t>
  </si>
  <si>
    <t>"&lt;a href='http://en.wikipedia.org/wiki/Abdullah_of_Saudi_Arabia'&gt;King Abdullah&lt;/a&gt;"</t>
  </si>
  <si>
    <t>"&lt;a href='http://en.wikipedia.org/wiki/Haji_Hassanal_Bolkiah'&gt;Sultan of Brunei&lt;/a&gt;"</t>
  </si>
  <si>
    <t>http://ramblings.mcpher.com/images/pic250.png</t>
  </si>
  <si>
    <t>http://ramblings.mcpher.com/images/pic247.png</t>
  </si>
  <si>
    <t>Country,Palace,Home Country,Called,Ruler,Personal Wealth,Age</t>
  </si>
  <si>
    <t>Ruler,Personal Wealth,Build Cost</t>
  </si>
  <si>
    <t>Control</t>
  </si>
  <si>
    <t>comment</t>
  </si>
  <si>
    <t>Setting</t>
  </si>
  <si>
    <t>Label</t>
  </si>
  <si>
    <t>tilt</t>
  </si>
  <si>
    <t>range</t>
  </si>
  <si>
    <t>provider</t>
  </si>
  <si>
    <t>google earth</t>
  </si>
  <si>
    <t>earth marker</t>
  </si>
  <si>
    <t>Spots</t>
  </si>
  <si>
    <t>use this as a marker when doing earth</t>
  </si>
  <si>
    <t>just use the default when doing maps</t>
  </si>
  <si>
    <t>maps marker</t>
  </si>
  <si>
    <t>mcpherearth</t>
  </si>
  <si>
    <t>navigate</t>
  </si>
  <si>
    <t>.\vizMapVenuesGeneratedEarth.html</t>
  </si>
  <si>
    <t>.\vizMapPalacesGeneratedEarth.html</t>
  </si>
  <si>
    <t>Person ID</t>
  </si>
  <si>
    <t>Person Name</t>
  </si>
  <si>
    <t>People</t>
  </si>
  <si>
    <t>people</t>
  </si>
  <si>
    <t>Family ID</t>
  </si>
  <si>
    <t>Family Name</t>
  </si>
  <si>
    <t>Windsor</t>
  </si>
  <si>
    <t>Elizabeth</t>
  </si>
  <si>
    <t>Philip</t>
  </si>
  <si>
    <t>Andrew</t>
  </si>
  <si>
    <t>Charles</t>
  </si>
  <si>
    <t>Edward</t>
  </si>
  <si>
    <t>Anne</t>
  </si>
  <si>
    <t>Generation</t>
  </si>
  <si>
    <t>http://www1.pictures.zimbio.com/mp/AHT2geJE1jFc.jpg</t>
  </si>
  <si>
    <t>http://www4.pictures.gi.zimbio.com/Queen+Elizabeth+II+ReopensThe+Royal+Institution+pihtIOepFvZc.jpg</t>
  </si>
  <si>
    <t>http://www2.pictures.zimbio.com/mp/duK8ZyZm92Ic.jpg</t>
  </si>
  <si>
    <t>http://www2.pictures.gi.zimbio.com/Leaders+Gather+World+Economic+Forum+vDiOslnSa5Rc.jpg</t>
  </si>
  <si>
    <t>http://www2.pictures.zimbio.com/gi/Monaco+Royal+Wedding+Dinner+Arrivals+Fireworks+3ptCLE7Uh4ot.jpg</t>
  </si>
  <si>
    <t>http://www3.pictures.zimbio.com/mp/rJbFfhH9eRKc.jpg</t>
  </si>
  <si>
    <t>William</t>
  </si>
  <si>
    <t>Families</t>
  </si>
  <si>
    <t>Home ID</t>
  </si>
  <si>
    <t>York</t>
  </si>
  <si>
    <t>Cambridge</t>
  </si>
  <si>
    <t>Wessex</t>
  </si>
  <si>
    <t>Royale</t>
  </si>
  <si>
    <t>Kate</t>
  </si>
  <si>
    <t>http://www3.pictures.zimbio.com/mp/D4fSgDf-VUIc.jpg</t>
  </si>
  <si>
    <t>Buckingham Palace</t>
  </si>
  <si>
    <t>Home</t>
  </si>
  <si>
    <t>Kensington Palace</t>
  </si>
  <si>
    <t>Buckingham Palace, London SW1A 1AA</t>
  </si>
  <si>
    <t>SW1A 1BA</t>
  </si>
  <si>
    <t>Clarence House</t>
  </si>
  <si>
    <t>Royal Lodge</t>
  </si>
  <si>
    <t>Bagshot Park, Bracknell Rd, Winkfield, Bagshot, Bracknell Forest GU19 5PN, UK</t>
  </si>
  <si>
    <t>Windsor Great Park, Berkshire, Windsor, TW20 0UU, UK</t>
  </si>
  <si>
    <t>Bagshot Park</t>
  </si>
  <si>
    <t>Gatcombe Park</t>
  </si>
  <si>
    <t>family id</t>
  </si>
  <si>
    <t>person id</t>
  </si>
  <si>
    <t>who</t>
  </si>
  <si>
    <t>generation</t>
  </si>
  <si>
    <t xml:space="preserve">Home </t>
  </si>
  <si>
    <t>family name</t>
  </si>
  <si>
    <t>families</t>
  </si>
  <si>
    <t>Homes</t>
  </si>
  <si>
    <t>PeopleTransactions</t>
  </si>
  <si>
    <t>PeopleMapping</t>
  </si>
  <si>
    <t>home id</t>
  </si>
  <si>
    <t>home</t>
  </si>
  <si>
    <t>London</t>
  </si>
  <si>
    <t>Surrey</t>
  </si>
  <si>
    <t>Bracknell Forest</t>
  </si>
  <si>
    <t>Bagshot</t>
  </si>
  <si>
    <t>&lt;b&gt;Buckingham Palace&lt;/b&gt;&lt;br&gt;London&lt;br&gt;United Kingdom</t>
  </si>
  <si>
    <t>&lt;b&gt;Clarence House&lt;/b&gt;&lt;br&gt;London&lt;br&gt;United Kingdom</t>
  </si>
  <si>
    <t>&lt;b&gt;Bagshot Park&lt;/b&gt;&lt;br&gt;Bagshot&lt;br&gt;United Kingdom</t>
  </si>
  <si>
    <t>Gatcombe Park,Minchinhampton</t>
  </si>
  <si>
    <t>Glos</t>
  </si>
  <si>
    <t>&lt;b&gt;Gatcombe Park&lt;/b&gt;&lt;br&gt;&lt;br&gt;United Kingdom</t>
  </si>
  <si>
    <t>who,family name</t>
  </si>
  <si>
    <t>person id,SpotID,generation</t>
  </si>
  <si>
    <t>http://www1.pictures.zimbio.com/pc/HM+Queen+Elizabeth+II+attends+Royal+Society+L6YHUMA-Jhjt.jpg</t>
  </si>
  <si>
    <t>http://www2.pictures.zimbio.com/mp/vMTfYx_iTMGc.jpg</t>
  </si>
  <si>
    <t>Camilla</t>
  </si>
  <si>
    <t>http://www.premiumtours.co.uk/images/product/original/126_1.jpg</t>
  </si>
  <si>
    <t>http://www.princeofwales.gov.uk/content/images/1736795025_061025183224.jpg</t>
  </si>
  <si>
    <t>http://upload.wikimedia.org/wikipedia/commons/thumb/8/85/Royal_Lodge_Entrance.jpg/120px-Royal_Lodge_Entrance.jpg</t>
  </si>
  <si>
    <t>http://i327.photobucket.com/albums/k460/njroyal/Residences/bagshot-park.jpg</t>
  </si>
  <si>
    <t>http://community.stroud.gov.uk/_imagelibrary/5_gatcombe_park.jpg</t>
  </si>
  <si>
    <t>Balmoral Castle</t>
  </si>
  <si>
    <t>AB35 5TB</t>
  </si>
  <si>
    <t>Aberdeenshire</t>
  </si>
  <si>
    <t>Diana</t>
  </si>
  <si>
    <t>http://www.biographyonline.net/images/people/Diana_Princess_of_Wales.jpg</t>
  </si>
  <si>
    <t>with diana</t>
  </si>
  <si>
    <t>with camilla</t>
  </si>
  <si>
    <t>Wales - 2nd</t>
  </si>
  <si>
    <t>Wales - 1st</t>
  </si>
  <si>
    <t>Couple</t>
  </si>
  <si>
    <t>home,City,family name,generation</t>
  </si>
  <si>
    <t>Who lived here</t>
  </si>
  <si>
    <t>who,family name,generation</t>
  </si>
  <si>
    <t>family id,generation,SpotID</t>
  </si>
  <si>
    <t>family id,SpotID</t>
  </si>
  <si>
    <t>http://static.thehollywoodgossip.com/images/gallery/prince-harry-photo.jpg</t>
  </si>
  <si>
    <t>Harry</t>
  </si>
  <si>
    <t>Family lived here</t>
  </si>
  <si>
    <t>Lived at</t>
  </si>
  <si>
    <t>http://www2.pictures.zimbio.com/gi/Zara+Phillips+Marries+Mike+Tindall+Edinburgh+jUcXL9hiNayt.jpg</t>
  </si>
  <si>
    <t>Sophie</t>
  </si>
  <si>
    <t>Abdullah Bin Abdulaziz </t>
  </si>
  <si>
    <t>&lt;b&gt;Collonge-Bellerive&lt;/b&gt;&lt;br&gt;Collonge-Bellerive&lt;br&gt;Switzerland</t>
  </si>
  <si>
    <t>&lt;a href='http://en.wikipedia.org/wiki/Istana_Nurul_Iman'&gt;Istana Nurul Iman&lt;/a&gt;</t>
  </si>
  <si>
    <t>flyspeed</t>
  </si>
  <si>
    <t>flyrange</t>
  </si>
  <si>
    <t>flyincrement</t>
  </si>
  <si>
    <t>use maps or earth</t>
  </si>
  <si>
    <t>whether to kick off browser</t>
  </si>
  <si>
    <t>angle to look at in earth</t>
  </si>
  <si>
    <t>how far away to look from</t>
  </si>
  <si>
    <t>speed to fly around in earth</t>
  </si>
  <si>
    <t xml:space="preserve">how far away when flying </t>
  </si>
  <si>
    <t>how many degrees to move in each movement</t>
  </si>
  <si>
    <t>balmoral castle,Ballater, Aberdeenshire
Scotland, AB35 5TB</t>
  </si>
  <si>
    <t>.\vizMapFamilyGeneratedEarth.html</t>
  </si>
  <si>
    <t>Google</t>
  </si>
  <si>
    <t>http://blogs.sfweekly.com/thesnitch/assets_c/2010/08/google%20headquarters-thumb-200x130.jpg</t>
  </si>
  <si>
    <t>Kensington Palace
London W8 4PX</t>
  </si>
  <si>
    <t> -0.696746</t>
  </si>
  <si>
    <t>Windsor Castle</t>
  </si>
  <si>
    <t>http://www.milesfaster.co.uk/information/london-attractions/images/windsor-castle.jpg</t>
  </si>
  <si>
    <t>http://www.britroyals.com/images/mark.jpg</t>
  </si>
  <si>
    <t>Mark</t>
  </si>
  <si>
    <t>Phillips</t>
  </si>
  <si>
    <t>http://www.britroyals.com/images/timothy.jpg</t>
  </si>
  <si>
    <t>Timothy</t>
  </si>
  <si>
    <t>Laurence</t>
  </si>
  <si>
    <t>http://www.britroyals.com/images/mike.jpg</t>
  </si>
  <si>
    <t>Mike</t>
  </si>
  <si>
    <t>http://www.britroyals.com/images/autumn.jpg</t>
  </si>
  <si>
    <t>Autumn</t>
  </si>
  <si>
    <t>http://www.britroyals.com/images/zara.jpg</t>
  </si>
  <si>
    <t>Zara</t>
  </si>
  <si>
    <t>http://www.britroyals.com/images/sarah.jpg</t>
  </si>
  <si>
    <t>Sarah</t>
  </si>
  <si>
    <t>http://www.britroyals.com/images/beatrice.jpg</t>
  </si>
  <si>
    <t>Beatrice</t>
  </si>
  <si>
    <t>http://www.britroyals.com/images/eugenie.jpg</t>
  </si>
  <si>
    <t>Eugenie</t>
  </si>
  <si>
    <t>http://www.britroyals.com/images/louise.jpg</t>
  </si>
  <si>
    <t>Louise</t>
  </si>
  <si>
    <t>http://www.britroyals.com/images/severn.jpg</t>
  </si>
  <si>
    <t>James</t>
  </si>
  <si>
    <t>http://www.britroyals.com/images/peter.jpg</t>
  </si>
  <si>
    <t>Peter</t>
  </si>
  <si>
    <t>Tindall</t>
  </si>
  <si>
    <t>peter</t>
  </si>
  <si>
    <t>http://photos.geni.com/p13/49/b0/a3/47/53444838d2685f27/savannah_phillips_medium.jpg</t>
  </si>
  <si>
    <t>Savannah</t>
  </si>
  <si>
    <t>http://upload.wikimedia.org/wikipedia/commons/thumb/4/4c/Sunninghill_house_-_front_drive.jpg/220px-Sunninghill_house_-_front_drive.jpg</t>
  </si>
  <si>
    <t>Sunninghill Park</t>
  </si>
  <si>
    <t>51.426040°N 0.649894°W</t>
  </si>
  <si>
    <t>Sunninghill Park, SL5 7RQ</t>
  </si>
  <si>
    <t>google maps</t>
  </si>
  <si>
    <t>.\vizMapOrdersGenerated.html</t>
  </si>
  <si>
    <t>http://ramblings.mcpher.com/Home/excelquirks/getmaps</t>
  </si>
  <si>
    <t>for more on this see</t>
  </si>
  <si>
    <t>Nankokita</t>
  </si>
  <si>
    <t>Nankokita, Suminoe Ward, Osaka, Osaka Prefecture 559-0034, Japan</t>
  </si>
  <si>
    <t>&lt;b&gt;Intex&lt;/b&gt;&lt;br&gt;Nankokita&lt;br&gt; Suminoe Ward&lt;br&gt; Osaka&lt;br&gt; Osaka Prefecture 559-0034&lt;br&gt; Japan&lt;br&gt;</t>
  </si>
  <si>
    <t>http://www.hotels-london-hotel.com/buckingham-palace/buckingham-palace-tea-pot.jpg</t>
  </si>
  <si>
    <t>http://upload.wikimedia.org/wikipedia/commons/thumb/4/4d/Balmoral_Castle.jpg/250px-Balmoral_Castle.jpg</t>
  </si>
  <si>
    <t>chart type</t>
  </si>
  <si>
    <t>orgchart</t>
  </si>
  <si>
    <t>barchart</t>
  </si>
  <si>
    <t>none</t>
  </si>
  <si>
    <t>Office</t>
  </si>
  <si>
    <t>Office ID</t>
  </si>
  <si>
    <t>Office Photo</t>
  </si>
  <si>
    <t>Employee</t>
  </si>
  <si>
    <t>Manager</t>
  </si>
  <si>
    <t>Employee ID</t>
  </si>
  <si>
    <t>Manager ID</t>
  </si>
  <si>
    <t>Enterprise</t>
  </si>
  <si>
    <t>Photo URL</t>
  </si>
  <si>
    <t>Function ID</t>
  </si>
  <si>
    <t>Function</t>
  </si>
  <si>
    <t>Country,City,Office,Function,Manager,Employee</t>
  </si>
  <si>
    <t>Employee,Manager,Function</t>
  </si>
  <si>
    <t>Span</t>
  </si>
  <si>
    <t>Offices</t>
  </si>
  <si>
    <t>StaffTransactions</t>
  </si>
  <si>
    <t>StaffMapping</t>
  </si>
  <si>
    <t>Staff</t>
  </si>
  <si>
    <t>Managers</t>
  </si>
  <si>
    <t>Functions</t>
  </si>
  <si>
    <t>managers</t>
  </si>
  <si>
    <t>this means that we match the manager id in the transaction with the staff id in the staff</t>
  </si>
  <si>
    <t>Employee ID=Manager ID</t>
  </si>
  <si>
    <t>Manager=Employee</t>
  </si>
  <si>
    <t>means we take the field called employee and call it manager</t>
  </si>
  <si>
    <t>staff</t>
  </si>
  <si>
    <t>Function,Office,Employee,Manager</t>
  </si>
  <si>
    <t>Manager,Office,Function,Employee</t>
  </si>
  <si>
    <t>Office,Employee,Function,Manager</t>
  </si>
  <si>
    <t>Employee,Office,Function,Manager</t>
  </si>
  <si>
    <t>twitter</t>
  </si>
  <si>
    <t>Twitter Fields</t>
  </si>
  <si>
    <t>twitterradius</t>
  </si>
  <si>
    <t>radius from spot to report tweets</t>
  </si>
  <si>
    <t>twitterlanguage</t>
  </si>
  <si>
    <t>language code- leave blank for all</t>
  </si>
  <si>
    <t>en</t>
  </si>
  <si>
    <t>twittermaxtweets</t>
  </si>
  <si>
    <t>max nu of tweets to show</t>
  </si>
  <si>
    <t>who,home</t>
  </si>
  <si>
    <t>Country,Artist</t>
  </si>
  <si>
    <t>City,Artist</t>
  </si>
  <si>
    <t>Dominic Strauss Khan</t>
  </si>
  <si>
    <t>http://4.bp.blogspot.com/-dTBHZ_UaiwQ/TdJm57L2NCI/AAAAAAAABvU/NGMHtfZXkxw/s320/IMF+chief+Dominique+Strauss-Kahn+will+next+appear+in+court.jpg</t>
  </si>
  <si>
    <t>Nicholas Sarkozy</t>
  </si>
  <si>
    <t>http://static.guim.co.uk/sys-images/Guardian/Pix/pictures/2007/01/18/merkel128ready.jpg</t>
  </si>
  <si>
    <t>Angela Merkel</t>
  </si>
  <si>
    <t>http://a2.twimg.com/profile_images/1267957845/SARKOZY_reasonably_small.JPG</t>
  </si>
  <si>
    <t>http://media.advisorone.com/advisorone/files/article/Madoff_Bernie_Dec-08_TN-crop-96x96.jpg</t>
  </si>
  <si>
    <t>Bernie Madhoff</t>
  </si>
  <si>
    <t>Fannie Mae</t>
  </si>
  <si>
    <t>Fred Goodwin</t>
  </si>
  <si>
    <t>Freddie Mack</t>
  </si>
  <si>
    <t>Richard Fuld</t>
  </si>
  <si>
    <t>Charles Ponzi</t>
  </si>
  <si>
    <t>http://profile.ak.fbcdn.net/hprofile-ak-snc4/50289_79437483433_3527813_q.jpg</t>
  </si>
  <si>
    <t>http://www.dollarsandsense.org/freddiemaclogotiny.jpg</t>
  </si>
  <si>
    <t>http://profile.ak.fbcdn.net/hprofile-ak-snc4/188090_188711347831031_686876_q.jpg</t>
  </si>
  <si>
    <t>http://www.businessweek.com/bw50/2007/image/LEH.jpg</t>
  </si>
  <si>
    <t>http://media.advisorone.com/advisorone/files/article/Ponzi_TN-crop-96x96.JPG</t>
  </si>
  <si>
    <t>Pensions</t>
  </si>
  <si>
    <t>Mortgages and Loans</t>
  </si>
  <si>
    <t>Employee Relations</t>
  </si>
  <si>
    <t>Investment</t>
  </si>
  <si>
    <t>Wealth Management</t>
  </si>
  <si>
    <t>Ebenezer Scrooge</t>
  </si>
  <si>
    <t>http://profile.ak.fbcdn.net/hprofile-ak-snc4/50286_36742018673_6402975_q.jpg</t>
  </si>
  <si>
    <t>Foreign Exchange</t>
  </si>
  <si>
    <t>Shitibank administration</t>
  </si>
  <si>
    <t>http://static-cdn.guyanapublications.com/images/2011/08/20110809NafissatouDiallo-50x45.jpg</t>
  </si>
  <si>
    <t>Nafissatou Diallo</t>
  </si>
  <si>
    <t>Sofitel New York</t>
  </si>
  <si>
    <t>45 West 44th Street,New york City</t>
  </si>
  <si>
    <t>http://imgs.sfgate.com/c/pictures/2011/07/05_t/mn-strauss06_ph1_0503732902_t.gif</t>
  </si>
  <si>
    <t>Tristane Banon</t>
  </si>
  <si>
    <t>Elysee Palace</t>
  </si>
  <si>
    <t>55 rue du faubourg Saint-Honoré
75008 Paris, France</t>
  </si>
  <si>
    <t>Bundeskanzleramt</t>
  </si>
  <si>
    <t>Bundeskanzleramt,berlin,germany</t>
  </si>
  <si>
    <t>NY</t>
  </si>
  <si>
    <t>New York</t>
  </si>
  <si>
    <t>Manhattan</t>
  </si>
  <si>
    <t>FR</t>
  </si>
  <si>
    <t>France</t>
  </si>
  <si>
    <t>Paris</t>
  </si>
  <si>
    <t>Rue du Faubourg Saint-Honoré</t>
  </si>
  <si>
    <t>8th arrondissement of Paris</t>
  </si>
  <si>
    <t>55 Rue du Faubourg Saint-Honoré, 75008 Paris, France</t>
  </si>
  <si>
    <t>DE</t>
  </si>
  <si>
    <t>Germany</t>
  </si>
  <si>
    <t>Berlin</t>
  </si>
  <si>
    <t>Willy-Brandt-Straße</t>
  </si>
  <si>
    <t>Bundeskanzleramt, Willy-Brandt-Straße 1, 10557 Berlin, Germany</t>
  </si>
  <si>
    <t>&lt;b&gt;Sofitel New York&lt;/b&gt;&lt;br&gt;New York&lt;br&gt;United States</t>
  </si>
  <si>
    <t>&lt;b&gt;Elysee Palace&lt;/b&gt;&lt;br&gt;Paris&lt;br&gt;France</t>
  </si>
  <si>
    <t>&lt;b&gt;Bundeskanzleramt&lt;/b&gt;&lt;br&gt;Berlin&lt;br&gt;Germany</t>
  </si>
  <si>
    <t>20mi</t>
  </si>
  <si>
    <t xml:space="preserve">whether or not to adjust for daylight </t>
  </si>
  <si>
    <t>adjustlightfortimeofday</t>
  </si>
  <si>
    <t>placemarkscale</t>
  </si>
  <si>
    <t>scale to apply to image placemark</t>
  </si>
  <si>
    <t>Manager Photo=Photo URL</t>
  </si>
  <si>
    <t>means we take the field called photo url and call it manager photo</t>
  </si>
  <si>
    <t>Manager Photo</t>
  </si>
  <si>
    <t>Berbie Ebbers</t>
  </si>
  <si>
    <t>http://imgs.sfgate.com/c/pictures/2003/08/28_t/bu_worldcom_t.gif</t>
  </si>
  <si>
    <t>David Thomas</t>
  </si>
  <si>
    <t>http://i.telegraph.co.uk/multimedia/archive/00851/money-graphics-2002_851877a.jpg</t>
  </si>
  <si>
    <t xml:space="preserve">1290 Avenue Of The Americas
New York, NY </t>
  </si>
  <si>
    <t>Equitable Life</t>
  </si>
  <si>
    <t>1000 Old Nc 75, Butner, NC 27509, United States</t>
  </si>
  <si>
    <t>Butner Federal Correction Complex</t>
  </si>
  <si>
    <t>Oakdale Federal Correction Complex</t>
  </si>
  <si>
    <t>FCI OAKDALE
FEDERAL CORRECTIONAL INSTITUTION
1507 EAST WHATLEY ROAD
OAKDALE, LA 71463</t>
  </si>
  <si>
    <t>Vikram Pandit</t>
  </si>
  <si>
    <t>http://www4.pictures.zimbio.com/gi/FORTUNE+Breakfast+Conversation+Vikram+Pandit+-l6QMTh1yApt.jpg</t>
  </si>
  <si>
    <t>Citibank
399 Park Ave.
New York, NY 10022</t>
  </si>
  <si>
    <t>ShitiBank HQ</t>
  </si>
  <si>
    <t>Oakdale</t>
  </si>
  <si>
    <t>NC</t>
  </si>
  <si>
    <t>Butner</t>
  </si>
  <si>
    <t>&lt;b&gt;ShitiBank HQ&lt;/b&gt;&lt;br&gt;New York&lt;br&gt;United States</t>
  </si>
  <si>
    <t>&lt;b&gt;Butner Federal Correction Complex&lt;/b&gt;&lt;br&gt;Butner&lt;br&gt;United States</t>
  </si>
  <si>
    <t>&lt;b&gt;Oakdale Federal Correction Complex&lt;/b&gt;&lt;br&gt;Oakdale&lt;br&gt;United States</t>
  </si>
  <si>
    <t>&lt;b&gt;Equitable Life&lt;/b&gt;&lt;br&gt;New York&lt;br&gt;United States</t>
  </si>
  <si>
    <t>http://blogs.villagevoice.com/pressclips/shitibanknu-400.jpg</t>
  </si>
  <si>
    <t>imagewidth</t>
  </si>
  <si>
    <t>image width to apply to URL images</t>
  </si>
  <si>
    <t>.\vizMapOrgGeneratedEarth.html</t>
  </si>
  <si>
    <t>2mi</t>
  </si>
  <si>
    <t>.5mi</t>
  </si>
  <si>
    <t>twitterimagewidth</t>
  </si>
  <si>
    <t>.1mi</t>
  </si>
  <si>
    <t xml:space="preserve">// mcpherItem
// custom object to hold marker plus associated data
 var mcpherItem = function () {this.init();};
 mcpherItem.prototype.init = function () { 
  return (this);
 };
 mcpherItem.prototype.create = function (mm , markerIndex) {
  this.parent = mm;
  mMark=this;
  this.cJobject = this.parent.cJobject[markerIndex];
  this.spotId= this.cJobject.SpotID;
  this.markerIndex = markerIndex;
  // this will be the info box detail
  this.container = this.parent.tempDiv.appendChild(
    document.createElement('div'));
  this.container.cssName = this.parent.cssHide;
  this.container.id ='itemcon'+this.markerIndex;
  // to hold the tab selectors
  this.tabContainer = this.container.appendChild(
    document.createElement('div'));
  this.infoTabs = new Array (this.parent.tabs.length);
  // making tabbed infowindow
  this.ulContainer = this.tabContainer;
  for (var i = 0; i &lt; this.infoTabs.length;i++ ){
   this.infoTabs[i] = new mcpherInfoTab();
   this.infoTabs[i].create (this,i);
  } 
  return this;
 };
 mcpherItem.prototype.fillDiv =function (conTab) {
  var mm = this;
  mm.refreshTweets(conTab);
  // change the selected tab and load up the appropriate divs
  for (var i=0; i &lt; mm.infoTabs.length ; i++) { 
   if (conTab.tabIndex == i ) {
    mm.infoTabs[i].tab.className = mm.parent.cssTabSelected;
    mm.infoTabs[i].divContainer.className = 
     mm.parent.cssShow + ' ' + mm.parent.cssSelected;
   }
   else {
    mm.infoTabs[i].tab.className = mm.parent.cssTab;
    mm.infoTabs[i].divContainer.className = mm.parent.cssHide;
   }
  } 
 };
 mcpherItem.prototype.refreshTweets = function (conTab) {    
  var ie=conTab.infoElements['twitter'];
  var qt=conTab.tTable;
  var spot = this.spot;
  var vm = spot.parent;
  if (!ie)return(null);
  ie.innerHTML='';
  var sArg = "?";
  var sRest = "http://search.twitter.com/search.json";
  // create the query from any terms in the twitter table
  var sQ ='';
  if (qt){
   for (var i =0; i &lt; qt.getNumberOfRows(); i++) {
    var sa='';
    for (var j =0; j &lt; qt.getNumberOfColumns(); j++) {
     var s = qt.getValue(i,j).toString();
     if (s) {
      if(sa) sa += '+AND+';
      sa += s ;
     }
    }
    if (sa) {
     if (sQ) sQ += '+OR+';
     sQ += '(' + sa + ')';
    }
   }
  }
  if (sQ){
   sRest += sArg + "q=" + sQ;
   sArg = "&amp;";
  }
  // location based
  if (vm.control.twitterradius){
   sRest += sArg + 'geocode=' + spot.lat + "," + spot.lng + "," + vm.control.twitterradius;
   sArg = "&amp;";
  }
  //language selected
  if (vm.control.twitterlanguage){
   sRest += sArg + 'lang=' + vm.control.twitterlanguage;
   sArg = "&amp;";
  }
  //limit
  if (vm.control.twittermaxtweets){
   sRest += sArg + 'rpp=' + vm.control.twittermaxtweets + '&amp;page=1';
   sArg = "&amp;";
  }
  $.getJSON(encodeURI(sRest) + '&amp;callback=?',
    function(resp){
   $(ie).append('&lt;table&gt;&lt;th class="mctweetheader" colspan=2&gt;' +
     '&lt;a href="https://twitter.com/brucemcpherson"&gt;' + 
     'Follow ramblings.mcpher.com @brucemcpherson&lt;/a&gt;' + 
     (vm.control.twitterradius ?  '&lt;br&gt;Tweets within ' + vm.control.twitterradius + ' of ' + spot.title:'') +
   '&lt;/th&gt;');
   $.each(resp.results, function(i,item){
    $(ie).append('&lt;tr&gt;&lt;td class="mctweet"&gt;' +
      '&lt;img src="'+item.profile_image_url+ '" ' +
      (mcpherIsNumber(vm.control.twitterimagewidth) ?  
        'width="' + vm.control.twitterimagewidth +'"' : '') +
      '"&lt;/img&gt;&lt;/td&gt;'+
      '&lt;td class="mctweet" rowspan="2"&gt;' + item.created_at+':'+item.text + 
      '&lt;/tr&gt;&lt;tr&gt;&lt;td class="mctweet"&gt;@' + item.from_user + ':&lt;/td&gt;' +
    '&lt;/tr&gt;');
   });
   $(ie).append('&lt;/table&gt;');
  });
 };
// END OF mcpherItem
</t>
  </si>
  <si>
    <t>markerSize</t>
  </si>
  <si>
    <t>markerColor</t>
  </si>
  <si>
    <t>color</t>
  </si>
  <si>
    <t>size</t>
  </si>
  <si>
    <t>Gt Lon</t>
  </si>
  <si>
    <t>City of Westminster, London SW1A 1BA, UK</t>
  </si>
  <si>
    <t>Park View</t>
  </si>
  <si>
    <t>GU19</t>
  </si>
  <si>
    <t>Park View, Bagshot, Surrey GU19, UK</t>
  </si>
  <si>
    <t>Gatcombe Park, Gloucestershire, UK</t>
  </si>
  <si>
    <t>SL5</t>
  </si>
  <si>
    <t>&lt;b&gt;Kensington Palace&lt;/b&gt;&lt;br&gt;London&lt;br&gt;United Kingdom</t>
  </si>
  <si>
    <t>required</t>
  </si>
  <si>
    <t>Sector 24</t>
  </si>
  <si>
    <t>Al Maza</t>
  </si>
  <si>
    <t>markerImage</t>
  </si>
  <si>
    <t>http://maps.google.com/mapfiles/marker_orange.png</t>
  </si>
  <si>
    <t>markerCategory</t>
  </si>
  <si>
    <t>category</t>
  </si>
  <si>
    <t xml:space="preserve">&lt;!DOCTYPE html&gt;
&lt;html&gt;
&lt;head&gt;
&lt;meta name="viewport" content="initial-scale=1.0, user-scalable=no" /&gt;
&lt;style type="text/css"&gt;
  html { height: 100% }
  body { 
 height: 100%; 
 margin: 0; 
 padding: 0 ;  
 color: Gray ;
 background-color: WhiteSmoke; 
  }
  #map_canvas { height: 100%}
.mcquicklink {
 margin-left: 20px;
 margin-right: 20px;
 display: inline;
 font-family: sans-serif;
 float: right;
}
.mccategory {
 margin-left: 20px;
 margin-right: 20px;
 display: inline;
 font-family: sans-serif;
 float: right;
}
.mcheading {
 display: inline;
 font-family: sans-serif;
}
&lt;/style&gt;
&lt;script type="text/javascript"
    src="http://maps.googleapis.com/maps/api/js?sensor=false"&gt;
&lt;/script&gt;
&lt;script type="text/javascript"&gt;
</t>
  </si>
  <si>
    <t>Step by Step Master</t>
  </si>
  <si>
    <t>Address ID</t>
  </si>
  <si>
    <t>Step by Step Transactions</t>
  </si>
  <si>
    <t>Step by Step Join</t>
  </si>
  <si>
    <t>#0000FF</t>
  </si>
  <si>
    <t>#FF0000</t>
  </si>
  <si>
    <t>.\vizMapStepbyStep.html</t>
  </si>
  <si>
    <t xml:space="preserve">// --INFOTAB custom object to hold infowindow tab data
 var mcpherInfoTab = function () {this.init();};
 mcpherInfoTab.prototype.init = function () { 
  return (this);
 };
 mcpherInfoTab.prototype.showOrNot =function () {
  // are we showing it?
  var vm = this.parent.parent;
  for (var key in this.infoElements) {
   if (this.checkBoxes[key]){
    this.infoElements[key].className = 
     this.checkBoxes[key].checked ? vm.cssShow : vm.cssHide;
   }
  }
 };
 mcpherInfoTab.prototype.createDivElements = function (container) {
  // this creates the structure for div elements of the infowindow that are indexed by the framework
  this.divElements = new Array();
  this.divContainer = container.appendChild(document.createElement('div'));
  var labBody = this.divContainer.appendChild( 
    document.createElement('table')).appendChild(document.createElement('tbody'));
  var labTds = new Array();     
  // because of the rowspans and colspans its kind of tricky
  // r0 3 cells
  this.createTds(labBody,labTds, 1 , 3);
  // r1 2 cells
  this.createTds(labBody,labTds, 1 , 2);
  // r2-5 1 cells
  this.createTds(labBody,labTds, 4 , 1);
  // r6 2 cell
  this.createTds(labBody,labTds, 1 , 2);
  // set up colspans &amp; row spans and assign to positions
  this.pushDiv(labTds , 0 ,0 , 0, 0,  1);
  this.pushDiv(labTds , 1 ,0 , 0, 0,  2); 
  this.pushDiv(labTds , 1 ,1 , 2, 0,  3); 
  this.pushDiv(labTds , 2 ,0 , 0, 0,  4);
  this.pushDiv(labTds , 3 ,0 , 0, 2,  5); 
  this.pushDiv(labTds , 4 ,0 , 0, 2,  6); 
  this.pushDiv(labTds , 5 ,0 , 0, 2,  7); 
  this.pushDiv(labTds , 6 ,0 , 0, 2,  8); 
  this.pushDiv(labTds , 0 ,2 , 6, 0,  9); 
  this.pushDiv(labTds , 6 ,1 , 0, 0,  10); 
  this.pushDiv(labTds , 0 ,1 , 0, 0,  11); 
 };
 mcpherInfoTab.prototype.createTds =function (labBody,labTds, nRows, nCols ) {
  for (var i=0; i &lt; nRows ;i++){
   var labTrTds = new Array();
   var labTr = labBody.appendChild(document.createElement('tr'));
   for (var j=0; j &lt; nCols ; j++){
    labTrTds.push (labTr.appendChild(document.createElement('td')));
   }
   labTds.push (labTrTds);
  }
 };
 mcpherInfoTab.prototype.pushDiv =function (container, r ,c , rs, cs, pos ) {
  var cTd = container[r][c];
  cTd.className= 'mcelementtd';
  if (rs) {
   cTd.rowSpan = rs;
  }
  if (cs) {
   cTd.colSpan = cs;
  }
  this.divElements.push(cTd.appendChild(document.createElement('div')));
 };
 mcpherInfoTab.prototype.create =function (mm , tabIndex) {
  this.parent = mm;
  var vm = mm.parent;
  var ve = vm.ve;
  var conTab = this;
  this.tabIndex = tabIndex;
  this.tab = this.parent.ulContainer.appendChild( 
    document.createElement('li'));
  this.tab.className = vm.cssTab ;
  mcpherAddEvent (this.tab,"click",
    function(){ mm.fillDiv(conTab);}
  ,false ,true) ;
  this.tab.appendChild(document.createTextNode 
    (vm.tabs[this.tabIndex]));
  // create the structure of this info tab
  this.createDivElements(mm.container.appendChild 
    (document.createElement('div')));
  // now assign these divs to required elements
  var ie = this.infoElements  = new Array();
  for (key in vm.cElements){
   var p = parseInt(vm.cElements[key].position);
   if (p){
    if ( p&lt;0 || p &gt; this.divElements.length){
     alert(' position ' + p + ' is not valid - refer to diagram in parameter sheet');
    }
    else{
     this.infoElements[key] = this.divElements[p -1];
    }
   }
  }
  if (ie['title']) {
   ie['title'].appendChild (document.createTextNode(mm.cJobject.Title));
  }
  // fill all that up
  if (ie['content']) {
   ie['content'].innerHTML= mm.cJobject.Content;
  }
  // add checkboxes
  if (ie['checks']) {
   this.checkBoxes = new Array();
   for (key in vm.cElements) {
    if ( parseInt(vm.cElements[key].position)) {
     var cbx = document.createElement("input"); 
     cbx.className = 'mccheck';
     cbx.type = "checkbox";  
     cbx.id = "mcphercbx" + key;
     ie['checks'].appendChild(
       document.createTextNode('\u00a0\u00a0'+ key ));
     this.checkBoxes[key]= ie['checks'].appendChild(cbx);
     if (vm.cElements[key].show == "yes") {
      cbx.setAttribute("checked", "checked" );
     }
     mcpherAddEvent (cbx,"click",function(){ 
      conTab.showOrNot(); 
     },false ,true) ;
    }
   }
  }
  if (ie['navigate']){
   var bx = document.createElement('button');
   bx.className = 'mcnextbutton';
   bx.appendChild(document.createTextNode('Next Spot'));
   ie['navigate'].appendChild(bx);
   mcpherAddEvent (bx,"click",function(){ 
    var nextSpot =vm.nextSpot(mm.spot)
    vm.gotoAnotherSpot(mm.spot,nextSpot);
    if (vm.provider=='maps') nextSpot.createInfoWindow(0);
   },false ,true) ;
   if (ve) {
    var bflyx = document.createElement('button');
    bflyx.className = 'mcnextbutton';
    bflyx.appendChild(document.createTextNode('Fly Around'));
    ie['navigate'].appendChild(bflyx);
    mcpherAddEvent (bflyx,"click",function(){ 
     mm.spot.initFlyAround();
    },false ,true) ;
   }
  }
  // is there an image?
  var imgField = vm.cTabs[vm.tabs[this.tabIndex]]['image'];
  if (ie['image'] &amp;&amp; imgField &amp;&amp; 
    mm.cJobject[imgField]){ 
   if ( mcpherIsImage(mm.cJobject[imgField])) {
    var labImage = ie['image'].appendChild(document.createElement('img'));
    labImage.src = mm.cJobject[imgField];
    if (mcpherIsNumber(vm.control.imagewidth)){
     labImage.width = mcpherToNumber(vm.control.imagewidth);
    }
    labImage.title = vm.Title;  
   }    
  }
  this.vTable = this.createTable();
  // and a google viz table of qualifying matching transactions
  if (ie['table']){
   if (this.vTable) {
    this.table = new google.visualization.Table(ie['table']);
    this.table.draw(this.vTable , mm.parent.cssTableOptions);
    // allow selection on this table 
    var vizTab = this.table;
    var datTab = this.vTable;
    google.visualization.events.addListener(vizTab, 
      'select', function() {
     conTab.dealWithSelection (vizTab,datTab);
    });
   }
  }
  // and a summary table
  if (ie['summary'] || ie['chart'] ){
   if (this.cTable = this.chartTable()) {
    if(ie['summary']){
     this.chtable = 
      new google.visualization.Table(ie['summary']);
     this.chtable.draw(this.cTable , 
       vm.cssTableOptions);
    }
   }
  }
  if (ie['chart']){
   if (this.cTable) {
    var chtType =  vm.cTabs[ vm.tabs[conTab.tabIndex] ]['charttype'];
    switch (chtType) {
    case 'barchart':
     this.chart = new google.visualization.ImageBarChart(ie['chart']);
     this.chart.draw(this.cTable, 
       {title:vm.tabs[this.tabIndex],
      isStacked:false});
     break;
    case 'orgchart':
     this.oTable = this.orgTable();
     this.chart = new google.visualization.OrgChart(ie['chart']);
     this.chart.draw(this.oTable, 
       {title:vm.tabs[this.tabIndex]});
     // allow selection on this chart
     var vizTab = this.chart;
     var datTab = this.oTable;
     google.visualization.events.addListener(vizTab, 
       'select', function() { 
      conTab.dealWithSelection (vizTab,datTab);
     });
     break;
    case 'none':
     break;
    default:
     alert('unknown charttype ' + chtType);
    break;
    }
   }
  }
  // and which filters were selected
  if (ie['filters']){
   this.fTable = new google.visualization.DataTable();
   this.fTable.addColumn('string','Where');
   this.fTable.addColumn('string','is');
   for ( var key in this.filters) { 
    var cLab = vm.mTable.getColumnLabel(
      this.filters[key].column) ;
    this.fTable.addRow (
      [cLab,this.filters[key].value.toString()]);
   }   
   this.filterTable = new google.visualization.Table(ie['filters']);  
   this.filterTable.draw(this.fTable,vm.cssTableOptions); 
  }
        // tweets needed - we'll do these in real time so they are up to date when selected.
  // but create a view table of the query items that we'll need
  if (ie['twitter']){
   this.tTable = this.tweetTable();
  }
  conTab.showOrNot();
  return (this);
 };
 mcpherInfoTab.prototype.viewTable = function (vType,needGroup,complain) {
  var mm = this.parent.parent;
  var tItems = mm.cTabs[ mm.tabs[this.tabIndex] ][vType];
  var colIndex;
  if (!tItems) {
   if (complain)alert ('Cant find ' + vType + 'fields for ' + 
     mm.tabs[this.tabIndex]);
   return (null); }
  else {
   // only include data columns referenced in tab[].table
   var viewColumns = new Array();
   for ( var i=0 ; i &lt; tItems.length ; i++ ){
    if ( (colIndex = mm.columnIndex(
      mm.mTable,tItems[i])) &gt;= 0){
     viewColumns.push (colIndex);
    }
    else {
     alert (tItems[i] + ' is required for ' +
       vType + ' in tab ' + 
       mm.tabs[this.tabIndex] + 
     ' but was not found in the dictionary');
    }
   }      
   var gTable = new google.visualization.DataView(mm.mTable);
   //now filter rows
   var fItems = mm.cTabs[ mm.tabs[this.tabIndex] ]['filter'];
   if (fItems) {
    this.filters = new Array();
    for (var i=0; i &lt; fItems.length ; i++){ 
     if ( (colIndex = mm.columnIndex(
       mm.mTable,fItems[i])) &gt;= 0) {
      this.filters.push ({'column' : colIndex, 
       'value' : mm.columnValue(
         fItems[i],this.parent.cJobject[fItems[i]]) } );
     }
     else{
      alert (fItems[i] + ' is required filter for ' + 
        vType + ' in tab ' +
        mm.tabs[this.tabIndex] + 
      ' but was not found in the dictionary');
     }
    }
    gTable.setRows (gTable.getFilteredRows(this.filters));
   }
   if (!viewColumns.length) {
    alert ('there were no columns required for ' + 
      vType + ' in tab ' 
      + mm.tabs[this.tabIndex] );
    return(null);
   }
   if (needGroup) {
    var grouping = new Array();
    var aggregate = new Array();
    for (var i=0; i &lt; viewColumns.length ;i++ ) {
     var lab;
     if (mm.isMeasure(
       lab=gTable.getColumnLabel(viewColumns[i]))) {
      aggregate.push ( {'column': viewColumns[i],
       'aggregation' : mcpherGag(mm.cMeasures[lab]),
       'type' : 'number'} );
     }
     else{
      grouping.push (viewColumns[i]);
     }
    }
    return( google.visualization.data.group (
      gTable, grouping, aggregate )) ;
   }
   else {   
    gTable.setColumns(viewColumns);
    return (gTable) ;
   }
  } 
 };
 mcpherInfoTab.prototype.dealWithSelection = function (vizTab,datTab) {  
  var row = vizTab.getSelection()[0].row;
  var newIndex = datTab.getTableRowIndex(row);
  // now we have the original item -  we may need oc lose this infowindow and go somewhere else
  var im = this.parent;
  var vm = im.parent;
  var spot = im.spot;
  var markerIndex = im.markerIndex;
  if (newIndex != markerIndex){
   switch (vm.provider){
   case 'maps':
    spot.infoWindow.close();
    break;
   case 'earth':
    break;
   default:
    alert('dealwithinsanity');
   }
   // so we may need to close this one
   var newSpot =vm.items[newIndex].spot;
   vm.gotoAnotherSpot (spot, newSpot);
   newSpot.usingIndex = newIndex;
   newSpot.createInfoWindow(0);
  }
 };
 mcpherInfoTab.prototype.createTable = function () {  
  return (this.viewTable ('table', false,true));
 };
 mcpherInfoTab.prototype.chartTable = function () {  
  return (this.viewTable ('chart',true,true));
 };
 mcpherInfoTab.prototype.orgTable = function () {  
  return (this.viewTable ('chart',false,true));
 };
 mcpherInfoTab.prototype.tweetTable = function () {  
  return (this.viewTable ('twitter',false,false));
 };
// END OF INFOTAB
</t>
  </si>
  <si>
    <t xml:space="preserve">// mcpherSpot
// custom object to hold spot plus associated data
 var mcpherSpot = function (mp,idx,ddx) {this.init(mp,idx,ddx);};
 mcpherSpot.prototype.init = function (mp,idx,ddx) { 
  this.parent = mp;
  this.spotIndex = idx;
  this.usingIndex = ddx;
  this.cJobject = mp.cJobject[ddx];
  this.spotId = this.cJobject.SpotID;
  this.title = this.cJobject.Title;
  this.lat = parseFloat(this.cJobject.Latitude);
  this.lng = parseFloat(this.cJobject.Longtitude);
  return (this);
 };
 mcpherSpot.prototype.createSpot = function () {
  // create a marker on the map
  var vm = this.parent;
  var spot = this;
  var cj = vm.cJobject;
  switch (vm.provider){
  case 'maps':
 var p = new google.maps.LatLng(this.lat,this.lng);
 var tSize = 0;
 var tCount = 0;
 for (var i=0;i &lt; cj.length ;i++ ){
  if (cj[i].SpotID == spot.spotId) {
   if (cj[i].markerSize){
  // we'll use the average size of items
  // and the last color we see
    tSize += parseFloat(cj[i].markerSize);
    tCount++;
    tColor = cj[i].markerColor;
   }
  }
 }
 if (tCount) {
  var circle = {
   strokeColor: tColor,
   strokeOpacity: 0.8,
   strokeWeight: 1,
   fillColor: tColor,
   fillOpacity: 0.20,
   map: this.parent.map,
   center: p,
   radius: tSize/tCount,
  };
  var drawCirle =
   new google.maps.Circle(circle);
  spot.circle = drawCirle ;
 }
 else {
  spot.circle = null;
 }
   var gMarker = new google.maps.Marker({
    position: p,
    map: this.parent.map,
    title: this.title
   });
   this.marker = gMarker;    
if (this.cJobject['markerImage']) {
 this.marker.setIcon(this.cJobject['markerImage']);
   }
   google.maps.event.addListener(gMarker, 'click', 
     function(e)  { 
      if(e.preventDefault)e.preventDefault();
      if(e.stopPropagation)e.stopPropagation();
      spot.dealWithClicks(true);
     } );
   break;
  case 'earth':
   vm.ve.plotSpot(spot);
   google.earth.addEventListener(spot.placemark, 'click', 
     function(eKml)  { 
      eKml.preventDefault();
      eKml.stopPropagation();
      if (spot.flying){
       var ge = spot.parent.ve.ge;
       spot.stopFlyAround();
       google.earth.addEventListener(ge.getView(), 
         'viewchangeend', mcpherFlyingClicks(spot,false));
      }
      else {
       spot.dealWithClicks(false);
      }
     } );
   break;
  default:
   alert('createspotinsanity');
  break;
  }
  return this;
 };
 function mcpherFlyingClicks(spot,plot){
  var vm = spot.parent;
  var ge = vm.ve.ge;
  if(spot.timer) clearTimeout(spot.timer);
  spot.timer = setTimeout( function(){
   spot.dealWithClicks(plot);
  }, 100);
 }
 function mcpherPlotBalloon(spot, iw ){
  var vm = spot.parent;
  var ge = vm.ve.ge;
  vm.statusUpdate ('..waiting for view to settle down',true);
  google.earth.addEventListener(ge.getView(), 
    'viewchangeend', mcpherBalloon(spot,iw));
 }
 function mcpherBalloon(spot, iw ){
  var vm = spot.parent;
  var ge = vm.ve.ge;
  if(spot.timer) clearTimeout(spot.timer);
  spot.timer = setTimeout( function(){ 
   ge.setBalloon(iw);
   vm.statusUpdate ('..information balloon set for ' + spot.title,false);
  }, 100);
 }
 mcpherSpot.prototype.stopFlyAround = function() {
  var spot = this;
  // clean up after flying
  if (spot.flying) {
   var vm = spot.parent;
   var ve = vm.ve;
   var ge = ve.ge;
   spot.flying = false;   
   google.earth.removeEventListener(ge, 'frameend', 
     function () { mcpherFly(spot); } );
   spot.lookAt.setHeading(spot.initialLookAtHeading);
   spot.lookAt.setRange(parseFloat(vm.control.range)); 
   ge.getOptions().setFlyToSpeed(ge.SPEED_TELEPORT);
   ve.showLookAt(spot);
   vm.statusUpdate('..finished flying around '+spot.title,false);
  }
  return(spot.flying);
 }
 mcpherSpot.prototype.initFlyAround = function() {
  var spot = this;
  // been asked to rotate around the spot
  if (!spot.flying) {
   var vm = spot.parent;
   var ve = vm.ve;
   var ge = ve.ge;
   spot.flying = true;
   ge.setBalloon(null);
   spot.lookAt.setRange(parseFloat(vm.control.flyrange)); 
   ge.getOptions().setFlyToSpeed(parseFloat(vm.control.flyspeed));
   spot.initialLookAtHeading = spot.lookAt.getHeading();
   google.earth.addEventListener(ge, 'frameend', 
     function () { mcpherFly(spot); });
   vm.statusUpdate('..flying around '+spot.title,true);
   mcpherFly(spot);
  }  
 }
 function mcpherFly(spot){
  // whats the point of this?
  // seems that i can't addevent listener of spot.fly directly...
  spot.fly();
 }
 mcpherSpot.prototype.fly = function() { 
  // changing the heading and re- do
  var spot = this;
  if (spot.flying){
   var vm = spot.parent;
   var ve=vm.ve;
   var ge = ve.ge;
   var newHeading = spot.lookAt.getHeading() + 
   parseFloat(vm.control.flyincrement);
   if (newHeading &gt; 360) {
    newHeading -= 360;
   }
   spot.lookAt.setHeading(newHeading);
   ve.showLookAt(spot);
  }
  return (spot.flying);
 }
 mcpherSpot.prototype.dealWithClicks = function(showit) { 
  var spot=this;
  var vm = this.parent;
  var doubleClickTimeout = 300;
  // now see if its the second click within the timeout period
  if (!vm.dealingWithClicks){ 
   vm.dealingWithClicks = true;
   // this is single click behavior
   setTimeout( function() 
     { if(vm.dealingWithClicks) {
      vm.dealingWithClicks = false;
      spot.createInfoWindow  (0); }}
   , doubleClickTimeout);
  }
  else { 
   // double click behavior
   vm.dealingWithClicks = false;
   vm.gotoAnotherSpot(spot,vm.nextSpot(spot));
   if(showit)vm.nextSpot.createInfoWindow(0);
  }
  return(false);
 };
 mcpherSpot.prototype.createInfoWindow = function (startTabIndex){
  //default is the first tab
  var vm = this.parent;
  var spot=this;
  var gMap = spot.parent.map;
  var uItem = vm.items[spot.usingIndex];
  var infoTab = uItem.infoTabs[startTabIndex];
  vm.statusUpdate('..creating info for '+spot.title,true);
  // select the appropriate tab
  uItem.fillDiv(infoTab);
  // set the content
  var iDiv = document.createElement('div');
  this.container = iDiv;
  iDiv.appendChild (uItem.container);
  iDiv.className = vm.cssShow + ' ' + vm.cssInfoWindow;
  var s= '..plotted info for '+spot.title;
  switch (vm.provider){
  case 'maps':
   var iw = spot.infoWindow = new google.maps.InfoWindow (); 
   iw.setContent (iDiv);
   iw.open(gMap,spot.marker);
   google.maps.event.addListener(iw, 'domready', function() {
    vm.statusUpdate(s,false,null);
   }); 
   break;
  case 'earth':
   var ge = vm.vEarth.ge;
   var iw = spot.balloon = ge.createHtmlDivBalloon('');
   iw.setFeature(spot.placemark);
   iw.setContentDiv(iDiv);
   mcpherPlotBalloon(spot, iw );
   //ge.setBalloon(iw)
   break;
  default:
   alert ('createinfowindowinstanity');
  break;
  }
  vm.currentSpot = spot;
  return (iw);
 };
// endof mcpherspot
</t>
  </si>
  <si>
    <t xml:space="preserve">// mcpherEarth
 var mcpherEarth = function (vm,control) {
  if (control == 'google') {
   if (google.earth.isInstalled()){  
    this.vMap = vm;
    vMap.ve = this;
    this.control = control;
    return this;
   }
   else {
    alert("you need to install the google earth plug-in");
    return null;
   }
  }
  else {
   alert ('unknown earth provider ' + control);
   return null;
  }
 };
 mcpherEarth.prototype.createInstance  = function (div) {
  var ve=this;
  var vm = this.vMap;
  ve.container = div;
  vm.statusUpdate('..creating google earth instance',true,null);
  google.earth.createInstance(ve.container,  
    initCallback, failureCallback);
 };
 mcpherEarth.prototype.success  = function (instance) {
  var ve = this;
  var vm = ve.vMap;
  // the first spot
  var spot = vm.spots[0];
  ve.ge = ge = instance;
  ge.getWindow().setVisibility(true);
  // add some layers
  ge.getLayerRoot().enableLayerById(ge.LAYER_ROADS, true);
  ge.getLayerRoot().enableLayerById(ge.LAYER_BUILDINGS, true);
  ge.getNavigationControl().setVisibility(ge.VISIBILITY_AUTO);
  if (vm.control.adjustlightfortimeofday == 'yes'){
   ge.getSun().setVisibility(true);
   ge.getOptions().setAtmosphereVisibility(true);
  }
  vm.statusUpdate('..google earth successfully created',false,null);
  vm.spotEverything();
  // go to the first spot
  ve.showLookAt(spot);
 };
 mcpherEarth.prototype.plotSpot = function (spot) {
  var ve = this;
  spot.lookAt = ve.makeLookAt(spot);
  spot.placemark = ve.makePlacemark (spot);
  return(spot);
 };
 mcpherEarth.prototype.makeLookAt = function (spot) {
  var ve= this;
  var ge = ve.ge;
  var vm = this.vMap;
  // look at something
  var lookAt = ge.getView().copyAsLookAt (ge.ALTITUDE_RELATIVE_TO_GROUND); 
  // Set the position values
  lookAt.setLatitude(spot.lat);
  lookAt.setLongitude(spot.lng);
  lookAt.setRange(parseFloat(vm.control.range)); 
  lookAt.setTilt(parseFloat(vm.control.tilt));
  return (lookAt);
 };
 mcpherEarth.prototype.makePlacemark = function (spot) {
  //var ge = this.ge;
  var ge= this.ge;
  var vm = this.vMap;
  var uItem = vm.items[spot.usingIndex];
  var marker = vm.spotControl['earth marker'];
  var placemark = ge.createPlacemark('');
  placemark.setName(spot.title);
  // Create style map for placemark
  if(marker){
   var image = uItem.cJobject[marker];
   if (image) {
    if (mcpherIsImage(image)){
     var icon = ge.createIcon('');
     icon.setHref(image);
     var style = ge.createStyle('');
     style.getIconStyle().setIcon(icon);
     // make marker bigger than usual
     if (vm.control.placemarkscale){
      var x;
      if(x=mcpherToNumber(vm.control.placemarkscale)){
       style.getIconStyle().setScale(x);
      }
     }
     placemark.setStyleSelector(style);
    }
    else {
     alert (image + ' is not a valid image link to use as a marker');
    }
   }
  }
  var point = ge.createPoint('');
  point.setLatitude(spot.lookAt.getLatitude());
  point.setLongitude(spot.lookAt.getLongitude());
  placemark.setGeometry(point);
  ge.getFeatures().appendChild(placemark);
  return(placemark);
 };  
 mcpherEarth.prototype.showLookAt = function (spot) {
  var lookAt = spot.lookAt;
  this.ge.getView().setAbstractView(lookAt);
  return (lookAt);
 }; 
 mcpherEarth.prototype.failure = function (errorCode) {
  var vm = this.vMap;
  alert('error loading google earth' + errorCode);
  //vm.statusUpdate('..google earth failed',false,'error ' + errorCode);
 };
 function initCallback (instance) {
  vMap.ve.success(instance);
 }
 function failureCallback (errorCode) {
  vMap.ve.failure(errorCode);
 }
// END of mcpherEarth
</t>
  </si>
  <si>
    <t xml:space="preserve">&lt;!DOCTYPE html&gt;
&lt;HTML&gt;
&lt;HEAD&gt;
&lt;STYLE type="text/css"&gt;
html {
 height: 100%
}
body {
 height: 100%;
 margin: 0;
 padding: 0;
}
#map_canvas {
 height: 100%;
}
.mcquicklink {
 margin-left: 20px;
 margin-right: 20px;
 display: inline;
 font-family: sans-serif;
 float: right;
}
.mccategory {
 margin-left: 20px;
 margin-right: 20px;
 display: inline;
 font-family: sans-serif;
 float: right;
}
.mcheading {
 display: inline;
 font-family: sans-serif;
  font-size: 0.7em;
}
.mcinfo {
 margin: 0px;
 font-family: sans-serif;
 font-size: 0.7em;
 padding: 0px;
 background-color: #0;
 vertical-align: top;
}
.mcelementtd {
 vertical-align:top;
 align-text:left;
}
.mcli {
 display: inline;
 border: 1px solid Teal;
 padding: .2em;
 padding-bottom: 0px;
 background-color: Azure;
 border-top-left-radius: 5px;
 -moz-border-radius-topleft: 5px;
 border-top-right-radius: 5px;
 -moz-border-radius-topright: 5px;
}
.mctabselected {
 background-color: WhiteSmoke;
 border-bottom: 1px solid WhiteSmoke;
}
.mchover:hover {
 background-color: LightSeaGreen;
}
.mcselected {
 background-color: WhiteSmoke;
 margin: 0px;
 padding: .3em;
 border: 1px solid Teal;
 border-bottom-left-radius: 15px;
 -moz-border-radius-bottomleft: 15px;
 border-bottom-right-radius: 15px;
 -moz-border-radius-bottomright: 15px;
 border-top-right-radius: 15px;
 -moz-border-radius-topright: 15px;
}
.mccheck {
    width : 0.7em;
 height :0.7em;
 padding: 0px;
 margin: 0px;
}
.mcstatus {
 display: inline;
 font-family: sans-serif;
 font-size: 0.7em;
 border: 1px solid Gray;
 border-radius: 5px;
 -moz-border-radius: 5px;
 float: right;
}
.mcready {
 color: WhiteSmoke;
 background-color: Teal;
}
.mcbusy {
 color: WhiteSmoke;
 background-color: FireBrick;
}
.mctable {
 font-family: sans-serif;
 font-size: 0.7em;
 border: 1px solid Gray;
}
.mcearth {
    width:240px;
    height:180px;
    border: 1px solid gray;
}
.mctableheader {
 font-family: sans-serif;
 font-size: 0.6em;
 background-color: Azure;
 border: 1px solid Gray;
}
.mctweetheader {
 font-family: sans-serif;
 font-size: 1em;
 background-color: gainsboro;
 color:darkslategrey;
 align:left;
 vertical-align:top;
}
.mctweet {
 font-family: sans-serif;
 font-size: 1em;
 background-color:WhiteSmoke;
 color:DarkSlateGrey;
 align:left;
 vertical-align:top;
}
.mchide {
 display: none;
}
.mcshow {
 display: block;
}
&lt;/STYLE&gt;
</t>
  </si>
  <si>
    <t>flightGroup</t>
  </si>
  <si>
    <t>flightColor</t>
  </si>
  <si>
    <t>season</t>
  </si>
  <si>
    <t>raceName</t>
  </si>
  <si>
    <t>round</t>
  </si>
  <si>
    <t>circuit.circuitid</t>
  </si>
  <si>
    <t>circuit.circuitName</t>
  </si>
  <si>
    <t>circuit.location.lat</t>
  </si>
  <si>
    <t>circuit.location.long</t>
  </si>
  <si>
    <t>circuit.location.locality</t>
  </si>
  <si>
    <t>circuit.location.country</t>
  </si>
  <si>
    <t>date</t>
  </si>
  <si>
    <t>url</t>
  </si>
  <si>
    <t>British Grand Prix</t>
  </si>
  <si>
    <t>silverstone</t>
  </si>
  <si>
    <t>Silverstone Circuit</t>
  </si>
  <si>
    <t>Silverstone</t>
  </si>
  <si>
    <t>UK</t>
  </si>
  <si>
    <t>http://en.wikipedia.org/wiki/1950_British_Grand_Prix</t>
  </si>
  <si>
    <t>Monaco Grand Prix</t>
  </si>
  <si>
    <t>monaco</t>
  </si>
  <si>
    <t>Circuit de Monaco</t>
  </si>
  <si>
    <t>Monte-Carlo</t>
  </si>
  <si>
    <t>Monaco</t>
  </si>
  <si>
    <t>http://en.wikipedia.org/wiki/1950_Monaco_Grand_Prix</t>
  </si>
  <si>
    <t>Indianapolis 500</t>
  </si>
  <si>
    <t>indianapolis</t>
  </si>
  <si>
    <t>Indianapolis Motor Speedway</t>
  </si>
  <si>
    <t>Indianapolis</t>
  </si>
  <si>
    <t>http://en.wikipedia.org/wiki/1950_Indianapolis_500</t>
  </si>
  <si>
    <t>Swiss Grand Prix</t>
  </si>
  <si>
    <t>bremgarten</t>
  </si>
  <si>
    <t>Circuit Bremgarten</t>
  </si>
  <si>
    <t>Bern</t>
  </si>
  <si>
    <t>http://en.wikipedia.org/wiki/1950_Swiss_Grand_Prix</t>
  </si>
  <si>
    <t>Belgian Grand Prix</t>
  </si>
  <si>
    <t>spa</t>
  </si>
  <si>
    <t>Circuit de Spa-Francorchamps</t>
  </si>
  <si>
    <t>Spa</t>
  </si>
  <si>
    <t>http://en.wikipedia.org/wiki/1950_Belgian_Grand_Prix</t>
  </si>
  <si>
    <t>French Grand Prix</t>
  </si>
  <si>
    <t>reims</t>
  </si>
  <si>
    <t>Reims-Gueux</t>
  </si>
  <si>
    <t>Reims</t>
  </si>
  <si>
    <t>http://en.wikipedia.org/wiki/1950_French_Grand_Prix</t>
  </si>
  <si>
    <t>Italian Grand Prix</t>
  </si>
  <si>
    <t>monza</t>
  </si>
  <si>
    <t>Autodromo Nazionale di Monza</t>
  </si>
  <si>
    <t>Monza</t>
  </si>
  <si>
    <t>Italy</t>
  </si>
  <si>
    <t>http://en.wikipedia.org/wiki/1950_Italian_Grand_Prix</t>
  </si>
  <si>
    <t>http://en.wikipedia.org/wiki/1951_Swiss_Grand_Prix</t>
  </si>
  <si>
    <t>http://en.wikipedia.org/wiki/1951_Indianapolis_500</t>
  </si>
  <si>
    <t>http://en.wikipedia.org/wiki/1951_Belgian_Grand_Prix</t>
  </si>
  <si>
    <t>http://en.wikipedia.org/wiki/1951_French_Grand_Prix</t>
  </si>
  <si>
    <t>http://en.wikipedia.org/wiki/1951_British_Grand_Prix</t>
  </si>
  <si>
    <t>German Grand Prix</t>
  </si>
  <si>
    <t>nurburgring</t>
  </si>
  <si>
    <t>Nürburgring</t>
  </si>
  <si>
    <t>Nürburg</t>
  </si>
  <si>
    <t>http://en.wikipedia.org/wiki/1951_German_Grand_Prix</t>
  </si>
  <si>
    <t>http://en.wikipedia.org/wiki/1951_Italian_Grand_Prix</t>
  </si>
  <si>
    <t>Spanish Grand Prix</t>
  </si>
  <si>
    <t>pedralbes</t>
  </si>
  <si>
    <t>Circuit de Pedralbes</t>
  </si>
  <si>
    <t>Barcelona</t>
  </si>
  <si>
    <t>Spain</t>
  </si>
  <si>
    <t>http://en.wikipedia.org/wiki/1951_Spanish_Grand_Prix</t>
  </si>
  <si>
    <t>http://en.wikipedia.org/wiki/1952_Swiss_Grand_Prix</t>
  </si>
  <si>
    <t>http://en.wikipedia.org/wiki/1952_Indianapolis_500</t>
  </si>
  <si>
    <t>http://en.wikipedia.org/wiki/1952_Belgian_Grand_Prix</t>
  </si>
  <si>
    <t>essarts</t>
  </si>
  <si>
    <t>Rouen-Les-Essarts</t>
  </si>
  <si>
    <t>Rouen</t>
  </si>
  <si>
    <t>http://en.wikipedia.org/wiki/1952_French_Grand_Prix</t>
  </si>
  <si>
    <t>http://en.wikipedia.org/wiki/1952_British_Grand_Prix</t>
  </si>
  <si>
    <t>http://en.wikipedia.org/wiki/1952_German_Grand_Prix</t>
  </si>
  <si>
    <t>Dutch Grand Prix</t>
  </si>
  <si>
    <t>zandvoort</t>
  </si>
  <si>
    <t>Circuit Park Zandvoort</t>
  </si>
  <si>
    <t>Zandvoort</t>
  </si>
  <si>
    <t>Netherlands</t>
  </si>
  <si>
    <t>http://en.wikipedia.org/wiki/1952_Dutch_Grand_Prix</t>
  </si>
  <si>
    <t>http://en.wikipedia.org/wiki/1952_Italian_Grand_Prix</t>
  </si>
  <si>
    <t>Argentine Grand Prix</t>
  </si>
  <si>
    <t>galvez</t>
  </si>
  <si>
    <t>Autódromo Juan y Oscar Gálvez</t>
  </si>
  <si>
    <t>http://en.wikipedia.org/wiki/1953_Argentine_Grand_Prix</t>
  </si>
  <si>
    <t>http://en.wikipedia.org/wiki/1953_Indianapolis_500</t>
  </si>
  <si>
    <t>http://en.wikipedia.org/wiki/1953_Dutch_Grand_Prix</t>
  </si>
  <si>
    <t>http://en.wikipedia.org/wiki/1953_Belgian_Grand_Prix</t>
  </si>
  <si>
    <t>http://en.wikipedia.org/wiki/1953_French_Grand_Prix</t>
  </si>
  <si>
    <t>http://en.wikipedia.org/wiki/1953_British_Grand_Prix</t>
  </si>
  <si>
    <t>http://en.wikipedia.org/wiki/1953_German_Grand_Prix</t>
  </si>
  <si>
    <t>http://en.wikipedia.org/wiki/1953_Swiss_Grand_Prix</t>
  </si>
  <si>
    <t>http://en.wikipedia.org/wiki/1953_Italian_Grand_Prix</t>
  </si>
  <si>
    <t>http://en.wikipedia.org/wiki/1954_Argentine_Grand_Prix</t>
  </si>
  <si>
    <t>http://en.wikipedia.org/wiki/1954_Indianapolis_500</t>
  </si>
  <si>
    <t>http://en.wikipedia.org/wiki/1954_Belgian_Grand_Prix</t>
  </si>
  <si>
    <t>http://en.wikipedia.org/wiki/1954_French_Grand_Prix</t>
  </si>
  <si>
    <t>http://en.wikipedia.org/wiki/1954_British_Grand_Prix</t>
  </si>
  <si>
    <t>http://en.wikipedia.org/wiki/1954_German_Grand_Prix</t>
  </si>
  <si>
    <t>http://en.wikipedia.org/wiki/1954_Swiss_Grand_Prix</t>
  </si>
  <si>
    <t>http://en.wikipedia.org/wiki/1954_Italian_Grand_Prix</t>
  </si>
  <si>
    <t>http://en.wikipedia.org/wiki/1954_Spanish_Grand_Prix</t>
  </si>
  <si>
    <t>http://en.wikipedia.org/wiki/1955_Argentine_Grand_Prix</t>
  </si>
  <si>
    <t>http://en.wikipedia.org/wiki/1955_Monaco_Grand_Prix</t>
  </si>
  <si>
    <t>http://en.wikipedia.org/wiki/1955_Indianapolis_500</t>
  </si>
  <si>
    <t>http://en.wikipedia.org/wiki/1955_Belgian_Grand_Prix</t>
  </si>
  <si>
    <t>http://en.wikipedia.org/wiki/1955_Dutch_Grand_Prix</t>
  </si>
  <si>
    <t>aintree</t>
  </si>
  <si>
    <t>Aintree</t>
  </si>
  <si>
    <t>Liverpool</t>
  </si>
  <si>
    <t>http://en.wikipedia.org/wiki/1955_British_Grand_Prix</t>
  </si>
  <si>
    <t>http://en.wikipedia.org/wiki/1955_Italian_Grand_Prix</t>
  </si>
  <si>
    <t>http://en.wikipedia.org/wiki/1956_Argentine_Grand_Prix</t>
  </si>
  <si>
    <t>http://en.wikipedia.org/wiki/1956_Monaco_Grand_Prix</t>
  </si>
  <si>
    <t>http://en.wikipedia.org/wiki/1956_Indianapolis_500</t>
  </si>
  <si>
    <t>http://en.wikipedia.org/wiki/1956_Belgian_Grand_Prix</t>
  </si>
  <si>
    <t>http://en.wikipedia.org/wiki/1956_French_Grand_Prix</t>
  </si>
  <si>
    <t>http://en.wikipedia.org/wiki/1956_British_Grand_Prix</t>
  </si>
  <si>
    <t>http://en.wikipedia.org/wiki/1956_German_Grand_Prix</t>
  </si>
  <si>
    <t>http://en.wikipedia.org/wiki/1956_Italian_Grand_Prix</t>
  </si>
  <si>
    <t>http://en.wikipedia.org/wiki/1957_Argentine_Grand_Prix</t>
  </si>
  <si>
    <t>http://en.wikipedia.org/wiki/1957_Monaco_Grand_Prix</t>
  </si>
  <si>
    <t>http://en.wikipedia.org/wiki/1957_Indianapolis_500</t>
  </si>
  <si>
    <t>http://en.wikipedia.org/wiki/1957_French_Grand_Prix</t>
  </si>
  <si>
    <t>http://en.wikipedia.org/wiki/1957_British_Grand_Prix</t>
  </si>
  <si>
    <t>http://en.wikipedia.org/wiki/1957_German_Grand_Prix</t>
  </si>
  <si>
    <t>Pescara Grand Prix</t>
  </si>
  <si>
    <t>pescara</t>
  </si>
  <si>
    <t>Pescara Circuit</t>
  </si>
  <si>
    <t>Pescara</t>
  </si>
  <si>
    <t>http://en.wikipedia.org/wiki/1957_Pescara_Grand_Prix</t>
  </si>
  <si>
    <t>http://en.wikipedia.org/wiki/1957_Italian_Grand_Prix</t>
  </si>
  <si>
    <t>http://en.wikipedia.org/wiki/1958_Argentine_Grand_Prix</t>
  </si>
  <si>
    <t>http://en.wikipedia.org/wiki/1958_Monaco_Grand_Prix</t>
  </si>
  <si>
    <t>http://en.wikipedia.org/wiki/1958_Dutch_Grand_Prix</t>
  </si>
  <si>
    <t>http://en.wikipedia.org/wiki/1958_Indianapolis_500</t>
  </si>
  <si>
    <t>http://en.wikipedia.org/wiki/1958_Belgian_Grand_Prix</t>
  </si>
  <si>
    <t>http://en.wikipedia.org/wiki/1958_French_Grand_Prix</t>
  </si>
  <si>
    <t>http://en.wikipedia.org/wiki/1958_British_Grand_Prix</t>
  </si>
  <si>
    <t>http://en.wikipedia.org/wiki/1958_German_Grand_Prix</t>
  </si>
  <si>
    <t>Portuguese Grand Prix</t>
  </si>
  <si>
    <t>boavista</t>
  </si>
  <si>
    <t>Circuito da Boavista</t>
  </si>
  <si>
    <t>Oporto</t>
  </si>
  <si>
    <t>Portugal</t>
  </si>
  <si>
    <t>http://en.wikipedia.org/wiki/1958_Portuguese_Grand_Prix</t>
  </si>
  <si>
    <t>http://en.wikipedia.org/wiki/1958_Italian_Grand_Prix</t>
  </si>
  <si>
    <t>Moroccan Grand Prix</t>
  </si>
  <si>
    <t>ain-diab</t>
  </si>
  <si>
    <t>Ain Diab</t>
  </si>
  <si>
    <t>Casablanca</t>
  </si>
  <si>
    <t>Morocco</t>
  </si>
  <si>
    <t>http://en.wikipedia.org/wiki/1958_Moroccan_Grand_Prix</t>
  </si>
  <si>
    <t>http://en.wikipedia.org/wiki/1959_Monaco_Grand_Prix</t>
  </si>
  <si>
    <t>http://en.wikipedia.org/wiki/1959_Indianapolis_500</t>
  </si>
  <si>
    <t>http://en.wikipedia.org/wiki/1959_Dutch_Grand_Prix</t>
  </si>
  <si>
    <t>http://en.wikipedia.org/wiki/1959_French_Grand_Prix</t>
  </si>
  <si>
    <t>http://en.wikipedia.org/wiki/1959_British_Grand_Prix</t>
  </si>
  <si>
    <t>avus</t>
  </si>
  <si>
    <t>AVUS</t>
  </si>
  <si>
    <t>http://en.wikipedia.org/wiki/1959_German_Grand_Prix</t>
  </si>
  <si>
    <t>monsanto</t>
  </si>
  <si>
    <t>Monsanto Park Circuit</t>
  </si>
  <si>
    <t>Lisbon</t>
  </si>
  <si>
    <t>http://en.wikipedia.org/wiki/1959_Portuguese_Grand_Prix</t>
  </si>
  <si>
    <t>http://en.wikipedia.org/wiki/1959_Italian_Grand_Prix</t>
  </si>
  <si>
    <t>United States Grand Prix</t>
  </si>
  <si>
    <t>sebring</t>
  </si>
  <si>
    <t>Sebring International Raceway</t>
  </si>
  <si>
    <t>Florida</t>
  </si>
  <si>
    <t>USA</t>
  </si>
  <si>
    <t>http://en.wikipedia.org/wiki/1959_United_States_Grand_Prix</t>
  </si>
  <si>
    <t>http://en.wikipedia.org/wiki/1960_Argentine_Grand_Prix</t>
  </si>
  <si>
    <t>http://en.wikipedia.org/wiki/1960_Monaco_Grand_Prix</t>
  </si>
  <si>
    <t>http://en.wikipedia.org/wiki/1960_Indianapolis_500</t>
  </si>
  <si>
    <t>http://en.wikipedia.org/wiki/1960_Dutch_Grand_Prix</t>
  </si>
  <si>
    <t>http://en.wikipedia.org/wiki/1960_Belgian_Grand_Prix</t>
  </si>
  <si>
    <t>http://en.wikipedia.org/wiki/1960_French_Grand_Prix</t>
  </si>
  <si>
    <t>http://en.wikipedia.org/wiki/1960_British_Grand_Prix</t>
  </si>
  <si>
    <t>http://en.wikipedia.org/wiki/1960_Portuguese_Grand_Prix</t>
  </si>
  <si>
    <t>http://en.wikipedia.org/wiki/1960_Italian_Grand_Prix</t>
  </si>
  <si>
    <t>riverside</t>
  </si>
  <si>
    <t>Riverside International Raceway</t>
  </si>
  <si>
    <t>http://en.wikipedia.org/wiki/1960_United_States_Grand_Prix</t>
  </si>
  <si>
    <t>http://en.wikipedia.org/wiki/1961_Monaco_Grand_Prix</t>
  </si>
  <si>
    <t>http://en.wikipedia.org/wiki/1961_Dutch_Grand_Prix</t>
  </si>
  <si>
    <t>http://en.wikipedia.org/wiki/1961_Belgian_Grand_Prix</t>
  </si>
  <si>
    <t>http://en.wikipedia.org/wiki/1961_French_Grand_Prix</t>
  </si>
  <si>
    <t>http://en.wikipedia.org/wiki/1961_British_Grand_Prix</t>
  </si>
  <si>
    <t>http://en.wikipedia.org/wiki/1961_German_Grand_Prix</t>
  </si>
  <si>
    <t>http://en.wikipedia.org/wiki/1961_Italian_Grand_Prix</t>
  </si>
  <si>
    <t>watkins_glen</t>
  </si>
  <si>
    <t>Watkins Glen</t>
  </si>
  <si>
    <t>http://en.wikipedia.org/wiki/1961_United_States_Grand_Prix</t>
  </si>
  <si>
    <t>http://en.wikipedia.org/wiki/1962_Dutch_Grand_Prix</t>
  </si>
  <si>
    <t>http://en.wikipedia.org/wiki/1962_Monaco_Grand_Prix</t>
  </si>
  <si>
    <t>http://en.wikipedia.org/wiki/1962_Belgian_Grand_Prix</t>
  </si>
  <si>
    <t>http://en.wikipedia.org/wiki/1962_French_Grand_Prix</t>
  </si>
  <si>
    <t>http://en.wikipedia.org/wiki/1962_British_Grand_Prix</t>
  </si>
  <si>
    <t>http://en.wikipedia.org/wiki/1962_German_Grand_Prix</t>
  </si>
  <si>
    <t>http://en.wikipedia.org/wiki/1962_Italian_Grand_Prix</t>
  </si>
  <si>
    <t>http://en.wikipedia.org/wiki/1962_United_States_Grand_Prix</t>
  </si>
  <si>
    <t>South African Grand Prix</t>
  </si>
  <si>
    <t>george</t>
  </si>
  <si>
    <t>Prince George Circuit</t>
  </si>
  <si>
    <t>Eastern Cape Province</t>
  </si>
  <si>
    <t>South Africa</t>
  </si>
  <si>
    <t>http://en.wikipedia.org/wiki/1962_South_African_Grand_Prix</t>
  </si>
  <si>
    <t>http://en.wikipedia.org/wiki/1963_Monaco_Grand_Prix</t>
  </si>
  <si>
    <t>http://en.wikipedia.org/wiki/1963_Belgian_Grand_Prix</t>
  </si>
  <si>
    <t>http://en.wikipedia.org/wiki/1963_Dutch_Grand_Prix</t>
  </si>
  <si>
    <t>http://en.wikipedia.org/wiki/1963_French_Grand_Prix</t>
  </si>
  <si>
    <t>http://en.wikipedia.org/wiki/1963_British_Grand_Prix</t>
  </si>
  <si>
    <t>http://en.wikipedia.org/wiki/1963_German_Grand_Prix</t>
  </si>
  <si>
    <t>http://en.wikipedia.org/wiki/1963_Italian_Grand_Prix</t>
  </si>
  <si>
    <t>http://en.wikipedia.org/wiki/1963_United_States_Grand_Prix</t>
  </si>
  <si>
    <t>Mexican Grand Prix</t>
  </si>
  <si>
    <t>rodriguez</t>
  </si>
  <si>
    <t>Autódromo Hermanos Rodríguez</t>
  </si>
  <si>
    <t>Mexico City</t>
  </si>
  <si>
    <t>Mexico</t>
  </si>
  <si>
    <t>http://en.wikipedia.org/wiki/1963_Mexican_Grand_Prix</t>
  </si>
  <si>
    <t>http://en.wikipedia.org/wiki/1963_South_African_Grand_Prix</t>
  </si>
  <si>
    <t>http://en.wikipedia.org/wiki/1964_Monaco_Grand_Prix</t>
  </si>
  <si>
    <t>http://en.wikipedia.org/wiki/1964_Dutch_Grand_Prix</t>
  </si>
  <si>
    <t>http://en.wikipedia.org/wiki/1964_Belgian_Grand_Prix</t>
  </si>
  <si>
    <t>http://en.wikipedia.org/wiki/1964_French_Grand_Prix</t>
  </si>
  <si>
    <t>brands_hatch</t>
  </si>
  <si>
    <t>Brands Hatch</t>
  </si>
  <si>
    <t>Kent</t>
  </si>
  <si>
    <t>http://en.wikipedia.org/wiki/1964_British_Grand_Prix</t>
  </si>
  <si>
    <t>http://en.wikipedia.org/wiki/1964_German_Grand_Prix</t>
  </si>
  <si>
    <t>Austrian Grand Prix</t>
  </si>
  <si>
    <t>zeltweg</t>
  </si>
  <si>
    <t>Zeltweg</t>
  </si>
  <si>
    <t>Styria</t>
  </si>
  <si>
    <t>Austria</t>
  </si>
  <si>
    <t>http://en.wikipedia.org/wiki/1964_Austrian_Grand_Prix</t>
  </si>
  <si>
    <t>http://en.wikipedia.org/wiki/1964_Italian_Grand_Prix</t>
  </si>
  <si>
    <t>http://en.wikipedia.org/wiki/1964_United_States_Grand_Prix</t>
  </si>
  <si>
    <t>http://en.wikipedia.org/wiki/1964_Mexican_Grand_Prix</t>
  </si>
  <si>
    <t>http://en.wikipedia.org/wiki/1965_South_African_Grand_Prix</t>
  </si>
  <si>
    <t>http://en.wikipedia.org/wiki/1965_Monaco_Grand_Prix</t>
  </si>
  <si>
    <t>http://en.wikipedia.org/wiki/1965_Belgian_Grand_Prix</t>
  </si>
  <si>
    <t>charade</t>
  </si>
  <si>
    <t>Charade Circuit</t>
  </si>
  <si>
    <t>Clermont-Ferrand</t>
  </si>
  <si>
    <t>http://en.wikipedia.org/wiki/1965_French_Grand_Prix</t>
  </si>
  <si>
    <t>http://en.wikipedia.org/wiki/1965_British_Grand_Prix</t>
  </si>
  <si>
    <t>http://en.wikipedia.org/wiki/1965_Dutch_Grand_Prix</t>
  </si>
  <si>
    <t>http://en.wikipedia.org/wiki/1965_German_Grand_Prix</t>
  </si>
  <si>
    <t>http://en.wikipedia.org/wiki/1965_Italian_Grand_Prix</t>
  </si>
  <si>
    <t>http://en.wikipedia.org/wiki/1965_United_States_Grand_Prix</t>
  </si>
  <si>
    <t>http://en.wikipedia.org/wiki/1965_Mexican_Grand_Prix</t>
  </si>
  <si>
    <t>http://en.wikipedia.org/wiki/1966_Monaco_Grand_Prix</t>
  </si>
  <si>
    <t>http://en.wikipedia.org/wiki/1966_Belgian_Grand_Prix</t>
  </si>
  <si>
    <t>http://en.wikipedia.org/wiki/1966_French_Grand_Prix</t>
  </si>
  <si>
    <t>http://en.wikipedia.org/wiki/1966_British_Grand_Prix</t>
  </si>
  <si>
    <t>http://en.wikipedia.org/wiki/1966_Dutch_Grand_Prix</t>
  </si>
  <si>
    <t>http://en.wikipedia.org/wiki/1966_German_Grand_Prix</t>
  </si>
  <si>
    <t>http://en.wikipedia.org/wiki/1966_Italian_Grand_Prix</t>
  </si>
  <si>
    <t>http://en.wikipedia.org/wiki/1966_United_States_Grand_Prix</t>
  </si>
  <si>
    <t>http://en.wikipedia.org/wiki/1966_Mexican_Grand_Prix</t>
  </si>
  <si>
    <t>kyalami</t>
  </si>
  <si>
    <t>Kyalami</t>
  </si>
  <si>
    <t>Midrand</t>
  </si>
  <si>
    <t>http://en.wikipedia.org/wiki/1967_South_African_Grand_Prix</t>
  </si>
  <si>
    <t>http://en.wikipedia.org/wiki/1967_Monaco_Grand_Prix</t>
  </si>
  <si>
    <t>http://en.wikipedia.org/wiki/1967_Dutch_Grand_Prix</t>
  </si>
  <si>
    <t>http://en.wikipedia.org/wiki/1967_Belgian_Grand_Prix</t>
  </si>
  <si>
    <t>lemans</t>
  </si>
  <si>
    <t>Le Mans</t>
  </si>
  <si>
    <t>http://en.wikipedia.org/wiki/1967_French_Grand_Prix</t>
  </si>
  <si>
    <t>http://en.wikipedia.org/wiki/1967_British_Grand_Prix</t>
  </si>
  <si>
    <t>http://en.wikipedia.org/wiki/1967_German_Grand_Prix</t>
  </si>
  <si>
    <t>Canadian Grand Prix</t>
  </si>
  <si>
    <t>mosport</t>
  </si>
  <si>
    <t>Mosport International Raceway</t>
  </si>
  <si>
    <t>Ontario</t>
  </si>
  <si>
    <t>Canada</t>
  </si>
  <si>
    <t>http://en.wikipedia.org/wiki/1967_Canadian_Grand_Prix</t>
  </si>
  <si>
    <t>http://en.wikipedia.org/wiki/1967_Italian_Grand_Prix</t>
  </si>
  <si>
    <t>http://en.wikipedia.org/wiki/1967_United_States_Grand_Prix</t>
  </si>
  <si>
    <t>http://en.wikipedia.org/wiki/1967_Mexican_Grand_Prix</t>
  </si>
  <si>
    <t>http://en.wikipedia.org/wiki/1968_South_African_Grand_Prix</t>
  </si>
  <si>
    <t>jarama</t>
  </si>
  <si>
    <t>Jarama</t>
  </si>
  <si>
    <t>Madrid</t>
  </si>
  <si>
    <t>http://en.wikipedia.org/wiki/1968_Spanish_Grand_Prix</t>
  </si>
  <si>
    <t>http://en.wikipedia.org/wiki/1968_Monaco_Grand_Prix</t>
  </si>
  <si>
    <t>http://en.wikipedia.org/wiki/1968_Belgian_Grand_Prix</t>
  </si>
  <si>
    <t>http://en.wikipedia.org/wiki/1968_Dutch_Grand_Prix</t>
  </si>
  <si>
    <t>http://en.wikipedia.org/wiki/1968_French_Grand_Prix</t>
  </si>
  <si>
    <t>http://en.wikipedia.org/wiki/1968_British_Grand_Prix</t>
  </si>
  <si>
    <t>http://en.wikipedia.org/wiki/1968_German_Grand_Prix</t>
  </si>
  <si>
    <t>http://en.wikipedia.org/wiki/1968_Italian_Grand_Prix</t>
  </si>
  <si>
    <t>tremblant</t>
  </si>
  <si>
    <t>Circuit Mont-Tremblant</t>
  </si>
  <si>
    <t>Quebec</t>
  </si>
  <si>
    <t>http://en.wikipedia.org/wiki/1968_Canadian_Grand_Prix</t>
  </si>
  <si>
    <t>http://en.wikipedia.org/wiki/1968_United_States_Grand_Prix</t>
  </si>
  <si>
    <t>http://en.wikipedia.org/wiki/1968_Mexican_Grand_Prix</t>
  </si>
  <si>
    <t>http://en.wikipedia.org/wiki/1969_South_African_Grand_Prix</t>
  </si>
  <si>
    <t>montjuic</t>
  </si>
  <si>
    <t>Montjuïc</t>
  </si>
  <si>
    <t>http://en.wikipedia.org/wiki/1969_Spanish_Grand_Prix</t>
  </si>
  <si>
    <t>http://en.wikipedia.org/wiki/1969_Monaco_Grand_Prix</t>
  </si>
  <si>
    <t>http://en.wikipedia.org/wiki/1969_Dutch_Grand_Prix</t>
  </si>
  <si>
    <t>http://en.wikipedia.org/wiki/1969_French_Grand_Prix</t>
  </si>
  <si>
    <t>http://en.wikipedia.org/wiki/1969_British_Grand_Prix</t>
  </si>
  <si>
    <t>http://en.wikipedia.org/wiki/1969_German_Grand_Prix</t>
  </si>
  <si>
    <t>http://en.wikipedia.org/wiki/1969_Italian_Grand_Prix</t>
  </si>
  <si>
    <t>http://en.wikipedia.org/wiki/1969_Canadian_Grand_Prix</t>
  </si>
  <si>
    <t>http://en.wikipedia.org/wiki/1969_United_States_Grand_Prix</t>
  </si>
  <si>
    <t>http://en.wikipedia.org/wiki/1969_Mexican_Grand_Prix</t>
  </si>
  <si>
    <t>http://en.wikipedia.org/wiki/1970_South_African_Grand_Prix</t>
  </si>
  <si>
    <t>http://en.wikipedia.org/wiki/1970_Spanish_Grand_Prix</t>
  </si>
  <si>
    <t>http://en.wikipedia.org/wiki/1970_Monaco_Grand_Prix</t>
  </si>
  <si>
    <t>http://en.wikipedia.org/wiki/1970_Belgian_Grand_Prix</t>
  </si>
  <si>
    <t>http://en.wikipedia.org/wiki/1970_Dutch_Grand_Prix</t>
  </si>
  <si>
    <t>http://en.wikipedia.org/wiki/1970_French_Grand_Prix</t>
  </si>
  <si>
    <t>http://en.wikipedia.org/wiki/1970_British_Grand_Prix</t>
  </si>
  <si>
    <t>hockenheimring</t>
  </si>
  <si>
    <t>Hockenheimring</t>
  </si>
  <si>
    <t>Hockenheim</t>
  </si>
  <si>
    <t>http://en.wikipedia.org/wiki/1970_German_Grand_Prix</t>
  </si>
  <si>
    <t>osterreichring</t>
  </si>
  <si>
    <t>A1-Ring</t>
  </si>
  <si>
    <t>Spielburg</t>
  </si>
  <si>
    <t>http://en.wikipedia.org/wiki/1970_Austrian_Grand_Prix</t>
  </si>
  <si>
    <t>http://en.wikipedia.org/wiki/1970_Italian_Grand_Prix</t>
  </si>
  <si>
    <t>http://en.wikipedia.org/wiki/1970_Canadian_Grand_Prix</t>
  </si>
  <si>
    <t>http://en.wikipedia.org/wiki/1970_United_States_Grand_Prix</t>
  </si>
  <si>
    <t>http://en.wikipedia.org/wiki/1970_Mexican_Grand_Prix</t>
  </si>
  <si>
    <t>http://en.wikipedia.org/wiki/1971_South_African_Grand_Prix</t>
  </si>
  <si>
    <t>http://en.wikipedia.org/wiki/1971_Spanish_Grand_Prix</t>
  </si>
  <si>
    <t>http://en.wikipedia.org/wiki/1971_Monaco_Grand_Prix</t>
  </si>
  <si>
    <t>http://en.wikipedia.org/wiki/1971_Dutch_Grand_Prix</t>
  </si>
  <si>
    <t>ricard</t>
  </si>
  <si>
    <t>Circuit Paul Ricard</t>
  </si>
  <si>
    <t>Le Castellet</t>
  </si>
  <si>
    <t>http://en.wikipedia.org/wiki/1971_French_Grand_Prix</t>
  </si>
  <si>
    <t>http://en.wikipedia.org/wiki/1971_British_Grand_Prix</t>
  </si>
  <si>
    <t>http://en.wikipedia.org/wiki/1971_German_Grand_Prix</t>
  </si>
  <si>
    <t>http://en.wikipedia.org/wiki/1971_Austrian_Grand_Prix</t>
  </si>
  <si>
    <t>http://en.wikipedia.org/wiki/1971_Italian_Grand_Prix</t>
  </si>
  <si>
    <t>http://en.wikipedia.org/wiki/1971_Canadian_Grand_Prix</t>
  </si>
  <si>
    <t>http://en.wikipedia.org/wiki/1971_United_States_Grand_Prix</t>
  </si>
  <si>
    <t>http://en.wikipedia.org/wiki/1972_Argentine_Grand_Prix</t>
  </si>
  <si>
    <t>http://en.wikipedia.org/wiki/1972_South_African_Grand_Prix</t>
  </si>
  <si>
    <t>http://en.wikipedia.org/wiki/1972_Spanish_Grand_Prix</t>
  </si>
  <si>
    <t>http://en.wikipedia.org/wiki/1972_Monaco_Grand_Prix</t>
  </si>
  <si>
    <t>nivelles</t>
  </si>
  <si>
    <t>Nivelles-Baulers</t>
  </si>
  <si>
    <t>http://en.wikipedia.org/wiki/1972_Belgian_Grand_Prix</t>
  </si>
  <si>
    <t>http://en.wikipedia.org/wiki/1972_French_Grand_Prix</t>
  </si>
  <si>
    <t>http://en.wikipedia.org/wiki/1972_British_Grand_Prix</t>
  </si>
  <si>
    <t>http://en.wikipedia.org/wiki/1972_German_Grand_Prix</t>
  </si>
  <si>
    <t>http://en.wikipedia.org/wiki/1972_Austrian_Grand_Prix</t>
  </si>
  <si>
    <t>http://en.wikipedia.org/wiki/1972_Italian_Grand_Prix</t>
  </si>
  <si>
    <t>http://en.wikipedia.org/wiki/1972_Canadian_Grand_Prix</t>
  </si>
  <si>
    <t>http://en.wikipedia.org/wiki/1972_United_States_Grand_Prix</t>
  </si>
  <si>
    <t>http://en.wikipedia.org/wiki/1973_Argentine_Grand_Prix</t>
  </si>
  <si>
    <t>Brazilian Grand Prix</t>
  </si>
  <si>
    <t>interlagos</t>
  </si>
  <si>
    <t>Autódromo José Carlos Pace</t>
  </si>
  <si>
    <t>São Paulo</t>
  </si>
  <si>
    <t>Brazil</t>
  </si>
  <si>
    <t>http://en.wikipedia.org/wiki/1973_Brazilian_Grand_Prix</t>
  </si>
  <si>
    <t>http://en.wikipedia.org/wiki/1973_South_African_Grand_Prix</t>
  </si>
  <si>
    <t>http://en.wikipedia.org/wiki/1973_Spanish_Grand_Prix</t>
  </si>
  <si>
    <t>zolder</t>
  </si>
  <si>
    <t>Zolder</t>
  </si>
  <si>
    <t>Heusden-Zolder</t>
  </si>
  <si>
    <t>http://en.wikipedia.org/wiki/1973_Belgian_Grand_Prix</t>
  </si>
  <si>
    <t>http://en.wikipedia.org/wiki/1973_Monaco_Grand_Prix</t>
  </si>
  <si>
    <t>Swedish Grand Prix</t>
  </si>
  <si>
    <t>anderstorp</t>
  </si>
  <si>
    <t>Scandinavian Raceway</t>
  </si>
  <si>
    <t>Anderstorp</t>
  </si>
  <si>
    <t>Sweden</t>
  </si>
  <si>
    <t>http://en.wikipedia.org/wiki/1973_Swedish_Grand_Prix</t>
  </si>
  <si>
    <t>http://en.wikipedia.org/wiki/1973_French_Grand_Prix</t>
  </si>
  <si>
    <t>http://en.wikipedia.org/wiki/1973_British_Grand_Prix</t>
  </si>
  <si>
    <t>http://en.wikipedia.org/wiki/1973_Dutch_Grand_Prix</t>
  </si>
  <si>
    <t>http://en.wikipedia.org/wiki/1973_German_Grand_Prix</t>
  </si>
  <si>
    <t>http://en.wikipedia.org/wiki/1973_Austrian_Grand_Prix</t>
  </si>
  <si>
    <t>http://en.wikipedia.org/wiki/1973_Italian_Grand_Prix</t>
  </si>
  <si>
    <t>http://en.wikipedia.org/wiki/1973_Canadian_Grand_Prix</t>
  </si>
  <si>
    <t>http://en.wikipedia.org/wiki/1973_United_States_Grand_Prix</t>
  </si>
  <si>
    <t>http://en.wikipedia.org/wiki/1974_Argentine_Grand_Prix</t>
  </si>
  <si>
    <t>http://en.wikipedia.org/wiki/1974_Brazilian_Grand_Prix</t>
  </si>
  <si>
    <t>http://en.wikipedia.org/wiki/1974_South_African_Grand_Prix</t>
  </si>
  <si>
    <t>http://en.wikipedia.org/wiki/1974_Spanish_Grand_Prix</t>
  </si>
  <si>
    <t>http://en.wikipedia.org/wiki/1974_Belgian_Grand_Prix</t>
  </si>
  <si>
    <t>http://en.wikipedia.org/wiki/1974_Monaco_Grand_Prix</t>
  </si>
  <si>
    <t>http://en.wikipedia.org/wiki/1974_Swedish_Grand_Prix</t>
  </si>
  <si>
    <t>http://en.wikipedia.org/wiki/1974_Dutch_Grand_Prix</t>
  </si>
  <si>
    <t>dijon</t>
  </si>
  <si>
    <t>Dijon-Prenois</t>
  </si>
  <si>
    <t>Dijon</t>
  </si>
  <si>
    <t>http://en.wikipedia.org/wiki/1974_French_Grand_Prix</t>
  </si>
  <si>
    <t>http://en.wikipedia.org/wiki/1974_British_Grand_Prix</t>
  </si>
  <si>
    <t>http://en.wikipedia.org/wiki/1974_German_Grand_Prix</t>
  </si>
  <si>
    <t>http://en.wikipedia.org/wiki/1974_Austrian_Grand_Prix</t>
  </si>
  <si>
    <t>http://en.wikipedia.org/wiki/1974_Italian_Grand_Prix</t>
  </si>
  <si>
    <t>http://en.wikipedia.org/wiki/1974_Canadian_Grand_Prix</t>
  </si>
  <si>
    <t>http://en.wikipedia.org/wiki/1974_United_States_Grand_Prix</t>
  </si>
  <si>
    <t>http://en.wikipedia.org/wiki/1975_Argentine_Grand_Prix</t>
  </si>
  <si>
    <t>http://en.wikipedia.org/wiki/1975_Brazilian_Grand_Prix</t>
  </si>
  <si>
    <t>http://en.wikipedia.org/wiki/1975_South_African_Grand_Prix</t>
  </si>
  <si>
    <t>http://en.wikipedia.org/wiki/1975_Spanish_Grand_Prix</t>
  </si>
  <si>
    <t>http://en.wikipedia.org/wiki/1975_Monaco_Grand_Prix</t>
  </si>
  <si>
    <t>http://en.wikipedia.org/wiki/1975_Belgian_Grand_Prix</t>
  </si>
  <si>
    <t>http://en.wikipedia.org/wiki/1975_Swedish_Grand_Prix</t>
  </si>
  <si>
    <t>http://en.wikipedia.org/wiki/1975_Dutch_Grand_Prix</t>
  </si>
  <si>
    <t>http://en.wikipedia.org/wiki/1975_French_Grand_Prix</t>
  </si>
  <si>
    <t>http://en.wikipedia.org/wiki/1975_British_Grand_Prix</t>
  </si>
  <si>
    <t>http://en.wikipedia.org/wiki/1975_German_Grand_Prix</t>
  </si>
  <si>
    <t>http://en.wikipedia.org/wiki/1975_Austrian_Grand_Prix</t>
  </si>
  <si>
    <t>http://en.wikipedia.org/wiki/1975_Italian_Grand_Prix</t>
  </si>
  <si>
    <t>http://en.wikipedia.org/wiki/1975_United_States_Grand_Prix</t>
  </si>
  <si>
    <t>http://en.wikipedia.org/wiki/1976_Brazilian_Grand_Prix</t>
  </si>
  <si>
    <t>http://en.wikipedia.org/wiki/1976_South_African_Grand_Prix</t>
  </si>
  <si>
    <t>United States Grand Prix West</t>
  </si>
  <si>
    <t>long_beach</t>
  </si>
  <si>
    <t>Long Beach</t>
  </si>
  <si>
    <t>http://en.wikipedia.org/wiki/1976_United_States_Grand_Prix_West</t>
  </si>
  <si>
    <t>http://en.wikipedia.org/wiki/1976_Spanish_Grand_Prix</t>
  </si>
  <si>
    <t>http://en.wikipedia.org/wiki/1976_Belgian_Grand_Prix</t>
  </si>
  <si>
    <t>http://en.wikipedia.org/wiki/1976_Monaco_Grand_Prix</t>
  </si>
  <si>
    <t>http://en.wikipedia.org/wiki/1976_Swedish_Grand_Prix</t>
  </si>
  <si>
    <t>http://en.wikipedia.org/wiki/1976_French_Grand_Prix</t>
  </si>
  <si>
    <t>http://en.wikipedia.org/wiki/1976_British_Grand_Prix</t>
  </si>
  <si>
    <t>http://en.wikipedia.org/wiki/1976_German_Grand_Prix</t>
  </si>
  <si>
    <t>http://en.wikipedia.org/wiki/1976_Austrian_Grand_Prix</t>
  </si>
  <si>
    <t>http://en.wikipedia.org/wiki/1976_Dutch_Grand_Prix</t>
  </si>
  <si>
    <t>http://en.wikipedia.org/wiki/1976_Italian_Grand_Prix</t>
  </si>
  <si>
    <t>http://en.wikipedia.org/wiki/1976_Canadian_Grand_Prix</t>
  </si>
  <si>
    <t>http://en.wikipedia.org/wiki/1976_United_States_Grand_Prix</t>
  </si>
  <si>
    <t>Japanese Grand Prix</t>
  </si>
  <si>
    <t>fuji</t>
  </si>
  <si>
    <t>Fuji Speedway</t>
  </si>
  <si>
    <t>Oyama</t>
  </si>
  <si>
    <t>http://en.wikipedia.org/wiki/1976_Japanese_Grand_Prix</t>
  </si>
  <si>
    <t>http://en.wikipedia.org/wiki/1977_Argentine_Grand_Prix</t>
  </si>
  <si>
    <t>http://en.wikipedia.org/wiki/1977_Brazilian_Grand_Prix</t>
  </si>
  <si>
    <t>http://en.wikipedia.org/wiki/1977_South_African_Grand_Prix</t>
  </si>
  <si>
    <t>http://en.wikipedia.org/wiki/1977_United_States_Grand_Prix_West</t>
  </si>
  <si>
    <t>http://en.wikipedia.org/wiki/1977_Spanish_Grand_Prix</t>
  </si>
  <si>
    <t>http://en.wikipedia.org/wiki/1977_Monaco_Grand_Prix</t>
  </si>
  <si>
    <t>http://en.wikipedia.org/wiki/1977_Belgian_Grand_Prix</t>
  </si>
  <si>
    <t>http://en.wikipedia.org/wiki/1977_Swedish_Grand_Prix</t>
  </si>
  <si>
    <t>http://en.wikipedia.org/wiki/1977_French_Grand_Prix</t>
  </si>
  <si>
    <t>http://en.wikipedia.org/wiki/1977_British_Grand_Prix</t>
  </si>
  <si>
    <t>http://en.wikipedia.org/wiki/1977_German_Grand_Prix</t>
  </si>
  <si>
    <t>http://en.wikipedia.org/wiki/1977_Austrian_Grand_Prix</t>
  </si>
  <si>
    <t>http://en.wikipedia.org/wiki/1977_Dutch_Grand_Prix</t>
  </si>
  <si>
    <t>http://en.wikipedia.org/wiki/1977_Italian_Grand_Prix</t>
  </si>
  <si>
    <t>http://en.wikipedia.org/wiki/1977_United_States_Grand_Prix</t>
  </si>
  <si>
    <t>http://en.wikipedia.org/wiki/1977_Canadian_Grand_Prix</t>
  </si>
  <si>
    <t>http://en.wikipedia.org/wiki/1977_Japanese_Grand_Prix</t>
  </si>
  <si>
    <t>http://en.wikipedia.org/wiki/1978_Argentine_Grand_Prix</t>
  </si>
  <si>
    <t>jacarepagua</t>
  </si>
  <si>
    <t>Autódromo Internacional Nelson Piquet</t>
  </si>
  <si>
    <t>Rio de Janeiro</t>
  </si>
  <si>
    <t>http://en.wikipedia.org/wiki/1978_Brazilian_Grand_Prix</t>
  </si>
  <si>
    <t>http://en.wikipedia.org/wiki/1978_South_African_Grand_Prix</t>
  </si>
  <si>
    <t>http://en.wikipedia.org/wiki/1978_United_States_Grand_Prix_West</t>
  </si>
  <si>
    <t>http://en.wikipedia.org/wiki/1978_Monaco_Grand_Prix</t>
  </si>
  <si>
    <t>http://en.wikipedia.org/wiki/1978_Belgian_Grand_Prix</t>
  </si>
  <si>
    <t>http://en.wikipedia.org/wiki/1978_Spanish_Grand_Prix</t>
  </si>
  <si>
    <t>http://en.wikipedia.org/wiki/1978_Swedish_Grand_Prix</t>
  </si>
  <si>
    <t>http://en.wikipedia.org/wiki/1978_French_Grand_Prix</t>
  </si>
  <si>
    <t>http://en.wikipedia.org/wiki/1978_British_Grand_Prix</t>
  </si>
  <si>
    <t>http://en.wikipedia.org/wiki/1978_German_Grand_Prix</t>
  </si>
  <si>
    <t>http://en.wikipedia.org/wiki/1978_Austrian_Grand_Prix</t>
  </si>
  <si>
    <t>http://en.wikipedia.org/wiki/1978_Dutch_Grand_Prix</t>
  </si>
  <si>
    <t>http://en.wikipedia.org/wiki/1978_Italian_Grand_Prix</t>
  </si>
  <si>
    <t>http://en.wikipedia.org/wiki/1978_United_States_Grand_Prix</t>
  </si>
  <si>
    <t>villeneuve</t>
  </si>
  <si>
    <t>Circuit Gilles Villeneuve</t>
  </si>
  <si>
    <t>Montreal</t>
  </si>
  <si>
    <t>http://en.wikipedia.org/wiki/1978_Canadian_Grand_Prix</t>
  </si>
  <si>
    <t>http://en.wikipedia.org/wiki/1979_Argentine_Grand_Prix</t>
  </si>
  <si>
    <t>http://en.wikipedia.org/wiki/1979_Brazilian_Grand_Prix</t>
  </si>
  <si>
    <t>http://en.wikipedia.org/wiki/1979_South_African_Grand_Prix</t>
  </si>
  <si>
    <t>http://en.wikipedia.org/wiki/1979_United_States_Grand_Prix_West</t>
  </si>
  <si>
    <t>http://en.wikipedia.org/wiki/1979_Spanish_Grand_Prix</t>
  </si>
  <si>
    <t>http://en.wikipedia.org/wiki/1979_Belgian_Grand_Prix</t>
  </si>
  <si>
    <t>http://en.wikipedia.org/wiki/1979_Monaco_Grand_Prix</t>
  </si>
  <si>
    <t>http://en.wikipedia.org/wiki/1979_French_Grand_Prix</t>
  </si>
  <si>
    <t>http://en.wikipedia.org/wiki/1979_British_Grand_Prix</t>
  </si>
  <si>
    <t>http://en.wikipedia.org/wiki/1979_German_Grand_Prix</t>
  </si>
  <si>
    <t>http://en.wikipedia.org/wiki/1979_Austrian_Grand_Prix</t>
  </si>
  <si>
    <t>http://en.wikipedia.org/wiki/1979_Dutch_Grand_Prix</t>
  </si>
  <si>
    <t>http://en.wikipedia.org/wiki/1979_Italian_Grand_Prix</t>
  </si>
  <si>
    <t>http://en.wikipedia.org/wiki/1979_Canadian_Grand_Prix</t>
  </si>
  <si>
    <t>http://en.wikipedia.org/wiki/1979_United_States_Grand_Prix</t>
  </si>
  <si>
    <t>http://en.wikipedia.org/wiki/1980_Argentine_Grand_Prix</t>
  </si>
  <si>
    <t>http://en.wikipedia.org/wiki/1980_Brazilian_Grand_Prix</t>
  </si>
  <si>
    <t>http://en.wikipedia.org/wiki/1980_South_African_Grand_Prix</t>
  </si>
  <si>
    <t>http://en.wikipedia.org/wiki/1980_United_States_Grand_Prix_West</t>
  </si>
  <si>
    <t>http://en.wikipedia.org/wiki/1980_Belgian_Grand_Prix</t>
  </si>
  <si>
    <t>http://en.wikipedia.org/wiki/1980_Monaco_Grand_Prix</t>
  </si>
  <si>
    <t>http://en.wikipedia.org/wiki/1980_French_Grand_Prix</t>
  </si>
  <si>
    <t>http://en.wikipedia.org/wiki/1980_British_Grand_Prix</t>
  </si>
  <si>
    <t>http://en.wikipedia.org/wiki/1980_German_Grand_Prix</t>
  </si>
  <si>
    <t>http://en.wikipedia.org/wiki/1980_Austrian_Grand_Prix</t>
  </si>
  <si>
    <t>http://en.wikipedia.org/wiki/1980_Dutch_Grand_Prix</t>
  </si>
  <si>
    <t>imola</t>
  </si>
  <si>
    <t>Autodromo Enzo e Dino Ferrari</t>
  </si>
  <si>
    <t>Imola</t>
  </si>
  <si>
    <t>http://en.wikipedia.org/wiki/1980_Italian_Grand_Prix</t>
  </si>
  <si>
    <t>http://en.wikipedia.org/wiki/1980_Canadian_Grand_Prix</t>
  </si>
  <si>
    <t>http://en.wikipedia.org/wiki/1980_United_States_Grand_Prix</t>
  </si>
  <si>
    <t>http://en.wikipedia.org/wiki/1981_United_States_Grand_Prix_West</t>
  </si>
  <si>
    <t>http://en.wikipedia.org/wiki/1981_Brazilian_Grand_Prix</t>
  </si>
  <si>
    <t>http://en.wikipedia.org/wiki/1981_Argentine_Grand_Prix</t>
  </si>
  <si>
    <t>San Marino Grand Prix</t>
  </si>
  <si>
    <t>http://en.wikipedia.org/wiki/1981_San_Marino_Grand_Prix</t>
  </si>
  <si>
    <t>http://en.wikipedia.org/wiki/1981_Belgian_Grand_Prix</t>
  </si>
  <si>
    <t>http://en.wikipedia.org/wiki/1981_Monaco_Grand_Prix</t>
  </si>
  <si>
    <t>http://en.wikipedia.org/wiki/1981_Spanish_Grand_Prix</t>
  </si>
  <si>
    <t>http://en.wikipedia.org/wiki/1981_French_Grand_Prix</t>
  </si>
  <si>
    <t>http://en.wikipedia.org/wiki/1981_British_Grand_Prix</t>
  </si>
  <si>
    <t>http://en.wikipedia.org/wiki/1981_German_Grand_Prix</t>
  </si>
  <si>
    <t>http://en.wikipedia.org/wiki/1981_Austrian_Grand_Prix</t>
  </si>
  <si>
    <t>http://en.wikipedia.org/wiki/1981_Dutch_Grand_Prix</t>
  </si>
  <si>
    <t>http://en.wikipedia.org/wiki/1981_Italian_Grand_Prix</t>
  </si>
  <si>
    <t>http://en.wikipedia.org/wiki/1981_Canadian_Grand_Prix</t>
  </si>
  <si>
    <t>Caesars Palace Grand Prix</t>
  </si>
  <si>
    <t>las_vegas</t>
  </si>
  <si>
    <t>Las Vegas Street Circuit</t>
  </si>
  <si>
    <t>Nevada</t>
  </si>
  <si>
    <t>http://en.wikipedia.org/wiki/1981_Caesars_Palace_Grand_Prix</t>
  </si>
  <si>
    <t>http://en.wikipedia.org/wiki/1982_South_African_Grand_Prix</t>
  </si>
  <si>
    <t>http://en.wikipedia.org/wiki/1982_Brazilian_Grand_Prix</t>
  </si>
  <si>
    <t>http://en.wikipedia.org/wiki/1982_United_States_Grand_Prix_West</t>
  </si>
  <si>
    <t>http://en.wikipedia.org/wiki/1982_San_Marino_Grand_Prix</t>
  </si>
  <si>
    <t>http://en.wikipedia.org/wiki/1982_Belgian_Grand_Prix</t>
  </si>
  <si>
    <t>http://en.wikipedia.org/wiki/1982_Monaco_Grand_Prix</t>
  </si>
  <si>
    <t>Detroit Grand Prix</t>
  </si>
  <si>
    <t>detroit</t>
  </si>
  <si>
    <t>Detroit Street Circuit</t>
  </si>
  <si>
    <t>Detroit</t>
  </si>
  <si>
    <t>http://en.wikipedia.org/wiki/1982_Detroit_Grand_Prix</t>
  </si>
  <si>
    <t>http://en.wikipedia.org/wiki/1982_Canadian_Grand_Prix</t>
  </si>
  <si>
    <t>http://en.wikipedia.org/wiki/1982_Dutch_Grand_Prix</t>
  </si>
  <si>
    <t>http://en.wikipedia.org/wiki/1982_British_Grand_Prix</t>
  </si>
  <si>
    <t>http://en.wikipedia.org/wiki/1982_French_Grand_Prix</t>
  </si>
  <si>
    <t>http://en.wikipedia.org/wiki/1982_German_Grand_Prix</t>
  </si>
  <si>
    <t>http://en.wikipedia.org/wiki/1982_Austrian_Grand_Prix</t>
  </si>
  <si>
    <t>http://en.wikipedia.org/wiki/1982_Swiss_Grand_Prix</t>
  </si>
  <si>
    <t>http://en.wikipedia.org/wiki/1982_Italian_Grand_Prix</t>
  </si>
  <si>
    <t>http://en.wikipedia.org/wiki/1982_Caesars_Palace_Grand_Prix</t>
  </si>
  <si>
    <t>http://en.wikipedia.org/wiki/1983_Brazilian_Grand_Prix</t>
  </si>
  <si>
    <t>http://en.wikipedia.org/wiki/1983_United_States_Grand_Prix_West</t>
  </si>
  <si>
    <t>http://en.wikipedia.org/wiki/1983_French_Grand_Prix</t>
  </si>
  <si>
    <t>http://en.wikipedia.org/wiki/1983_San_Marino_Grand_Prix</t>
  </si>
  <si>
    <t>http://en.wikipedia.org/wiki/1983_Monaco_Grand_Prix</t>
  </si>
  <si>
    <t>http://en.wikipedia.org/wiki/1983_Belgian_Grand_Prix</t>
  </si>
  <si>
    <t>http://en.wikipedia.org/wiki/1983_Detroit_Grand_Prix</t>
  </si>
  <si>
    <t>http://en.wikipedia.org/wiki/1983_Canadian_Grand_Prix</t>
  </si>
  <si>
    <t>http://en.wikipedia.org/wiki/1983_British_Grand_Prix</t>
  </si>
  <si>
    <t>http://en.wikipedia.org/wiki/1983_German_Grand_Prix</t>
  </si>
  <si>
    <t>http://en.wikipedia.org/wiki/1983_Austrian_Grand_Prix</t>
  </si>
  <si>
    <t>http://en.wikipedia.org/wiki/1983_Dutch_Grand_Prix</t>
  </si>
  <si>
    <t>http://en.wikipedia.org/wiki/1983_Italian_Grand_Prix</t>
  </si>
  <si>
    <t>European Grand Prix</t>
  </si>
  <si>
    <t>http://en.wikipedia.org/wiki/1983_European_Grand_Prix</t>
  </si>
  <si>
    <t>http://en.wikipedia.org/wiki/1983_South_African_Grand_Prix</t>
  </si>
  <si>
    <t>http://en.wikipedia.org/wiki/1984_Brazilian_Grand_Prix</t>
  </si>
  <si>
    <t>http://en.wikipedia.org/wiki/1984_South_African_Grand_Prix</t>
  </si>
  <si>
    <t>http://en.wikipedia.org/wiki/1984_Belgian_Grand_Prix</t>
  </si>
  <si>
    <t>http://en.wikipedia.org/wiki/1984_San_Marino_Grand_Prix</t>
  </si>
  <si>
    <t>http://en.wikipedia.org/wiki/1984_French_Grand_Prix</t>
  </si>
  <si>
    <t>http://en.wikipedia.org/wiki/1984_Monaco_Grand_Prix</t>
  </si>
  <si>
    <t>http://en.wikipedia.org/wiki/1984_Canadian_Grand_Prix</t>
  </si>
  <si>
    <t>http://en.wikipedia.org/wiki/1984_Detroit_Grand_Prix</t>
  </si>
  <si>
    <t>Dallas Grand Prix</t>
  </si>
  <si>
    <t>dallas</t>
  </si>
  <si>
    <t>Fair Park</t>
  </si>
  <si>
    <t>Dallas</t>
  </si>
  <si>
    <t>http://en.wikipedia.org/wiki/1984_Dallas_Grand_Prix</t>
  </si>
  <si>
    <t>http://en.wikipedia.org/wiki/1984_British_Grand_Prix</t>
  </si>
  <si>
    <t>http://en.wikipedia.org/wiki/1984_German_Grand_Prix</t>
  </si>
  <si>
    <t>http://en.wikipedia.org/wiki/1984_Austrian_Grand_Prix</t>
  </si>
  <si>
    <t>http://en.wikipedia.org/wiki/1984_Dutch_Grand_Prix</t>
  </si>
  <si>
    <t>http://en.wikipedia.org/wiki/1984_Italian_Grand_Prix</t>
  </si>
  <si>
    <t>http://en.wikipedia.org/wiki/1984_European_Grand_Prix</t>
  </si>
  <si>
    <t>estoril</t>
  </si>
  <si>
    <t>Autódromo do Estoril</t>
  </si>
  <si>
    <t>Estoril</t>
  </si>
  <si>
    <t>http://en.wikipedia.org/wiki/1984_Portuguese_Grand_Prix</t>
  </si>
  <si>
    <t>http://en.wikipedia.org/wiki/1985_Brazilian_Grand_Prix</t>
  </si>
  <si>
    <t>http://en.wikipedia.org/wiki/1985_Portuguese_Grand_Prix</t>
  </si>
  <si>
    <t>http://en.wikipedia.org/wiki/1985_San_Marino_Grand_Prix</t>
  </si>
  <si>
    <t>http://en.wikipedia.org/wiki/1985_Monaco_Grand_Prix</t>
  </si>
  <si>
    <t>http://en.wikipedia.org/wiki/1985_Canadian_Grand_Prix</t>
  </si>
  <si>
    <t>http://en.wikipedia.org/wiki/1985_Detroit_Grand_Prix</t>
  </si>
  <si>
    <t>http://en.wikipedia.org/wiki/1985_French_Grand_Prix</t>
  </si>
  <si>
    <t>http://en.wikipedia.org/wiki/1985_British_Grand_Prix</t>
  </si>
  <si>
    <t>http://en.wikipedia.org/wiki/1985_German_Grand_Prix</t>
  </si>
  <si>
    <t>http://en.wikipedia.org/wiki/1985_Austrian_Grand_Prix</t>
  </si>
  <si>
    <t>http://en.wikipedia.org/wiki/1985_Dutch_Grand_Prix</t>
  </si>
  <si>
    <t>http://en.wikipedia.org/wiki/1985_Italian_Grand_Prix</t>
  </si>
  <si>
    <t>http://en.wikipedia.org/wiki/1985_Belgian_Grand_Prix</t>
  </si>
  <si>
    <t>http://en.wikipedia.org/wiki/1985_European_Grand_Prix</t>
  </si>
  <si>
    <t>http://en.wikipedia.org/wiki/1985_South_African_Grand_Prix</t>
  </si>
  <si>
    <t>Australian Grand Prix</t>
  </si>
  <si>
    <t>adelaide</t>
  </si>
  <si>
    <t>Adelaide Street Circuit</t>
  </si>
  <si>
    <t>Adelaide</t>
  </si>
  <si>
    <t>Australia</t>
  </si>
  <si>
    <t>http://en.wikipedia.org/wiki/1985_Australian_Grand_Prix</t>
  </si>
  <si>
    <t>http://en.wikipedia.org/wiki/1986_Brazilian_Grand_Prix</t>
  </si>
  <si>
    <t>jerez</t>
  </si>
  <si>
    <t>Circuito de Jerez</t>
  </si>
  <si>
    <t>Jerez de la Frontera</t>
  </si>
  <si>
    <t>http://en.wikipedia.org/wiki/1986_Spanish_Grand_Prix</t>
  </si>
  <si>
    <t>http://en.wikipedia.org/wiki/1986_San_Marino_Grand_Prix</t>
  </si>
  <si>
    <t>http://en.wikipedia.org/wiki/1986_Monaco_Grand_Prix</t>
  </si>
  <si>
    <t>http://en.wikipedia.org/wiki/1986_Belgian_Grand_Prix</t>
  </si>
  <si>
    <t>http://en.wikipedia.org/wiki/1986_Canadian_Grand_Prix</t>
  </si>
  <si>
    <t>http://en.wikipedia.org/wiki/1986_Detroit_Grand_Prix</t>
  </si>
  <si>
    <t>http://en.wikipedia.org/wiki/1986_French_Grand_Prix</t>
  </si>
  <si>
    <t>http://en.wikipedia.org/wiki/1986_British_Grand_Prix</t>
  </si>
  <si>
    <t>http://en.wikipedia.org/wiki/1986_German_Grand_Prix</t>
  </si>
  <si>
    <t>Hungarian Grand Prix</t>
  </si>
  <si>
    <t>hungaroring</t>
  </si>
  <si>
    <t>Hungaroring</t>
  </si>
  <si>
    <t>Budapest</t>
  </si>
  <si>
    <t>Hungary</t>
  </si>
  <si>
    <t>http://en.wikipedia.org/wiki/1986_Hungarian_Grand_Prix</t>
  </si>
  <si>
    <t>http://en.wikipedia.org/wiki/1986_Austrian_Grand_Prix</t>
  </si>
  <si>
    <t>http://en.wikipedia.org/wiki/1986_Italian_Grand_Prix</t>
  </si>
  <si>
    <t>http://en.wikipedia.org/wiki/1986_Portuguese_Grand_Prix</t>
  </si>
  <si>
    <t>http://en.wikipedia.org/wiki/1986_Mexican_Grand_Prix</t>
  </si>
  <si>
    <t>http://en.wikipedia.org/wiki/1986_Australian_Grand_Prix</t>
  </si>
  <si>
    <t>http://en.wikipedia.org/wiki/1987_Brazilian_Grand_Prix</t>
  </si>
  <si>
    <t>http://en.wikipedia.org/wiki/1987_San_Marino_Grand_Prix</t>
  </si>
  <si>
    <t>http://en.wikipedia.org/wiki/1987_Belgian_Grand_Prix</t>
  </si>
  <si>
    <t>http://en.wikipedia.org/wiki/1987_Monaco_Grand_Prix</t>
  </si>
  <si>
    <t>http://en.wikipedia.org/wiki/1987_Detroit_Grand_Prix</t>
  </si>
  <si>
    <t>http://en.wikipedia.org/wiki/1987_French_Grand_Prix</t>
  </si>
  <si>
    <t>http://en.wikipedia.org/wiki/1987_British_Grand_Prix</t>
  </si>
  <si>
    <t>http://en.wikipedia.org/wiki/1987_German_Grand_Prix</t>
  </si>
  <si>
    <t>http://en.wikipedia.org/wiki/1987_Hungarian_Grand_Prix</t>
  </si>
  <si>
    <t>http://en.wikipedia.org/wiki/1987_Austrian_Grand_Prix</t>
  </si>
  <si>
    <t>http://en.wikipedia.org/wiki/1987_Italian_Grand_Prix</t>
  </si>
  <si>
    <t>http://en.wikipedia.org/wiki/1987_Portuguese_Grand_Prix</t>
  </si>
  <si>
    <t>http://en.wikipedia.org/wiki/1987_Spanish_Grand_Prix</t>
  </si>
  <si>
    <t>http://en.wikipedia.org/wiki/1987_Mexican_Grand_Prix</t>
  </si>
  <si>
    <t>suzuka</t>
  </si>
  <si>
    <t>Suzuka Circuit</t>
  </si>
  <si>
    <t>Suzuka</t>
  </si>
  <si>
    <t>http://en.wikipedia.org/wiki/1987_Japanese_Grand_Prix</t>
  </si>
  <si>
    <t>http://en.wikipedia.org/wiki/1987_Australian_Grand_Prix</t>
  </si>
  <si>
    <t>http://en.wikipedia.org/wiki/1988_Brazilian_Grand_Prix</t>
  </si>
  <si>
    <t>http://en.wikipedia.org/wiki/1988_San_Marino_Grand_Prix</t>
  </si>
  <si>
    <t>http://en.wikipedia.org/wiki/1988_Monaco_Grand_Prix</t>
  </si>
  <si>
    <t>http://en.wikipedia.org/wiki/1988_Mexican_Grand_Prix</t>
  </si>
  <si>
    <t>http://en.wikipedia.org/wiki/1988_Canadian_Grand_Prix</t>
  </si>
  <si>
    <t>http://en.wikipedia.org/wiki/1988_Detroit_Grand_Prix</t>
  </si>
  <si>
    <t>http://en.wikipedia.org/wiki/1988_French_Grand_Prix</t>
  </si>
  <si>
    <t>http://en.wikipedia.org/wiki/1988_British_Grand_Prix</t>
  </si>
  <si>
    <t>http://en.wikipedia.org/wiki/1988_German_Grand_Prix</t>
  </si>
  <si>
    <t>http://en.wikipedia.org/wiki/1988_Hungarian_Grand_Prix</t>
  </si>
  <si>
    <t>http://en.wikipedia.org/wiki/1988_Belgian_Grand_Prix</t>
  </si>
  <si>
    <t>http://en.wikipedia.org/wiki/1988_Italian_Grand_Prix</t>
  </si>
  <si>
    <t>http://en.wikipedia.org/wiki/1988_Portuguese_Grand_Prix</t>
  </si>
  <si>
    <t>http://en.wikipedia.org/wiki/1988_Spanish_Grand_Prix</t>
  </si>
  <si>
    <t>http://en.wikipedia.org/wiki/1988_Japanese_Grand_Prix</t>
  </si>
  <si>
    <t>http://en.wikipedia.org/wiki/1988_Australian_Grand_Prix</t>
  </si>
  <si>
    <t>http://en.wikipedia.org/wiki/1989_Brazilian_Grand_Prix</t>
  </si>
  <si>
    <t>http://en.wikipedia.org/wiki/1989_San_Marino_Grand_Prix</t>
  </si>
  <si>
    <t>http://en.wikipedia.org/wiki/1989_Monaco_Grand_Prix</t>
  </si>
  <si>
    <t>http://en.wikipedia.org/wiki/1989_Mexican_Grand_Prix</t>
  </si>
  <si>
    <t>phoenix</t>
  </si>
  <si>
    <t>Phoenix street circuit</t>
  </si>
  <si>
    <t>Phoenix</t>
  </si>
  <si>
    <t>http://en.wikipedia.org/wiki/1989_United_States_Grand_Prix</t>
  </si>
  <si>
    <t>http://en.wikipedia.org/wiki/1989_Canadian_Grand_Prix</t>
  </si>
  <si>
    <t>http://en.wikipedia.org/wiki/1989_French_Grand_Prix</t>
  </si>
  <si>
    <t>http://en.wikipedia.org/wiki/1989_British_Grand_Prix</t>
  </si>
  <si>
    <t>http://en.wikipedia.org/wiki/1989_German_Grand_Prix</t>
  </si>
  <si>
    <t>http://en.wikipedia.org/wiki/1989_Hungarian_Grand_Prix</t>
  </si>
  <si>
    <t>http://en.wikipedia.org/wiki/1989_Belgian_Grand_Prix</t>
  </si>
  <si>
    <t>http://en.wikipedia.org/wiki/1989_Italian_Grand_Prix</t>
  </si>
  <si>
    <t>http://en.wikipedia.org/wiki/1989_Portuguese_Grand_Prix</t>
  </si>
  <si>
    <t>http://en.wikipedia.org/wiki/1989_Spanish_Grand_Prix</t>
  </si>
  <si>
    <t>http://en.wikipedia.org/wiki/1989_Japanese_Grand_Prix</t>
  </si>
  <si>
    <t>http://en.wikipedia.org/wiki/1989_Australian_Grand_Prix</t>
  </si>
  <si>
    <t>http://en.wikipedia.org/wiki/1990_United_States_Grand_Prix</t>
  </si>
  <si>
    <t>http://en.wikipedia.org/wiki/1990_Brazilian_Grand_Prix</t>
  </si>
  <si>
    <t>http://en.wikipedia.org/wiki/1990_San_Marino_Grand_Prix</t>
  </si>
  <si>
    <t>http://en.wikipedia.org/wiki/1990_Monaco_Grand_Prix</t>
  </si>
  <si>
    <t>http://en.wikipedia.org/wiki/1990_Canadian_Grand_Prix</t>
  </si>
  <si>
    <t>http://en.wikipedia.org/wiki/1990_Mexican_Grand_Prix</t>
  </si>
  <si>
    <t>http://en.wikipedia.org/wiki/1990_French_Grand_Prix</t>
  </si>
  <si>
    <t>http://en.wikipedia.org/wiki/1990_British_Grand_Prix</t>
  </si>
  <si>
    <t>http://en.wikipedia.org/wiki/1990_German_Grand_Prix</t>
  </si>
  <si>
    <t>http://en.wikipedia.org/wiki/1990_Hungarian_Grand_Prix</t>
  </si>
  <si>
    <t>http://en.wikipedia.org/wiki/1990_Belgian_Grand_Prix</t>
  </si>
  <si>
    <t>http://en.wikipedia.org/wiki/1990_Italian_Grand_Prix</t>
  </si>
  <si>
    <t>http://en.wikipedia.org/wiki/1990_Portuguese_Grand_Prix</t>
  </si>
  <si>
    <t>http://en.wikipedia.org/wiki/1990_Spanish_Grand_Prix</t>
  </si>
  <si>
    <t>http://en.wikipedia.org/wiki/1990_Japanese_Grand_Prix</t>
  </si>
  <si>
    <t>http://en.wikipedia.org/wiki/1990_Australian_Grand_Prix</t>
  </si>
  <si>
    <t>http://en.wikipedia.org/wiki/1991_United_States_Grand_Prix</t>
  </si>
  <si>
    <t>http://en.wikipedia.org/wiki/1991_Brazilian_Grand_Prix</t>
  </si>
  <si>
    <t>http://en.wikipedia.org/wiki/1991_San_Marino_Grand_Prix</t>
  </si>
  <si>
    <t>http://en.wikipedia.org/wiki/1991_Monaco_Grand_Prix</t>
  </si>
  <si>
    <t>http://en.wikipedia.org/wiki/1991_Canadian_Grand_Prix</t>
  </si>
  <si>
    <t>http://en.wikipedia.org/wiki/1991_Mexican_Grand_Prix</t>
  </si>
  <si>
    <t>magny_cours</t>
  </si>
  <si>
    <t>Circuit de Nevers Magny-Cours</t>
  </si>
  <si>
    <t>Magny Cours</t>
  </si>
  <si>
    <t>http://en.wikipedia.org/wiki/1991_French_Grand_Prix</t>
  </si>
  <si>
    <t>http://en.wikipedia.org/wiki/1991_British_Grand_Prix</t>
  </si>
  <si>
    <t>http://en.wikipedia.org/wiki/1991_German_Grand_Prix</t>
  </si>
  <si>
    <t>http://en.wikipedia.org/wiki/1991_Hungarian_Grand_Prix</t>
  </si>
  <si>
    <t>http://en.wikipedia.org/wiki/1991_Belgian_Grand_Prix</t>
  </si>
  <si>
    <t>http://en.wikipedia.org/wiki/1991_Italian_Grand_Prix</t>
  </si>
  <si>
    <t>http://en.wikipedia.org/wiki/1991_Portuguese_Grand_Prix</t>
  </si>
  <si>
    <t>catalunya</t>
  </si>
  <si>
    <t>Circuit de Catalunya</t>
  </si>
  <si>
    <t>Montmeló</t>
  </si>
  <si>
    <t>http://en.wikipedia.org/wiki/1991_Spanish_Grand_Prix</t>
  </si>
  <si>
    <t>http://en.wikipedia.org/wiki/1991_Japanese_Grand_Prix</t>
  </si>
  <si>
    <t>http://en.wikipedia.org/wiki/1991_Australian_Grand_Prix</t>
  </si>
  <si>
    <t>http://en.wikipedia.org/wiki/1992_South_African_Grand_Prix</t>
  </si>
  <si>
    <t>http://en.wikipedia.org/wiki/1992_Mexican_Grand_Prix</t>
  </si>
  <si>
    <t>http://en.wikipedia.org/wiki/1992_Brazilian_Grand_Prix</t>
  </si>
  <si>
    <t>http://en.wikipedia.org/wiki/1992_Spanish_Grand_Prix</t>
  </si>
  <si>
    <t>http://en.wikipedia.org/wiki/1992_San_Marino_Grand_Prix</t>
  </si>
  <si>
    <t>http://en.wikipedia.org/wiki/1992_Monaco_Grand_Prix</t>
  </si>
  <si>
    <t>http://en.wikipedia.org/wiki/1992_Canadian_Grand_Prix</t>
  </si>
  <si>
    <t>http://en.wikipedia.org/wiki/1992_French_Grand_Prix</t>
  </si>
  <si>
    <t>http://en.wikipedia.org/wiki/1992_British_Grand_Prix</t>
  </si>
  <si>
    <t>http://en.wikipedia.org/wiki/1992_German_Grand_Prix</t>
  </si>
  <si>
    <t>http://en.wikipedia.org/wiki/1992_Hungarian_Grand_Prix</t>
  </si>
  <si>
    <t>http://en.wikipedia.org/wiki/1992_Belgian_Grand_Prix</t>
  </si>
  <si>
    <t>http://en.wikipedia.org/wiki/1992_Italian_Grand_Prix</t>
  </si>
  <si>
    <t>http://en.wikipedia.org/wiki/1992_Portuguese_Grand_Prix</t>
  </si>
  <si>
    <t>http://en.wikipedia.org/wiki/1992_Japanese_Grand_Prix</t>
  </si>
  <si>
    <t>http://en.wikipedia.org/wiki/1992_Australian_Grand_Prix</t>
  </si>
  <si>
    <t>http://en.wikipedia.org/wiki/1993_South_African_Grand_Prix</t>
  </si>
  <si>
    <t>http://en.wikipedia.org/wiki/1993_Brazilian_Grand_Prix</t>
  </si>
  <si>
    <t>donington</t>
  </si>
  <si>
    <t>Donington Park</t>
  </si>
  <si>
    <t>Castle Donington</t>
  </si>
  <si>
    <t>http://en.wikipedia.org/wiki/1993_European_Grand_Prix</t>
  </si>
  <si>
    <t>http://en.wikipedia.org/wiki/1993_San_Marino_Grand_Prix</t>
  </si>
  <si>
    <t>http://en.wikipedia.org/wiki/1993_Spanish_Grand_Prix</t>
  </si>
  <si>
    <t>http://en.wikipedia.org/wiki/1993_Monaco_Grand_Prix</t>
  </si>
  <si>
    <t>http://en.wikipedia.org/wiki/1993_Canadian_Grand_Prix</t>
  </si>
  <si>
    <t>http://en.wikipedia.org/wiki/1993_French_Grand_Prix</t>
  </si>
  <si>
    <t>http://en.wikipedia.org/wiki/1993_British_Grand_Prix</t>
  </si>
  <si>
    <t>http://en.wikipedia.org/wiki/1993_German_Grand_Prix</t>
  </si>
  <si>
    <t>http://en.wikipedia.org/wiki/1993_Hungarian_Grand_Prix</t>
  </si>
  <si>
    <t>http://en.wikipedia.org/wiki/1993_Belgian_Grand_Prix</t>
  </si>
  <si>
    <t>http://en.wikipedia.org/wiki/1993_Italian_Grand_Prix</t>
  </si>
  <si>
    <t>http://en.wikipedia.org/wiki/1993_Portuguese_Grand_Prix</t>
  </si>
  <si>
    <t>http://en.wikipedia.org/wiki/1993_Japanese_Grand_Prix</t>
  </si>
  <si>
    <t>http://en.wikipedia.org/wiki/1993_Australian_Grand_Prix</t>
  </si>
  <si>
    <t>http://en.wikipedia.org/wiki/1994_Brazilian_Grand_Prix</t>
  </si>
  <si>
    <t>Pacific Grand Prix</t>
  </si>
  <si>
    <t>okayama</t>
  </si>
  <si>
    <t>Okayama International Circuit</t>
  </si>
  <si>
    <t>Okayama</t>
  </si>
  <si>
    <t>http://en.wikipedia.org/wiki/1994_Pacific_Grand_Prix</t>
  </si>
  <si>
    <t>http://en.wikipedia.org/wiki/1994_San_Marino_Grand_Prix</t>
  </si>
  <si>
    <t>http://en.wikipedia.org/wiki/1994_Monaco_Grand_Prix</t>
  </si>
  <si>
    <t>http://en.wikipedia.org/wiki/1994_Spanish_Grand_Prix</t>
  </si>
  <si>
    <t>http://en.wikipedia.org/wiki/1994_Canadian_Grand_Prix</t>
  </si>
  <si>
    <t>http://en.wikipedia.org/wiki/1994_French_Grand_Prix</t>
  </si>
  <si>
    <t>http://en.wikipedia.org/wiki/1994_British_Grand_Prix</t>
  </si>
  <si>
    <t>http://en.wikipedia.org/wiki/1994_German_Grand_Prix</t>
  </si>
  <si>
    <t>http://en.wikipedia.org/wiki/1994_Hungarian_Grand_Prix</t>
  </si>
  <si>
    <t>http://en.wikipedia.org/wiki/1994_Belgian_Grand_Prix</t>
  </si>
  <si>
    <t>http://en.wikipedia.org/wiki/1994_Italian_Grand_Prix</t>
  </si>
  <si>
    <t>http://en.wikipedia.org/wiki/1994_Portuguese_Grand_Prix</t>
  </si>
  <si>
    <t>http://en.wikipedia.org/wiki/1994_European_Grand_Prix</t>
  </si>
  <si>
    <t>http://en.wikipedia.org/wiki/1994_Japanese_Grand_Prix</t>
  </si>
  <si>
    <t>http://en.wikipedia.org/wiki/1994_Australian_Grand_Prix</t>
  </si>
  <si>
    <t>http://en.wikipedia.org/wiki/1995_Brazilian_Grand_Prix</t>
  </si>
  <si>
    <t>http://en.wikipedia.org/wiki/1995_Argentine_Grand_Prix</t>
  </si>
  <si>
    <t>http://en.wikipedia.org/wiki/1995_San_Marino_Grand_Prix</t>
  </si>
  <si>
    <t>http://en.wikipedia.org/wiki/1995_Spanish_Grand_Prix</t>
  </si>
  <si>
    <t>http://en.wikipedia.org/wiki/1995_Monaco_Grand_Prix</t>
  </si>
  <si>
    <t>http://en.wikipedia.org/wiki/1995_Canadian_Grand_Prix</t>
  </si>
  <si>
    <t>http://en.wikipedia.org/wiki/1995_French_Grand_Prix</t>
  </si>
  <si>
    <t>http://en.wikipedia.org/wiki/1995_British_Grand_Prix</t>
  </si>
  <si>
    <t>http://en.wikipedia.org/wiki/1995_German_Grand_Prix</t>
  </si>
  <si>
    <t>http://en.wikipedia.org/wiki/1995_Hungarian_Grand_Prix</t>
  </si>
  <si>
    <t>http://en.wikipedia.org/wiki/1995_Belgian_Grand_Prix</t>
  </si>
  <si>
    <t>http://en.wikipedia.org/wiki/1995_Italian_Grand_Prix</t>
  </si>
  <si>
    <t>http://en.wikipedia.org/wiki/1995_Portuguese_Grand_Prix</t>
  </si>
  <si>
    <t>http://en.wikipedia.org/wiki/1995_European_Grand_Prix</t>
  </si>
  <si>
    <t>http://en.wikipedia.org/wiki/1995_Pacific_Grand_Prix</t>
  </si>
  <si>
    <t>http://en.wikipedia.org/wiki/1995_Japanese_Grand_Prix</t>
  </si>
  <si>
    <t>http://en.wikipedia.org/wiki/1995_Australian_Grand_Prix</t>
  </si>
  <si>
    <t>albert_park</t>
  </si>
  <si>
    <t>Albert Park Grand Prix Circuit</t>
  </si>
  <si>
    <t>Melbourne</t>
  </si>
  <si>
    <t>http://en.wikipedia.org/wiki/1996_Australian_Grand_Prix</t>
  </si>
  <si>
    <t>http://en.wikipedia.org/wiki/1996_Brazilian_Grand_Prix</t>
  </si>
  <si>
    <t>http://en.wikipedia.org/wiki/1996_Argentine_Grand_Prix</t>
  </si>
  <si>
    <t>http://en.wikipedia.org/wiki/1996_European_Grand_Prix</t>
  </si>
  <si>
    <t>http://en.wikipedia.org/wiki/1996_San_Marino_Grand_Prix</t>
  </si>
  <si>
    <t>http://en.wikipedia.org/wiki/1996_Monaco_Grand_Prix</t>
  </si>
  <si>
    <t>http://en.wikipedia.org/wiki/1996_Spanish_Grand_Prix</t>
  </si>
  <si>
    <t>http://en.wikipedia.org/wiki/1996_Canadian_Grand_Prix</t>
  </si>
  <si>
    <t>http://en.wikipedia.org/wiki/1996_French_Grand_Prix</t>
  </si>
  <si>
    <t>http://en.wikipedia.org/wiki/1996_British_Grand_Prix</t>
  </si>
  <si>
    <t>http://en.wikipedia.org/wiki/1996_German_Grand_Prix</t>
  </si>
  <si>
    <t>http://en.wikipedia.org/wiki/1996_Hungarian_Grand_Prix</t>
  </si>
  <si>
    <t>http://en.wikipedia.org/wiki/1996_Belgian_Grand_Prix</t>
  </si>
  <si>
    <t>http://en.wikipedia.org/wiki/1996_Italian_Grand_Prix</t>
  </si>
  <si>
    <t>http://en.wikipedia.org/wiki/1996_Portuguese_Grand_Prix</t>
  </si>
  <si>
    <t>http://en.wikipedia.org/wiki/1996_Japanese_Grand_Prix</t>
  </si>
  <si>
    <t>http://en.wikipedia.org/wiki/1997_Australian_Grand_Prix</t>
  </si>
  <si>
    <t>http://en.wikipedia.org/wiki/1997_Brazilian_Grand_Prix</t>
  </si>
  <si>
    <t>http://en.wikipedia.org/wiki/1997_Argentine_Grand_Prix</t>
  </si>
  <si>
    <t>http://en.wikipedia.org/wiki/1997_San_Marino_Grand_Prix</t>
  </si>
  <si>
    <t>http://en.wikipedia.org/wiki/1997_Monaco_Grand_Prix</t>
  </si>
  <si>
    <t>http://en.wikipedia.org/wiki/1997_Spanish_Grand_Prix</t>
  </si>
  <si>
    <t>http://en.wikipedia.org/wiki/1997_Canadian_Grand_Prix</t>
  </si>
  <si>
    <t>http://en.wikipedia.org/wiki/1997_French_Grand_Prix</t>
  </si>
  <si>
    <t>http://en.wikipedia.org/wiki/1997_British_Grand_Prix</t>
  </si>
  <si>
    <t>http://en.wikipedia.org/wiki/1997_German_Grand_Prix</t>
  </si>
  <si>
    <t>http://en.wikipedia.org/wiki/1997_Hungarian_Grand_Prix</t>
  </si>
  <si>
    <t>http://en.wikipedia.org/wiki/1997_Belgian_Grand_Prix</t>
  </si>
  <si>
    <t>http://en.wikipedia.org/wiki/1997_Italian_Grand_Prix</t>
  </si>
  <si>
    <t>http://en.wikipedia.org/wiki/1997_Austrian_Grand_Prix</t>
  </si>
  <si>
    <t>Luxembourg Grand Prix</t>
  </si>
  <si>
    <t>http://en.wikipedia.org/wiki/1997_Luxembourg_Grand_Prix</t>
  </si>
  <si>
    <t>http://en.wikipedia.org/wiki/1997_Japanese_Grand_Prix</t>
  </si>
  <si>
    <t>http://en.wikipedia.org/wiki/1997_European_Grand_Prix</t>
  </si>
  <si>
    <t>http://en.wikipedia.org/wiki/1998_Australian_Grand_Prix</t>
  </si>
  <si>
    <t>http://en.wikipedia.org/wiki/1998_Brazilian_Grand_Prix</t>
  </si>
  <si>
    <t>http://en.wikipedia.org/wiki/1998_Argentine_Grand_Prix</t>
  </si>
  <si>
    <t>http://en.wikipedia.org/wiki/1998_San_Marino_Grand_Prix</t>
  </si>
  <si>
    <t>http://en.wikipedia.org/wiki/1998_Spanish_Grand_Prix</t>
  </si>
  <si>
    <t>http://en.wikipedia.org/wiki/1998_Monaco_Grand_Prix</t>
  </si>
  <si>
    <t>http://en.wikipedia.org/wiki/1998_Canadian_Grand_Prix</t>
  </si>
  <si>
    <t>http://en.wikipedia.org/wiki/1998_French_Grand_Prix</t>
  </si>
  <si>
    <t>http://en.wikipedia.org/wiki/1998_British_Grand_Prix</t>
  </si>
  <si>
    <t>http://en.wikipedia.org/wiki/1998_Austrian_Grand_Prix</t>
  </si>
  <si>
    <t>http://en.wikipedia.org/wiki/1998_German_Grand_Prix</t>
  </si>
  <si>
    <t>http://en.wikipedia.org/wiki/1998_Hungarian_Grand_Prix</t>
  </si>
  <si>
    <t>http://en.wikipedia.org/wiki/1998_Belgian_Grand_Prix</t>
  </si>
  <si>
    <t>http://en.wikipedia.org/wiki/1998_Italian_Grand_Prix</t>
  </si>
  <si>
    <t>http://en.wikipedia.org/wiki/1998_Luxembourg_Grand_Prix</t>
  </si>
  <si>
    <t>http://en.wikipedia.org/wiki/1998_Japanese_Grand_Prix</t>
  </si>
  <si>
    <t>http://en.wikipedia.org/wiki/1999_Australian_Grand_Prix</t>
  </si>
  <si>
    <t>http://en.wikipedia.org/wiki/1999_Brazilian_Grand_Prix</t>
  </si>
  <si>
    <t>http://en.wikipedia.org/wiki/1999_San_Marino_Grand_Prix</t>
  </si>
  <si>
    <t>http://en.wikipedia.org/wiki/1999_Monaco_Grand_Prix</t>
  </si>
  <si>
    <t>http://en.wikipedia.org/wiki/1999_Spanish_Grand_Prix</t>
  </si>
  <si>
    <t>http://en.wikipedia.org/wiki/1999_Canadian_Grand_Prix</t>
  </si>
  <si>
    <t>http://en.wikipedia.org/wiki/1999_French_Grand_Prix</t>
  </si>
  <si>
    <t>http://en.wikipedia.org/wiki/1999_British_Grand_Prix</t>
  </si>
  <si>
    <t>http://en.wikipedia.org/wiki/1999_Austrian_Grand_Prix</t>
  </si>
  <si>
    <t>http://en.wikipedia.org/wiki/1999_German_Grand_Prix</t>
  </si>
  <si>
    <t>http://en.wikipedia.org/wiki/1999_Hungarian_Grand_Prix</t>
  </si>
  <si>
    <t>http://en.wikipedia.org/wiki/1999_Belgian_Grand_Prix</t>
  </si>
  <si>
    <t>http://en.wikipedia.org/wiki/1999_Italian_Grand_Prix</t>
  </si>
  <si>
    <t>http://en.wikipedia.org/wiki/1999_European_Grand_Prix</t>
  </si>
  <si>
    <t>Malaysian Grand Prix</t>
  </si>
  <si>
    <t>sepang</t>
  </si>
  <si>
    <t>Sepang International Circuit</t>
  </si>
  <si>
    <t>Kuala Lumpur</t>
  </si>
  <si>
    <t>Malaysia</t>
  </si>
  <si>
    <t>http://en.wikipedia.org/wiki/1999_Malaysian_Grand_Prix</t>
  </si>
  <si>
    <t>http://en.wikipedia.org/wiki/1999_Japanese_Grand_Prix</t>
  </si>
  <si>
    <t>http://en.wikipedia.org/wiki/2000_Australian_Grand_Prix</t>
  </si>
  <si>
    <t>http://en.wikipedia.org/wiki/2000_Brazilian_Grand_Prix</t>
  </si>
  <si>
    <t>http://en.wikipedia.org/wiki/2000_San_Marino_Grand_Prix</t>
  </si>
  <si>
    <t>http://en.wikipedia.org/wiki/2000_British_Grand_Prix</t>
  </si>
  <si>
    <t>http://en.wikipedia.org/wiki/2000_Spanish_Grand_Prix</t>
  </si>
  <si>
    <t>http://en.wikipedia.org/wiki/2000_European_Grand_Prix</t>
  </si>
  <si>
    <t>http://en.wikipedia.org/wiki/2000_Monaco_Grand_Prix</t>
  </si>
  <si>
    <t>http://en.wikipedia.org/wiki/2000_Canadian_Grand_Prix</t>
  </si>
  <si>
    <t>http://en.wikipedia.org/wiki/2000_French_Grand_Prix</t>
  </si>
  <si>
    <t>http://en.wikipedia.org/wiki/2000_Austrian_Grand_Prix</t>
  </si>
  <si>
    <t>http://en.wikipedia.org/wiki/2000_German_Grand_Prix</t>
  </si>
  <si>
    <t>http://en.wikipedia.org/wiki/2000_Hungarian_Grand_Prix</t>
  </si>
  <si>
    <t>http://en.wikipedia.org/wiki/2000_Belgian_Grand_Prix</t>
  </si>
  <si>
    <t>http://en.wikipedia.org/wiki/2000_Italian_Grand_Prix</t>
  </si>
  <si>
    <t>http://en.wikipedia.org/wiki/2000_United_States_Grand_Prix</t>
  </si>
  <si>
    <t>http://en.wikipedia.org/wiki/2000_Japanese_Grand_Prix</t>
  </si>
  <si>
    <t>http://en.wikipedia.org/wiki/2000_Malaysian_Grand_Prix</t>
  </si>
  <si>
    <t>http://en.wikipedia.org/wiki/2001_Australian_Grand_Prix</t>
  </si>
  <si>
    <t>http://en.wikipedia.org/wiki/2001_Malaysian_Grand_Prix</t>
  </si>
  <si>
    <t>http://en.wikipedia.org/wiki/2001_Brazilian_Grand_Prix</t>
  </si>
  <si>
    <t>http://en.wikipedia.org/wiki/2001_San_Marino_Grand_Prix</t>
  </si>
  <si>
    <t>http://en.wikipedia.org/wiki/2001_Spanish_Grand_Prix</t>
  </si>
  <si>
    <t>http://en.wikipedia.org/wiki/2001_Austrian_Grand_Prix</t>
  </si>
  <si>
    <t>http://en.wikipedia.org/wiki/2001_Monaco_Grand_Prix</t>
  </si>
  <si>
    <t>http://en.wikipedia.org/wiki/2001_Canadian_Grand_Prix</t>
  </si>
  <si>
    <t>http://en.wikipedia.org/wiki/2001_European_Grand_Prix</t>
  </si>
  <si>
    <t>http://en.wikipedia.org/wiki/2001_French_Grand_Prix</t>
  </si>
  <si>
    <t>http://en.wikipedia.org/wiki/2001_British_Grand_Prix</t>
  </si>
  <si>
    <t>http://en.wikipedia.org/wiki/2001_German_Grand_Prix</t>
  </si>
  <si>
    <t>http://en.wikipedia.org/wiki/2001_Hungarian_Grand_Prix</t>
  </si>
  <si>
    <t>http://en.wikipedia.org/wiki/2001_Belgian_Grand_Prix</t>
  </si>
  <si>
    <t>http://en.wikipedia.org/wiki/2001_Italian_Grand_Prix</t>
  </si>
  <si>
    <t>http://en.wikipedia.org/wiki/2001_United_States_Grand_Prix</t>
  </si>
  <si>
    <t>http://en.wikipedia.org/wiki/2001_Japanese_Grand_Prix</t>
  </si>
  <si>
    <t>http://en.wikipedia.org/wiki/2002_Australian_Grand_Prix</t>
  </si>
  <si>
    <t>http://en.wikipedia.org/wiki/2002_Malaysian_Grand_Prix</t>
  </si>
  <si>
    <t>http://en.wikipedia.org/wiki/2002_Brazilian_Grand_Prix</t>
  </si>
  <si>
    <t>http://en.wikipedia.org/wiki/2002_San_Marino_Grand_Prix</t>
  </si>
  <si>
    <t>http://en.wikipedia.org/wiki/2002_Spanish_Grand_Prix</t>
  </si>
  <si>
    <t>http://en.wikipedia.org/wiki/2002_Austrian_Grand_Prix</t>
  </si>
  <si>
    <t>http://en.wikipedia.org/wiki/2002_Monaco_Grand_Prix</t>
  </si>
  <si>
    <t>http://en.wikipedia.org/wiki/2002_Canadian_Grand_Prix</t>
  </si>
  <si>
    <t>http://en.wikipedia.org/wiki/2002_European_Grand_Prix</t>
  </si>
  <si>
    <t>http://en.wikipedia.org/wiki/2002_British_Grand_Prix</t>
  </si>
  <si>
    <t>http://en.wikipedia.org/wiki/2002_French_Grand_Prix</t>
  </si>
  <si>
    <t>http://en.wikipedia.org/wiki/2002_German_Grand_Prix</t>
  </si>
  <si>
    <t>http://en.wikipedia.org/wiki/2002_Hungarian_Grand_Prix</t>
  </si>
  <si>
    <t>http://en.wikipedia.org/wiki/2002_Belgian_Grand_Prix</t>
  </si>
  <si>
    <t>http://en.wikipedia.org/wiki/2002_Italian_Grand_Prix</t>
  </si>
  <si>
    <t>http://en.wikipedia.org/wiki/2002_United_States_Grand_Prix</t>
  </si>
  <si>
    <t>http://en.wikipedia.org/wiki/2002_Japanese_Grand_Prix</t>
  </si>
  <si>
    <t>http://en.wikipedia.org/wiki/2003_Australian_Grand_Prix</t>
  </si>
  <si>
    <t>http://en.wikipedia.org/wiki/2003_Malaysian_Grand_Prix</t>
  </si>
  <si>
    <t>http://en.wikipedia.org/wiki/2003_Brazilian_Grand_Prix</t>
  </si>
  <si>
    <t>http://en.wikipedia.org/wiki/2003_San_Marino_Grand_Prix</t>
  </si>
  <si>
    <t>http://en.wikipedia.org/wiki/2003_Spanish_Grand_Prix</t>
  </si>
  <si>
    <t>http://en.wikipedia.org/wiki/2003_Austrian_Grand_Prix</t>
  </si>
  <si>
    <t>http://en.wikipedia.org/wiki/2003_Monaco_Grand_Prix</t>
  </si>
  <si>
    <t>http://en.wikipedia.org/wiki/2003_Canadian_Grand_Prix</t>
  </si>
  <si>
    <t>http://en.wikipedia.org/wiki/2003_European_Grand_Prix</t>
  </si>
  <si>
    <t>http://en.wikipedia.org/wiki/2003_French_Grand_Prix</t>
  </si>
  <si>
    <t>http://en.wikipedia.org/wiki/2003_British_Grand_Prix</t>
  </si>
  <si>
    <t>http://en.wikipedia.org/wiki/2003_German_Grand_Prix</t>
  </si>
  <si>
    <t>http://en.wikipedia.org/wiki/2003_Hungarian_Grand_Prix</t>
  </si>
  <si>
    <t>http://en.wikipedia.org/wiki/2003_Italian_Grand_Prix</t>
  </si>
  <si>
    <t>http://en.wikipedia.org/wiki/2003_United_States_Grand_Prix</t>
  </si>
  <si>
    <t>http://en.wikipedia.org/wiki/2003_Japanese_Grand_Prix</t>
  </si>
  <si>
    <t>http://en.wikipedia.org/wiki/2004_Australian_Grand_Prix</t>
  </si>
  <si>
    <t>http://en.wikipedia.org/wiki/2004_Malaysian_Grand_Prix</t>
  </si>
  <si>
    <t>Bahrain Grand Prix</t>
  </si>
  <si>
    <t>bahrain</t>
  </si>
  <si>
    <t>Bahrain International Circuit</t>
  </si>
  <si>
    <t>Sakhir</t>
  </si>
  <si>
    <t>Bahrain</t>
  </si>
  <si>
    <t>http://en.wikipedia.org/wiki/2004_Bahrain_Grand_Prix</t>
  </si>
  <si>
    <t>http://en.wikipedia.org/wiki/2004_San_Marino_Grand_Prix</t>
  </si>
  <si>
    <t>http://en.wikipedia.org/wiki/2004_Spanish_Grand_Prix</t>
  </si>
  <si>
    <t>http://en.wikipedia.org/wiki/2004_Monaco_Grand_Prix</t>
  </si>
  <si>
    <t>http://en.wikipedia.org/wiki/2004_European_Grand_Prix</t>
  </si>
  <si>
    <t>http://en.wikipedia.org/wiki/2004_Canadian_Grand_Prix</t>
  </si>
  <si>
    <t>http://en.wikipedia.org/wiki/2004_United_States_Grand_Prix</t>
  </si>
  <si>
    <t>http://en.wikipedia.org/wiki/2004_French_Grand_Prix</t>
  </si>
  <si>
    <t>http://en.wikipedia.org/wiki/2004_British_Grand_Prix</t>
  </si>
  <si>
    <t>http://en.wikipedia.org/wiki/2004_German_Grand_Prix</t>
  </si>
  <si>
    <t>http://en.wikipedia.org/wiki/2004_Hungarian_Grand_Prix</t>
  </si>
  <si>
    <t>http://en.wikipedia.org/wiki/2004_Belgian_Grand_Prix</t>
  </si>
  <si>
    <t>http://en.wikipedia.org/wiki/2004_Italian_Grand_Prix</t>
  </si>
  <si>
    <t>Chinese Grand Prix</t>
  </si>
  <si>
    <t>shanghai</t>
  </si>
  <si>
    <t>Shanghai International Circuit</t>
  </si>
  <si>
    <t>Shanghai</t>
  </si>
  <si>
    <t>http://en.wikipedia.org/wiki/2004_Chinese_Grand_Prix</t>
  </si>
  <si>
    <t>http://en.wikipedia.org/wiki/2004_Japanese_Grand_Prix</t>
  </si>
  <si>
    <t>http://en.wikipedia.org/wiki/2004_Brazilian_Grand_Prix</t>
  </si>
  <si>
    <t>http://en.wikipedia.org/wiki/2005_Australian_Grand_Prix</t>
  </si>
  <si>
    <t>http://en.wikipedia.org/wiki/2005_Malaysian_Grand_Prix</t>
  </si>
  <si>
    <t>http://en.wikipedia.org/wiki/2005_Bahrain_Grand_Prix</t>
  </si>
  <si>
    <t>http://en.wikipedia.org/wiki/2005_San_Marino_Grand_Prix</t>
  </si>
  <si>
    <t>http://en.wikipedia.org/wiki/2005_Spanish_Grand_Prix</t>
  </si>
  <si>
    <t>http://en.wikipedia.org/wiki/2005_Monaco_Grand_Prix</t>
  </si>
  <si>
    <t>http://en.wikipedia.org/wiki/2005_European_Grand_Prix</t>
  </si>
  <si>
    <t>http://en.wikipedia.org/wiki/2005_Canadian_Grand_Prix</t>
  </si>
  <si>
    <t>http://en.wikipedia.org/wiki/2005_United_States_Grand_Prix</t>
  </si>
  <si>
    <t>http://en.wikipedia.org/wiki/2005_French_Grand_Prix</t>
  </si>
  <si>
    <t>http://en.wikipedia.org/wiki/2005_British_Grand_Prix</t>
  </si>
  <si>
    <t>http://en.wikipedia.org/wiki/2005_German_Grand_Prix</t>
  </si>
  <si>
    <t>http://en.wikipedia.org/wiki/2005_Hungarian_Grand_Prix</t>
  </si>
  <si>
    <t>Turkish Grand Prix</t>
  </si>
  <si>
    <t>istanbul</t>
  </si>
  <si>
    <t>Istanbul Park</t>
  </si>
  <si>
    <t>Istanbul</t>
  </si>
  <si>
    <t>Turkey</t>
  </si>
  <si>
    <t>http://en.wikipedia.org/wiki/2005_Turkish_Grand_Prix</t>
  </si>
  <si>
    <t>http://en.wikipedia.org/wiki/2005_Italian_Grand_Prix</t>
  </si>
  <si>
    <t>Belgium Grand Prix</t>
  </si>
  <si>
    <t>http://en.wikipedia.org/wiki/2005_Belgian_Grand_Prix</t>
  </si>
  <si>
    <t>http://en.wikipedia.org/wiki/2005_Brazilian_Grand_Prix</t>
  </si>
  <si>
    <t>http://en.wikipedia.org/wiki/2005_Japanese_Grand_Prix</t>
  </si>
  <si>
    <t>http://en.wikipedia.org/wiki/2005_Chinese_Grand_Prix</t>
  </si>
  <si>
    <t>http://en.wikipedia.org/wiki/2006_Bahrain_Grand_Prix</t>
  </si>
  <si>
    <t>http://en.wikipedia.org/wiki/2006_Malaysian_Grand_Prix</t>
  </si>
  <si>
    <t>http://en.wikipedia.org/wiki/2006_Australian_Grand_Prix</t>
  </si>
  <si>
    <t>http://en.wikipedia.org/wiki/2006_San_Marino_Grand_Prix</t>
  </si>
  <si>
    <t>http://en.wikipedia.org/wiki/2006_European_Grand_Prix</t>
  </si>
  <si>
    <t>http://en.wikipedia.org/wiki/2006_Spanish_Grand_Prix</t>
  </si>
  <si>
    <t>http://en.wikipedia.org/wiki/2006_Monaco_Grand_Prix</t>
  </si>
  <si>
    <t>http://en.wikipedia.org/wiki/2006_British_Grand_Prix</t>
  </si>
  <si>
    <t>http://en.wikipedia.org/wiki/2006_Canadian_Grand_Prix</t>
  </si>
  <si>
    <t>http://en.wikipedia.org/wiki/2006_United_States_Grand_Prix</t>
  </si>
  <si>
    <t>http://en.wikipedia.org/wiki/2006_French_Grand_Prix</t>
  </si>
  <si>
    <t>http://en.wikipedia.org/wiki/2006_German_Grand_Prix</t>
  </si>
  <si>
    <t>http://en.wikipedia.org/wiki/2006_Hungarian_Grand_Prix</t>
  </si>
  <si>
    <t>http://en.wikipedia.org/wiki/2006_Turkish_Grand_Prix</t>
  </si>
  <si>
    <t>http://en.wikipedia.org/wiki/2006_Italian_Grand_Prix</t>
  </si>
  <si>
    <t>http://en.wikipedia.org/wiki/2006_Chinese_Grand_Prix</t>
  </si>
  <si>
    <t>http://en.wikipedia.org/wiki/2006_Japanese_Grand_Prix</t>
  </si>
  <si>
    <t>http://en.wikipedia.org/wiki/2006_Brazilian_Grand_Prix</t>
  </si>
  <si>
    <t>http://en.wikipedia.org/wiki/2007_Australian_Grand_Prix</t>
  </si>
  <si>
    <t>http://en.wikipedia.org/wiki/2007_Malaysian_Grand_Prix</t>
  </si>
  <si>
    <t>http://en.wikipedia.org/wiki/2007_Bahrain_Grand_Prix</t>
  </si>
  <si>
    <t>http://en.wikipedia.org/wiki/2007_Spanish_Grand_Prix</t>
  </si>
  <si>
    <t>http://en.wikipedia.org/wiki/2007_Monaco_Grand_Prix</t>
  </si>
  <si>
    <t>http://en.wikipedia.org/wiki/2007_Canadian_Grand_Prix</t>
  </si>
  <si>
    <t>http://en.wikipedia.org/wiki/2007_United_States_Grand_Prix</t>
  </si>
  <si>
    <t>http://en.wikipedia.org/wiki/2007_French_Grand_Prix</t>
  </si>
  <si>
    <t>http://en.wikipedia.org/wiki/2007_British_Grand_Prix</t>
  </si>
  <si>
    <t>http://en.wikipedia.org/wiki/2007_European_Grand_Prix</t>
  </si>
  <si>
    <t>http://en.wikipedia.org/wiki/2007_Hungarian_Grand_Prix</t>
  </si>
  <si>
    <t>http://en.wikipedia.org/wiki/2007_Turkish_Grand_Prix</t>
  </si>
  <si>
    <t>http://en.wikipedia.org/wiki/2007_Italian_Grand_Prix</t>
  </si>
  <si>
    <t>http://en.wikipedia.org/wiki/2007_Belgian_Grand_Prix</t>
  </si>
  <si>
    <t>http://en.wikipedia.org/wiki/2007_Japanese_Grand_Prix</t>
  </si>
  <si>
    <t>http://en.wikipedia.org/wiki/2007_Chinese_Grand_Prix</t>
  </si>
  <si>
    <t>http://en.wikipedia.org/wiki/2007_Brazilian_Grand_Prix</t>
  </si>
  <si>
    <t>http://en.wikipedia.org/wiki/2008_Australian_Grand_Prix</t>
  </si>
  <si>
    <t>http://en.wikipedia.org/wiki/2008_Malaysian_Grand_Prix</t>
  </si>
  <si>
    <t>http://en.wikipedia.org/wiki/2008_Bahrain_Grand_Prix</t>
  </si>
  <si>
    <t>http://en.wikipedia.org/wiki/2008_Spanish_Grand_Prix</t>
  </si>
  <si>
    <t>http://en.wikipedia.org/wiki/2008_Turkish_Grand_Prix</t>
  </si>
  <si>
    <t>http://en.wikipedia.org/wiki/2008_Monaco_Grand_Prix</t>
  </si>
  <si>
    <t>http://en.wikipedia.org/wiki/2008_Canadian_Grand_Prix</t>
  </si>
  <si>
    <t>http://en.wikipedia.org/wiki/2008_French_Grand_Prix</t>
  </si>
  <si>
    <t>http://en.wikipedia.org/wiki/2008_British_Grand_Prix</t>
  </si>
  <si>
    <t>http://en.wikipedia.org/wiki/2008_German_Grand_Prix</t>
  </si>
  <si>
    <t>http://en.wikipedia.org/wiki/2008_Hungarian_Grand_Prix</t>
  </si>
  <si>
    <t>valencia</t>
  </si>
  <si>
    <t>Valencia Street Circuit</t>
  </si>
  <si>
    <t>Valencia</t>
  </si>
  <si>
    <t>http://en.wikipedia.org/wiki/2008_European_Grand_Prix</t>
  </si>
  <si>
    <t>http://en.wikipedia.org/wiki/2008_Belgian_Grand_Prix</t>
  </si>
  <si>
    <t>http://en.wikipedia.org/wiki/2008_Italian_Grand_Prix</t>
  </si>
  <si>
    <t>Singapore Grand Prix</t>
  </si>
  <si>
    <t>marina_bay</t>
  </si>
  <si>
    <t>Marina Bay Street Circuit</t>
  </si>
  <si>
    <t>Marina Bay</t>
  </si>
  <si>
    <t>Singapore</t>
  </si>
  <si>
    <t>http://en.wikipedia.org/wiki/2008_Singapore_Grand_Prix</t>
  </si>
  <si>
    <t>http://en.wikipedia.org/wiki/2008_Japanese_Grand_Prix</t>
  </si>
  <si>
    <t>http://en.wikipedia.org/wiki/2008_Chinese_Grand_Prix</t>
  </si>
  <si>
    <t>http://en.wikipedia.org/wiki/2008_Brazilian_Grand_Prix</t>
  </si>
  <si>
    <t>http://en.wikipedia.org/wiki/2009_Australian_Grand_Prix</t>
  </si>
  <si>
    <t>http://en.wikipedia.org/wiki/2009_Malaysian_Grand_Prix</t>
  </si>
  <si>
    <t>http://en.wikipedia.org/wiki/2009_Chinese_Grand_Prix</t>
  </si>
  <si>
    <t>http://en.wikipedia.org/wiki/2009_Bahrain_Grand_Prix</t>
  </si>
  <si>
    <t>http://en.wikipedia.org/wiki/2009_Spanish_Grand_Prix</t>
  </si>
  <si>
    <t>http://en.wikipedia.org/wiki/2009_Monaco_Grand_Prix</t>
  </si>
  <si>
    <t>http://en.wikipedia.org/wiki/2009_Turkish_Grand_Prix</t>
  </si>
  <si>
    <t>http://en.wikipedia.org/wiki/2009_British_Grand_Prix</t>
  </si>
  <si>
    <t>http://en.wikipedia.org/wiki/2009_German_Grand_Prix</t>
  </si>
  <si>
    <t>http://en.wikipedia.org/wiki/2009_Hungarian_Grand_Prix</t>
  </si>
  <si>
    <t>http://en.wikipedia.org/wiki/2009_European_Grand_Prix</t>
  </si>
  <si>
    <t>http://en.wikipedia.org/wiki/2009_Belgian_Grand_Prix</t>
  </si>
  <si>
    <t>http://en.wikipedia.org/wiki/2009_Italian_Grand_Prix</t>
  </si>
  <si>
    <t>http://en.wikipedia.org/wiki/2009_Singapore_Grand_Prix</t>
  </si>
  <si>
    <t>http://en.wikipedia.org/wiki/2009_Japanese_Grand_Prix</t>
  </si>
  <si>
    <t>http://en.wikipedia.org/wiki/2009_Brazilian_Grand_Prix</t>
  </si>
  <si>
    <t>Abu Dhabi Grand Prix</t>
  </si>
  <si>
    <t>yas_marina</t>
  </si>
  <si>
    <t>Yas Marina Circuit</t>
  </si>
  <si>
    <t>Abu Dhabi</t>
  </si>
  <si>
    <t>United Arab Emirates</t>
  </si>
  <si>
    <t>http://en.wikipedia.org/wiki/2009_Abu_Dhabi_Grand_Prix</t>
  </si>
  <si>
    <t>Bahrain GP</t>
  </si>
  <si>
    <t>http://en.wikipedia.org/wiki/2010_Bahrain_Grand_Prix</t>
  </si>
  <si>
    <t>Australian GP</t>
  </si>
  <si>
    <t>http://en.wikipedia.org/wiki/2010_Australian_Grand_Prix</t>
  </si>
  <si>
    <t>Malaysian GP</t>
  </si>
  <si>
    <t>http://en.wikipedia.org/wiki/2010_Malaysian_Grand_Prix</t>
  </si>
  <si>
    <t>Chinese GP</t>
  </si>
  <si>
    <t>http://en.wikipedia.org/wiki/2010_Chinese_Grand_Prix</t>
  </si>
  <si>
    <t>Spanish GP</t>
  </si>
  <si>
    <t>http://en.wikipedia.org/wiki/2010_Spanish_Grand_Prix</t>
  </si>
  <si>
    <t>Monaco GP</t>
  </si>
  <si>
    <t>http://en.wikipedia.org/wiki/2010_Monaco_Grand_Prix</t>
  </si>
  <si>
    <t>Turkish GP</t>
  </si>
  <si>
    <t>http://en.wikipedia.org/wiki/2010_Turkish_Grand_Prix</t>
  </si>
  <si>
    <t>Canadian GP</t>
  </si>
  <si>
    <t>http://en.wikipedia.org/wiki/2010_Canadian_Grand_Prix</t>
  </si>
  <si>
    <t>European GP</t>
  </si>
  <si>
    <t>http://en.wikipedia.org/wiki/2010_European_Grand_Prix</t>
  </si>
  <si>
    <t>British GP</t>
  </si>
  <si>
    <t>http://en.wikipedia.org/wiki/2010_British_Grand_Prix</t>
  </si>
  <si>
    <t>German GP</t>
  </si>
  <si>
    <t>http://en.wikipedia.org/wiki/2010_German_Grand_Prix</t>
  </si>
  <si>
    <t>Hungarian GP</t>
  </si>
  <si>
    <t>http://en.wikipedia.org/wiki/2010_Hungarian_Grand_Prix</t>
  </si>
  <si>
    <t>Belgian GP</t>
  </si>
  <si>
    <t>http://en.wikipedia.org/wiki/2010_Belgian_Grand_Prix</t>
  </si>
  <si>
    <t>Italian GP</t>
  </si>
  <si>
    <t>http://en.wikipedia.org/wiki/2010_Italian_Grand_Prix</t>
  </si>
  <si>
    <t>Singapore GP</t>
  </si>
  <si>
    <t>http://en.wikipedia.org/wiki/2010_Singapore_Grand_Prix</t>
  </si>
  <si>
    <t>Japanese GP</t>
  </si>
  <si>
    <t>http://en.wikipedia.org/wiki/2010_Japanese_Grand_Prix</t>
  </si>
  <si>
    <t>Korean GP</t>
  </si>
  <si>
    <t>yeongam</t>
  </si>
  <si>
    <t>Korean International Circuit</t>
  </si>
  <si>
    <t>Yeongam County</t>
  </si>
  <si>
    <t>Korea</t>
  </si>
  <si>
    <t>http://en.wikipedia.org/wiki/2010_Korean_Grand_Prix</t>
  </si>
  <si>
    <t>http://en.wikipedia.org/wiki/2010_Brazilian_Grand_Prix</t>
  </si>
  <si>
    <t>http://en.wikipedia.org/wiki/2010_Abu_Dhabi_Grand_Prix</t>
  </si>
  <si>
    <t>http://en.wikipedia.org/wiki/2011_Australian_Grand_Prix</t>
  </si>
  <si>
    <t>http://en.wikipedia.org/wiki/2011_Malaysian_Grand_Prix</t>
  </si>
  <si>
    <t>http://en.wikipedia.org/wiki/2011_Chinese_Grand_Prix</t>
  </si>
  <si>
    <t>http://en.wikipedia.org/wiki/2011_Turkish_Grand_Prix</t>
  </si>
  <si>
    <t>http://en.wikipedia.org/wiki/2011_Spanish_Grand_Prix</t>
  </si>
  <si>
    <t>http://en.wikipedia.org/wiki/2011_Monaco_Grand_Prix</t>
  </si>
  <si>
    <t>http://en.wikipedia.org/wiki/2011_Canadian_Grand_Prix</t>
  </si>
  <si>
    <t>http://en.wikipedia.org/wiki/2011_European_Grand_Prix</t>
  </si>
  <si>
    <t>http://en.wikipedia.org/wiki/2011_British_Grand_Prix</t>
  </si>
  <si>
    <t>http://en.wikipedia.org/wiki/2011_German_Grand_Prix</t>
  </si>
  <si>
    <t>http://en.wikipedia.org/wiki/2011_Hungarian_Grand_Prix</t>
  </si>
  <si>
    <t>http://en.wikipedia.org/wiki/2011_Belgian_Grand_Prix</t>
  </si>
  <si>
    <t>http://en.wikipedia.org/wiki/2011_Italian_Grand_Prix</t>
  </si>
  <si>
    <t>http://en.wikipedia.org/wiki/2011_Singapore_Grand_Prix</t>
  </si>
  <si>
    <t>http://en.wikipedia.org/wiki/2011_Japanese_Grand_Prix</t>
  </si>
  <si>
    <t>http://en.wikipedia.org/wiki/2011_Korean_Grand_Prix</t>
  </si>
  <si>
    <t>Indian GP</t>
  </si>
  <si>
    <t>buddh</t>
  </si>
  <si>
    <t>Buddh International Circuit</t>
  </si>
  <si>
    <t>Uttar Pradesh</t>
  </si>
  <si>
    <t>http://en.wikipedia.org/wiki/2011_Indian_Grand_Prix</t>
  </si>
  <si>
    <t>Abu Dhabi GP</t>
  </si>
  <si>
    <t>http://en.wikipedia.org/wiki/2011_Abu_Dhabi_Grand_Prix</t>
  </si>
  <si>
    <t>Brazilian GP</t>
  </si>
  <si>
    <t>http://en.wikipedia.org/wiki/2011_Brazilian_Grand_Prix</t>
  </si>
  <si>
    <t>http://en.wikipedia.org/wiki/2012_Australian_Grand_Prix</t>
  </si>
  <si>
    <t>http://en.wikipedia.org/wiki/2012_Malaysian_Grand_Prix</t>
  </si>
  <si>
    <t>http://en.wikipedia.org/wiki/2012_Chinese_Grand_Prix</t>
  </si>
  <si>
    <t>http://en.wikipedia.org/wiki/2012_Bahrain_Grand_Prix</t>
  </si>
  <si>
    <t>http://en.wikipedia.org/wiki/2012_Spanish_Grand_Prix</t>
  </si>
  <si>
    <t>http://en.wikipedia.org/wiki/2012_Monaco_Grand_Prix</t>
  </si>
  <si>
    <t>http://en.wikipedia.org/wiki/2012_Canadian_Grand_Prix</t>
  </si>
  <si>
    <t>http://en.wikipedia.org/wiki/2012_European_Grand_Prix</t>
  </si>
  <si>
    <t>http://en.wikipedia.org/wiki/2012_British_Grand_Prix</t>
  </si>
  <si>
    <t>http://en.wikipedia.org/wiki/2012_German_Grand_Prix</t>
  </si>
  <si>
    <t>http://en.wikipedia.org/wiki/2012_Hungarian_Grand_Prix</t>
  </si>
  <si>
    <t>http://en.wikipedia.org/wiki/2012_Belgian_Grand_Prix</t>
  </si>
  <si>
    <t>http://en.wikipedia.org/wiki/2012_Italian_Grand_Prix</t>
  </si>
  <si>
    <t>http://en.wikipedia.org/wiki/2012_Singapore_Grand_Prix</t>
  </si>
  <si>
    <t>http://en.wikipedia.org/wiki/2012_Japanese_Grand_Prix</t>
  </si>
  <si>
    <t>http://en.wikipedia.org/wiki/2012_Korean_Grand_Prix</t>
  </si>
  <si>
    <t>http://en.wikipedia.org/wiki/2012_Indian_Grand_Prix</t>
  </si>
  <si>
    <t>http://en.wikipedia.org/wiki/2012_Abu_Dhabi_Grand_Prix</t>
  </si>
  <si>
    <t>United States GP</t>
  </si>
  <si>
    <t>americas</t>
  </si>
  <si>
    <t>Circuit of the Americas</t>
  </si>
  <si>
    <t>Austin</t>
  </si>
  <si>
    <t>http://en.wikipedia.org/wiki/2012_United_States_Grand_Prix</t>
  </si>
  <si>
    <t>http://en.wikipedia.org/wiki/2012_Brazilian_Grand_Prix</t>
  </si>
  <si>
    <t>circuitName</t>
  </si>
  <si>
    <t>circuitId</t>
  </si>
  <si>
    <t>f1Circuits</t>
  </si>
  <si>
    <t>circuitID</t>
  </si>
  <si>
    <t>.\vizMapf1.html</t>
  </si>
  <si>
    <t>city</t>
  </si>
  <si>
    <t>spotCount</t>
  </si>
  <si>
    <t>raceName,spotCount</t>
  </si>
  <si>
    <t>Races</t>
  </si>
  <si>
    <t>f1Races</t>
  </si>
  <si>
    <t>f1MapThis</t>
  </si>
  <si>
    <t>&lt;b&gt;British Grand Prix&lt;/b&gt; &lt;br/&gt; Silverstone Circuit&lt;br/&gt;Silverstone&lt;br/&gt;UK</t>
  </si>
  <si>
    <t>&lt;b&gt;Monaco Grand Prix&lt;/b&gt; &lt;br/&gt; Circuit de Monaco&lt;br/&gt;Monte-Carlo&lt;br/&gt;Monaco</t>
  </si>
  <si>
    <t>&lt;b&gt;Indianapolis 500&lt;/b&gt; &lt;br/&gt; Indianapolis Motor Speedway&lt;br/&gt;Indianapolis&lt;br/&gt;USA</t>
  </si>
  <si>
    <t>&lt;b&gt;Swiss Grand Prix&lt;/b&gt; &lt;br/&gt; Circuit Bremgarten&lt;br/&gt;Bern&lt;br/&gt;Switzerland</t>
  </si>
  <si>
    <t>&lt;b&gt;Belgian Grand Prix&lt;/b&gt; &lt;br/&gt; Circuit de Spa-Francorchamps&lt;br/&gt;Spa&lt;br/&gt;Belgium</t>
  </si>
  <si>
    <t>&lt;b&gt;French Grand Prix&lt;/b&gt; &lt;br/&gt; Reims-Gueux&lt;br/&gt;Reims&lt;br/&gt;France</t>
  </si>
  <si>
    <t>&lt;b&gt;Italian Grand Prix&lt;/b&gt; &lt;br/&gt; Autodromo Nazionale di Monza&lt;br/&gt;Monza&lt;br/&gt;Italy</t>
  </si>
  <si>
    <t>&lt;b&gt;German Grand Prix&lt;/b&gt; &lt;br/&gt; Nürburgring&lt;br/&gt;Nürburg&lt;br/&gt;Germany</t>
  </si>
  <si>
    <t>&lt;b&gt;Spanish Grand Prix&lt;/b&gt; &lt;br/&gt; Circuit de Pedralbes&lt;br/&gt;Barcelona&lt;br/&gt;Spain</t>
  </si>
  <si>
    <t>&lt;b&gt;French Grand Prix&lt;/b&gt; &lt;br/&gt; Rouen-Les-Essarts&lt;br/&gt;Rouen&lt;br/&gt;France</t>
  </si>
  <si>
    <t>&lt;b&gt;Dutch Grand Prix&lt;/b&gt; &lt;br/&gt; Circuit Park Zandvoort&lt;br/&gt;Zandvoort&lt;br/&gt;Netherlands</t>
  </si>
  <si>
    <t>&lt;b&gt;Argentine Grand Prix&lt;/b&gt; &lt;br/&gt; Autódromo Juan y Oscar Gálvez&lt;br/&gt;Buenos Aires&lt;br/&gt;Argentina</t>
  </si>
  <si>
    <t>&lt;b&gt;British Grand Prix&lt;/b&gt; &lt;br/&gt; Aintree&lt;br/&gt;Liverpool&lt;br/&gt;UK</t>
  </si>
  <si>
    <t>&lt;b&gt;Pescara Grand Prix&lt;/b&gt; &lt;br/&gt; Pescara Circuit&lt;br/&gt;Pescara&lt;br/&gt;Italy</t>
  </si>
  <si>
    <t>&lt;b&gt;Portuguese Grand Prix&lt;/b&gt; &lt;br/&gt; Circuito da Boavista&lt;br/&gt;Oporto&lt;br/&gt;Portugal</t>
  </si>
  <si>
    <t>&lt;b&gt;Moroccan Grand Prix&lt;/b&gt; &lt;br/&gt; Ain Diab&lt;br/&gt;Casablanca&lt;br/&gt;Morocco</t>
  </si>
  <si>
    <t>&lt;b&gt;German Grand Prix&lt;/b&gt; &lt;br/&gt; AVUS&lt;br/&gt;Berlin&lt;br/&gt;Germany</t>
  </si>
  <si>
    <t>&lt;b&gt;Portuguese Grand Prix&lt;/b&gt; &lt;br/&gt; Monsanto Park Circuit&lt;br/&gt;Lisbon&lt;br/&gt;Portugal</t>
  </si>
  <si>
    <t>&lt;b&gt;United States Grand Prix&lt;/b&gt; &lt;br/&gt; Sebring International Raceway&lt;br/&gt;Florida&lt;br/&gt;USA</t>
  </si>
  <si>
    <t>&lt;b&gt;United States Grand Prix&lt;/b&gt; &lt;br/&gt; Riverside International Raceway&lt;br/&gt;California&lt;br/&gt;USA</t>
  </si>
  <si>
    <t>&lt;b&gt;United States Grand Prix&lt;/b&gt; &lt;br/&gt; Watkins Glen&lt;br/&gt;New York&lt;br/&gt;USA</t>
  </si>
  <si>
    <t>&lt;b&gt;South African Grand Prix&lt;/b&gt; &lt;br/&gt; Prince George Circuit&lt;br/&gt;Eastern Cape Province&lt;br/&gt;South Africa</t>
  </si>
  <si>
    <t>&lt;b&gt;Mexican Grand Prix&lt;/b&gt; &lt;br/&gt; Autódromo Hermanos Rodríguez&lt;br/&gt;Mexico City&lt;br/&gt;Mexico</t>
  </si>
  <si>
    <t>&lt;b&gt;British Grand Prix&lt;/b&gt; &lt;br/&gt; Brands Hatch&lt;br/&gt;Kent&lt;br/&gt;UK</t>
  </si>
  <si>
    <t>&lt;b&gt;Austrian Grand Prix&lt;/b&gt; &lt;br/&gt; Zeltweg&lt;br/&gt;Styria&lt;br/&gt;Austria</t>
  </si>
  <si>
    <t>&lt;b&gt;French Grand Prix&lt;/b&gt; &lt;br/&gt; Charade Circuit&lt;br/&gt;Clermont-Ferrand&lt;br/&gt;France</t>
  </si>
  <si>
    <t>&lt;b&gt;South African Grand Prix&lt;/b&gt; &lt;br/&gt; Kyalami&lt;br/&gt;Midrand&lt;br/&gt;South Africa</t>
  </si>
  <si>
    <t>&lt;b&gt;French Grand Prix&lt;/b&gt; &lt;br/&gt; Le Mans&lt;br/&gt;Le Mans&lt;br/&gt;France</t>
  </si>
  <si>
    <t>&lt;b&gt;Canadian Grand Prix&lt;/b&gt; &lt;br/&gt; Mosport International Raceway&lt;br/&gt;Ontario&lt;br/&gt;Canada</t>
  </si>
  <si>
    <t>&lt;b&gt;Spanish Grand Prix&lt;/b&gt; &lt;br/&gt; Jarama&lt;br/&gt;Madrid&lt;br/&gt;Spain</t>
  </si>
  <si>
    <t>&lt;b&gt;Canadian Grand Prix&lt;/b&gt; &lt;br/&gt; Circuit Mont-Tremblant&lt;br/&gt;Quebec&lt;br/&gt;Canada</t>
  </si>
  <si>
    <t>&lt;b&gt;Spanish Grand Prix&lt;/b&gt; &lt;br/&gt; Montjuïc&lt;br/&gt;Barcelona&lt;br/&gt;Spain</t>
  </si>
  <si>
    <t>&lt;b&gt;German Grand Prix&lt;/b&gt; &lt;br/&gt; Hockenheimring&lt;br/&gt;Hockenheim&lt;br/&gt;Germany</t>
  </si>
  <si>
    <t>&lt;b&gt;Austrian Grand Prix&lt;/b&gt; &lt;br/&gt; A1-Ring&lt;br/&gt;Spielburg&lt;br/&gt;Austria</t>
  </si>
  <si>
    <t>&lt;b&gt;French Grand Prix&lt;/b&gt; &lt;br/&gt; Circuit Paul Ricard&lt;br/&gt;Le Castellet&lt;br/&gt;France</t>
  </si>
  <si>
    <t>&lt;b&gt;Belgian Grand Prix&lt;/b&gt; &lt;br/&gt; Nivelles-Baulers&lt;br/&gt;Brussels&lt;br/&gt;Belgium</t>
  </si>
  <si>
    <t>&lt;b&gt;Brazilian Grand Prix&lt;/b&gt; &lt;br/&gt; Autódromo José Carlos Pace&lt;br/&gt;São Paulo&lt;br/&gt;Brazil</t>
  </si>
  <si>
    <t>&lt;b&gt;Belgian Grand Prix&lt;/b&gt; &lt;br/&gt; Zolder&lt;br/&gt;Heusden-Zolder&lt;br/&gt;Belgium</t>
  </si>
  <si>
    <t>&lt;b&gt;Swedish Grand Prix&lt;/b&gt; &lt;br/&gt; Scandinavian Raceway&lt;br/&gt;Anderstorp&lt;br/&gt;Sweden</t>
  </si>
  <si>
    <t>&lt;b&gt;French Grand Prix&lt;/b&gt; &lt;br/&gt; Dijon-Prenois&lt;br/&gt;Dijon&lt;br/&gt;France</t>
  </si>
  <si>
    <t>&lt;b&gt;United States Grand Prix West&lt;/b&gt; &lt;br/&gt; Long Beach&lt;br/&gt;California&lt;br/&gt;USA</t>
  </si>
  <si>
    <t>&lt;b&gt;Japanese Grand Prix&lt;/b&gt; &lt;br/&gt; Fuji Speedway&lt;br/&gt;Oyama&lt;br/&gt;Japan</t>
  </si>
  <si>
    <t>&lt;b&gt;Brazilian Grand Prix&lt;/b&gt; &lt;br/&gt; Autódromo Internacional Nelson Piquet&lt;br/&gt;Rio de Janeiro&lt;br/&gt;Brazil</t>
  </si>
  <si>
    <t>&lt;b&gt;Canadian Grand Prix&lt;/b&gt; &lt;br/&gt; Circuit Gilles Villeneuve&lt;br/&gt;Montreal&lt;br/&gt;Canada</t>
  </si>
  <si>
    <t>&lt;b&gt;Italian Grand Prix&lt;/b&gt; &lt;br/&gt; Autodromo Enzo e Dino Ferrari&lt;br/&gt;Imola&lt;br/&gt;Italy</t>
  </si>
  <si>
    <t>&lt;b&gt;Caesars Palace Grand Prix&lt;/b&gt; &lt;br/&gt; Las Vegas Street Circuit&lt;br/&gt;Nevada&lt;br/&gt;USA</t>
  </si>
  <si>
    <t>&lt;b&gt;Detroit Grand Prix&lt;/b&gt; &lt;br/&gt; Detroit Street Circuit&lt;br/&gt;Detroit&lt;br/&gt;USA</t>
  </si>
  <si>
    <t>&lt;b&gt;Dallas Grand Prix&lt;/b&gt; &lt;br/&gt; Fair Park&lt;br/&gt;Dallas&lt;br/&gt;USA</t>
  </si>
  <si>
    <t>&lt;b&gt;Portuguese Grand Prix&lt;/b&gt; &lt;br/&gt; Autódromo do Estoril&lt;br/&gt;Estoril&lt;br/&gt;Portugal</t>
  </si>
  <si>
    <t>&lt;b&gt;Australian Grand Prix&lt;/b&gt; &lt;br/&gt; Adelaide Street Circuit&lt;br/&gt;Adelaide&lt;br/&gt;Australia</t>
  </si>
  <si>
    <t>&lt;b&gt;Spanish Grand Prix&lt;/b&gt; &lt;br/&gt; Circuito de Jerez&lt;br/&gt;Jerez de la Frontera&lt;br/&gt;Spain</t>
  </si>
  <si>
    <t>&lt;b&gt;Hungarian Grand Prix&lt;/b&gt; &lt;br/&gt; Hungaroring&lt;br/&gt;Budapest&lt;br/&gt;Hungary</t>
  </si>
  <si>
    <t>&lt;b&gt;Japanese Grand Prix&lt;/b&gt; &lt;br/&gt; Suzuka Circuit&lt;br/&gt;Suzuka&lt;br/&gt;Japan</t>
  </si>
  <si>
    <t>&lt;b&gt;United States Grand Prix&lt;/b&gt; &lt;br/&gt; Phoenix street circuit&lt;br/&gt;Phoenix&lt;br/&gt;USA</t>
  </si>
  <si>
    <t>&lt;b&gt;French Grand Prix&lt;/b&gt; &lt;br/&gt; Circuit de Nevers Magny-Cours&lt;br/&gt;Magny Cours&lt;br/&gt;France</t>
  </si>
  <si>
    <t>&lt;b&gt;Spanish Grand Prix&lt;/b&gt; &lt;br/&gt; Circuit de Catalunya&lt;br/&gt;Montmeló&lt;br/&gt;Spain</t>
  </si>
  <si>
    <t>&lt;b&gt;European Grand Prix&lt;/b&gt; &lt;br/&gt; Donington Park&lt;br/&gt;Castle Donington&lt;br/&gt;UK</t>
  </si>
  <si>
    <t>&lt;b&gt;Pacific Grand Prix&lt;/b&gt; &lt;br/&gt; Okayama International Circuit&lt;br/&gt;Okayama&lt;br/&gt;Japan</t>
  </si>
  <si>
    <t>&lt;b&gt;Australian Grand Prix&lt;/b&gt; &lt;br/&gt; Albert Park Grand Prix Circuit&lt;br/&gt;Melbourne&lt;br/&gt;Australia</t>
  </si>
  <si>
    <t>&lt;b&gt;Malaysian Grand Prix&lt;/b&gt; &lt;br/&gt; Sepang International Circuit&lt;br/&gt;Kuala Lumpur&lt;br/&gt;Malaysia</t>
  </si>
  <si>
    <t>&lt;b&gt;Bahrain Grand Prix&lt;/b&gt; &lt;br/&gt; Bahrain International Circuit&lt;br/&gt;Sakhir&lt;br/&gt;Bahrain</t>
  </si>
  <si>
    <t>&lt;b&gt;Chinese Grand Prix&lt;/b&gt; &lt;br/&gt; Shanghai International Circuit&lt;br/&gt;Shanghai&lt;br/&gt;China</t>
  </si>
  <si>
    <t>&lt;b&gt;Turkish Grand Prix&lt;/b&gt; &lt;br/&gt; Istanbul Park&lt;br/&gt;Istanbul&lt;br/&gt;Turkey</t>
  </si>
  <si>
    <t>&lt;b&gt;European Grand Prix&lt;/b&gt; &lt;br/&gt; Valencia Street Circuit&lt;br/&gt;Valencia&lt;br/&gt;Spain</t>
  </si>
  <si>
    <t>&lt;b&gt;Singapore Grand Prix&lt;/b&gt; &lt;br/&gt; Marina Bay Street Circuit&lt;br/&gt;Marina Bay&lt;br/&gt;Singapore</t>
  </si>
  <si>
    <t>&lt;b&gt;Abu Dhabi Grand Prix&lt;/b&gt; &lt;br/&gt; Yas Marina Circuit&lt;br/&gt;Abu Dhabi&lt;br/&gt;United Arab Emirates</t>
  </si>
  <si>
    <t>&lt;b&gt;Korean GP&lt;/b&gt; &lt;br/&gt; Korean International Circuit&lt;br/&gt;Yeongam County&lt;br/&gt;Korea</t>
  </si>
  <si>
    <t>&lt;b&gt;Indian GP&lt;/b&gt; &lt;br/&gt; Buddh International Circuit&lt;br/&gt;Uttar Pradesh&lt;br/&gt;India</t>
  </si>
  <si>
    <t>&lt;b&gt;United States GP&lt;/b&gt; &lt;br/&gt; Circuit of the Americas&lt;br/&gt;Austin&lt;br/&gt;USA</t>
  </si>
  <si>
    <t>wiki</t>
  </si>
  <si>
    <t>raceDate</t>
  </si>
  <si>
    <t>season,spotCount</t>
  </si>
  <si>
    <t>Season</t>
  </si>
  <si>
    <t>raceName,round,raceDate,wiki</t>
  </si>
  <si>
    <t>raceName,circuitName,city,country,season,round,raceDate</t>
  </si>
  <si>
    <t>Circuit</t>
  </si>
  <si>
    <t>raceName,season,round,raceDate</t>
  </si>
  <si>
    <t>plainUrl</t>
  </si>
  <si>
    <t>&lt;a href='http://en.wikipedia.org/wiki/1950_British_Grand_Prix'&gt;1950_British_Grand_Prix&lt;/a&gt;</t>
  </si>
  <si>
    <t>&lt;a href='http://en.wikipedia.org/wiki/1950_Monaco_Grand_Prix'&gt;1950_Monaco_Grand_Prix&lt;/a&gt;</t>
  </si>
  <si>
    <t>&lt;a href='http://en.wikipedia.org/wiki/1950_Indianapolis_500'&gt;1950_Indianapolis_500&lt;/a&gt;</t>
  </si>
  <si>
    <t>&lt;a href='http://en.wikipedia.org/wiki/1950_Swiss_Grand_Prix'&gt;1950_Swiss_Grand_Prix&lt;/a&gt;</t>
  </si>
  <si>
    <t>&lt;a href='http://en.wikipedia.org/wiki/1950_Belgian_Grand_Prix'&gt;1950_Belgian_Grand_Prix&lt;/a&gt;</t>
  </si>
  <si>
    <t>&lt;a href='http://en.wikipedia.org/wiki/1950_French_Grand_Prix'&gt;1950_French_Grand_Prix&lt;/a&gt;</t>
  </si>
  <si>
    <t>&lt;a href='http://en.wikipedia.org/wiki/1950_Italian_Grand_Prix'&gt;1950_Italian_Grand_Prix&lt;/a&gt;</t>
  </si>
  <si>
    <t>&lt;a href='http://en.wikipedia.org/wiki/1951_Swiss_Grand_Prix'&gt;1951_Swiss_Grand_Prix&lt;/a&gt;</t>
  </si>
  <si>
    <t>&lt;a href='http://en.wikipedia.org/wiki/1951_Indianapolis_500'&gt;1951_Indianapolis_500&lt;/a&gt;</t>
  </si>
  <si>
    <t>&lt;a href='http://en.wikipedia.org/wiki/1951_Belgian_Grand_Prix'&gt;1951_Belgian_Grand_Prix&lt;/a&gt;</t>
  </si>
  <si>
    <t>&lt;a href='http://en.wikipedia.org/wiki/1951_French_Grand_Prix'&gt;1951_French_Grand_Prix&lt;/a&gt;</t>
  </si>
  <si>
    <t>&lt;a href='http://en.wikipedia.org/wiki/1951_British_Grand_Prix'&gt;1951_British_Grand_Prix&lt;/a&gt;</t>
  </si>
  <si>
    <t>&lt;a href='http://en.wikipedia.org/wiki/1951_German_Grand_Prix'&gt;1951_German_Grand_Prix&lt;/a&gt;</t>
  </si>
  <si>
    <t>&lt;a href='http://en.wikipedia.org/wiki/1951_Italian_Grand_Prix'&gt;1951_Italian_Grand_Prix&lt;/a&gt;</t>
  </si>
  <si>
    <t>&lt;a href='http://en.wikipedia.org/wiki/1951_Spanish_Grand_Prix'&gt;1951_Spanish_Grand_Prix&lt;/a&gt;</t>
  </si>
  <si>
    <t>&lt;a href='http://en.wikipedia.org/wiki/1952_Swiss_Grand_Prix'&gt;1952_Swiss_Grand_Prix&lt;/a&gt;</t>
  </si>
  <si>
    <t>&lt;a href='http://en.wikipedia.org/wiki/1952_Indianapolis_500'&gt;1952_Indianapolis_500&lt;/a&gt;</t>
  </si>
  <si>
    <t>&lt;a href='http://en.wikipedia.org/wiki/1952_Belgian_Grand_Prix'&gt;1952_Belgian_Grand_Prix&lt;/a&gt;</t>
  </si>
  <si>
    <t>&lt;a href='http://en.wikipedia.org/wiki/1952_French_Grand_Prix'&gt;1952_French_Grand_Prix&lt;/a&gt;</t>
  </si>
  <si>
    <t>&lt;a href='http://en.wikipedia.org/wiki/1952_British_Grand_Prix'&gt;1952_British_Grand_Prix&lt;/a&gt;</t>
  </si>
  <si>
    <t>&lt;a href='http://en.wikipedia.org/wiki/1952_German_Grand_Prix'&gt;1952_German_Grand_Prix&lt;/a&gt;</t>
  </si>
  <si>
    <t>&lt;a href='http://en.wikipedia.org/wiki/1952_Dutch_Grand_Prix'&gt;1952_Dutch_Grand_Prix&lt;/a&gt;</t>
  </si>
  <si>
    <t>&lt;a href='http://en.wikipedia.org/wiki/1952_Italian_Grand_Prix'&gt;1952_Italian_Grand_Prix&lt;/a&gt;</t>
  </si>
  <si>
    <t>&lt;a href='http://en.wikipedia.org/wiki/1953_Argentine_Grand_Prix'&gt;1953_Argentine_Grand_Prix&lt;/a&gt;</t>
  </si>
  <si>
    <t>&lt;a href='http://en.wikipedia.org/wiki/1953_Indianapolis_500'&gt;1953_Indianapolis_500&lt;/a&gt;</t>
  </si>
  <si>
    <t>&lt;a href='http://en.wikipedia.org/wiki/1953_Dutch_Grand_Prix'&gt;1953_Dutch_Grand_Prix&lt;/a&gt;</t>
  </si>
  <si>
    <t>&lt;a href='http://en.wikipedia.org/wiki/1953_Belgian_Grand_Prix'&gt;1953_Belgian_Grand_Prix&lt;/a&gt;</t>
  </si>
  <si>
    <t>&lt;a href='http://en.wikipedia.org/wiki/1953_French_Grand_Prix'&gt;1953_French_Grand_Prix&lt;/a&gt;</t>
  </si>
  <si>
    <t>&lt;a href='http://en.wikipedia.org/wiki/1953_British_Grand_Prix'&gt;1953_British_Grand_Prix&lt;/a&gt;</t>
  </si>
  <si>
    <t>&lt;a href='http://en.wikipedia.org/wiki/1953_German_Grand_Prix'&gt;1953_German_Grand_Prix&lt;/a&gt;</t>
  </si>
  <si>
    <t>&lt;a href='http://en.wikipedia.org/wiki/1953_Swiss_Grand_Prix'&gt;1953_Swiss_Grand_Prix&lt;/a&gt;</t>
  </si>
  <si>
    <t>&lt;a href='http://en.wikipedia.org/wiki/1953_Italian_Grand_Prix'&gt;1953_Italian_Grand_Prix&lt;/a&gt;</t>
  </si>
  <si>
    <t>&lt;a href='http://en.wikipedia.org/wiki/1954_Argentine_Grand_Prix'&gt;1954_Argentine_Grand_Prix&lt;/a&gt;</t>
  </si>
  <si>
    <t>&lt;a href='http://en.wikipedia.org/wiki/1954_Indianapolis_500'&gt;1954_Indianapolis_500&lt;/a&gt;</t>
  </si>
  <si>
    <t>&lt;a href='http://en.wikipedia.org/wiki/1954_Belgian_Grand_Prix'&gt;1954_Belgian_Grand_Prix&lt;/a&gt;</t>
  </si>
  <si>
    <t>&lt;a href='http://en.wikipedia.org/wiki/1954_French_Grand_Prix'&gt;1954_French_Grand_Prix&lt;/a&gt;</t>
  </si>
  <si>
    <t>&lt;a href='http://en.wikipedia.org/wiki/1954_British_Grand_Prix'&gt;1954_British_Grand_Prix&lt;/a&gt;</t>
  </si>
  <si>
    <t>&lt;a href='http://en.wikipedia.org/wiki/1954_German_Grand_Prix'&gt;1954_German_Grand_Prix&lt;/a&gt;</t>
  </si>
  <si>
    <t>&lt;a href='http://en.wikipedia.org/wiki/1954_Swiss_Grand_Prix'&gt;1954_Swiss_Grand_Prix&lt;/a&gt;</t>
  </si>
  <si>
    <t>&lt;a href='http://en.wikipedia.org/wiki/1954_Italian_Grand_Prix'&gt;1954_Italian_Grand_Prix&lt;/a&gt;</t>
  </si>
  <si>
    <t>&lt;a href='http://en.wikipedia.org/wiki/1954_Spanish_Grand_Prix'&gt;1954_Spanish_Grand_Prix&lt;/a&gt;</t>
  </si>
  <si>
    <t>&lt;a href='http://en.wikipedia.org/wiki/1955_Argentine_Grand_Prix'&gt;1955_Argentine_Grand_Prix&lt;/a&gt;</t>
  </si>
  <si>
    <t>&lt;a href='http://en.wikipedia.org/wiki/1955_Monaco_Grand_Prix'&gt;1955_Monaco_Grand_Prix&lt;/a&gt;</t>
  </si>
  <si>
    <t>&lt;a href='http://en.wikipedia.org/wiki/1955_Indianapolis_500'&gt;1955_Indianapolis_500&lt;/a&gt;</t>
  </si>
  <si>
    <t>&lt;a href='http://en.wikipedia.org/wiki/1955_Belgian_Grand_Prix'&gt;1955_Belgian_Grand_Prix&lt;/a&gt;</t>
  </si>
  <si>
    <t>&lt;a href='http://en.wikipedia.org/wiki/1955_Dutch_Grand_Prix'&gt;1955_Dutch_Grand_Prix&lt;/a&gt;</t>
  </si>
  <si>
    <t>&lt;a href='http://en.wikipedia.org/wiki/1955_British_Grand_Prix'&gt;1955_British_Grand_Prix&lt;/a&gt;</t>
  </si>
  <si>
    <t>&lt;a href='http://en.wikipedia.org/wiki/1955_Italian_Grand_Prix'&gt;1955_Italian_Grand_Prix&lt;/a&gt;</t>
  </si>
  <si>
    <t>&lt;a href='http://en.wikipedia.org/wiki/1956_Argentine_Grand_Prix'&gt;1956_Argentine_Grand_Prix&lt;/a&gt;</t>
  </si>
  <si>
    <t>&lt;a href='http://en.wikipedia.org/wiki/1956_Monaco_Grand_Prix'&gt;1956_Monaco_Grand_Prix&lt;/a&gt;</t>
  </si>
  <si>
    <t>&lt;a href='http://en.wikipedia.org/wiki/1956_Indianapolis_500'&gt;1956_Indianapolis_500&lt;/a&gt;</t>
  </si>
  <si>
    <t>&lt;a href='http://en.wikipedia.org/wiki/1956_Belgian_Grand_Prix'&gt;1956_Belgian_Grand_Prix&lt;/a&gt;</t>
  </si>
  <si>
    <t>&lt;a href='http://en.wikipedia.org/wiki/1956_French_Grand_Prix'&gt;1956_French_Grand_Prix&lt;/a&gt;</t>
  </si>
  <si>
    <t>&lt;a href='http://en.wikipedia.org/wiki/1956_British_Grand_Prix'&gt;1956_British_Grand_Prix&lt;/a&gt;</t>
  </si>
  <si>
    <t>&lt;a href='http://en.wikipedia.org/wiki/1956_German_Grand_Prix'&gt;1956_German_Grand_Prix&lt;/a&gt;</t>
  </si>
  <si>
    <t>&lt;a href='http://en.wikipedia.org/wiki/1956_Italian_Grand_Prix'&gt;1956_Italian_Grand_Prix&lt;/a&gt;</t>
  </si>
  <si>
    <t>&lt;a href='http://en.wikipedia.org/wiki/1957_Argentine_Grand_Prix'&gt;1957_Argentine_Grand_Prix&lt;/a&gt;</t>
  </si>
  <si>
    <t>&lt;a href='http://en.wikipedia.org/wiki/1957_Monaco_Grand_Prix'&gt;1957_Monaco_Grand_Prix&lt;/a&gt;</t>
  </si>
  <si>
    <t>&lt;a href='http://en.wikipedia.org/wiki/1957_Indianapolis_500'&gt;1957_Indianapolis_500&lt;/a&gt;</t>
  </si>
  <si>
    <t>&lt;a href='http://en.wikipedia.org/wiki/1957_French_Grand_Prix'&gt;1957_French_Grand_Prix&lt;/a&gt;</t>
  </si>
  <si>
    <t>&lt;a href='http://en.wikipedia.org/wiki/1957_British_Grand_Prix'&gt;1957_British_Grand_Prix&lt;/a&gt;</t>
  </si>
  <si>
    <t>&lt;a href='http://en.wikipedia.org/wiki/1957_German_Grand_Prix'&gt;1957_German_Grand_Prix&lt;/a&gt;</t>
  </si>
  <si>
    <t>&lt;a href='http://en.wikipedia.org/wiki/1957_Pescara_Grand_Prix'&gt;1957_Pescara_Grand_Prix&lt;/a&gt;</t>
  </si>
  <si>
    <t>&lt;a href='http://en.wikipedia.org/wiki/1957_Italian_Grand_Prix'&gt;1957_Italian_Grand_Prix&lt;/a&gt;</t>
  </si>
  <si>
    <t>&lt;a href='http://en.wikipedia.org/wiki/1958_Argentine_Grand_Prix'&gt;1958_Argentine_Grand_Prix&lt;/a&gt;</t>
  </si>
  <si>
    <t>&lt;a href='http://en.wikipedia.org/wiki/1958_Monaco_Grand_Prix'&gt;1958_Monaco_Grand_Prix&lt;/a&gt;</t>
  </si>
  <si>
    <t>&lt;a href='http://en.wikipedia.org/wiki/1958_Dutch_Grand_Prix'&gt;1958_Dutch_Grand_Prix&lt;/a&gt;</t>
  </si>
  <si>
    <t>&lt;a href='http://en.wikipedia.org/wiki/1958_Indianapolis_500'&gt;1958_Indianapolis_500&lt;/a&gt;</t>
  </si>
  <si>
    <t>&lt;a href='http://en.wikipedia.org/wiki/1958_Belgian_Grand_Prix'&gt;1958_Belgian_Grand_Prix&lt;/a&gt;</t>
  </si>
  <si>
    <t>&lt;a href='http://en.wikipedia.org/wiki/1958_French_Grand_Prix'&gt;1958_French_Grand_Prix&lt;/a&gt;</t>
  </si>
  <si>
    <t>&lt;a href='http://en.wikipedia.org/wiki/1958_British_Grand_Prix'&gt;1958_British_Grand_Prix&lt;/a&gt;</t>
  </si>
  <si>
    <t>&lt;a href='http://en.wikipedia.org/wiki/1958_German_Grand_Prix'&gt;1958_German_Grand_Prix&lt;/a&gt;</t>
  </si>
  <si>
    <t>&lt;a href='http://en.wikipedia.org/wiki/1958_Portuguese_Grand_Prix'&gt;1958_Portuguese_Grand_Prix&lt;/a&gt;</t>
  </si>
  <si>
    <t>&lt;a href='http://en.wikipedia.org/wiki/1958_Italian_Grand_Prix'&gt;1958_Italian_Grand_Prix&lt;/a&gt;</t>
  </si>
  <si>
    <t>&lt;a href='http://en.wikipedia.org/wiki/1958_Moroccan_Grand_Prix'&gt;1958_Moroccan_Grand_Prix&lt;/a&gt;</t>
  </si>
  <si>
    <t>&lt;a href='http://en.wikipedia.org/wiki/1959_Monaco_Grand_Prix'&gt;1959_Monaco_Grand_Prix&lt;/a&gt;</t>
  </si>
  <si>
    <t>&lt;a href='http://en.wikipedia.org/wiki/1959_Indianapolis_500'&gt;1959_Indianapolis_500&lt;/a&gt;</t>
  </si>
  <si>
    <t>&lt;a href='http://en.wikipedia.org/wiki/1959_Dutch_Grand_Prix'&gt;1959_Dutch_Grand_Prix&lt;/a&gt;</t>
  </si>
  <si>
    <t>&lt;a href='http://en.wikipedia.org/wiki/1959_French_Grand_Prix'&gt;1959_French_Grand_Prix&lt;/a&gt;</t>
  </si>
  <si>
    <t>&lt;a href='http://en.wikipedia.org/wiki/1959_British_Grand_Prix'&gt;1959_British_Grand_Prix&lt;/a&gt;</t>
  </si>
  <si>
    <t>&lt;a href='http://en.wikipedia.org/wiki/1959_German_Grand_Prix'&gt;1959_German_Grand_Prix&lt;/a&gt;</t>
  </si>
  <si>
    <t>&lt;a href='http://en.wikipedia.org/wiki/1959_Portuguese_Grand_Prix'&gt;1959_Portuguese_Grand_Prix&lt;/a&gt;</t>
  </si>
  <si>
    <t>&lt;a href='http://en.wikipedia.org/wiki/1959_Italian_Grand_Prix'&gt;1959_Italian_Grand_Prix&lt;/a&gt;</t>
  </si>
  <si>
    <t>&lt;a href='http://en.wikipedia.org/wiki/1959_United_States_Grand_Prix'&gt;1959_United_States_Grand_Prix&lt;/a&gt;</t>
  </si>
  <si>
    <t>&lt;a href='http://en.wikipedia.org/wiki/1960_Argentine_Grand_Prix'&gt;1960_Argentine_Grand_Prix&lt;/a&gt;</t>
  </si>
  <si>
    <t>&lt;a href='http://en.wikipedia.org/wiki/1960_Monaco_Grand_Prix'&gt;1960_Monaco_Grand_Prix&lt;/a&gt;</t>
  </si>
  <si>
    <t>&lt;a href='http://en.wikipedia.org/wiki/1960_Indianapolis_500'&gt;1960_Indianapolis_500&lt;/a&gt;</t>
  </si>
  <si>
    <t>&lt;a href='http://en.wikipedia.org/wiki/1960_Dutch_Grand_Prix'&gt;1960_Dutch_Grand_Prix&lt;/a&gt;</t>
  </si>
  <si>
    <t>&lt;a href='http://en.wikipedia.org/wiki/1960_Belgian_Grand_Prix'&gt;1960_Belgian_Grand_Prix&lt;/a&gt;</t>
  </si>
  <si>
    <t>&lt;a href='http://en.wikipedia.org/wiki/1960_French_Grand_Prix'&gt;1960_French_Grand_Prix&lt;/a&gt;</t>
  </si>
  <si>
    <t>&lt;a href='http://en.wikipedia.org/wiki/1960_British_Grand_Prix'&gt;1960_British_Grand_Prix&lt;/a&gt;</t>
  </si>
  <si>
    <t>&lt;a href='http://en.wikipedia.org/wiki/1960_Portuguese_Grand_Prix'&gt;1960_Portuguese_Grand_Prix&lt;/a&gt;</t>
  </si>
  <si>
    <t>&lt;a href='http://en.wikipedia.org/wiki/1960_Italian_Grand_Prix'&gt;1960_Italian_Grand_Prix&lt;/a&gt;</t>
  </si>
  <si>
    <t>&lt;a href='http://en.wikipedia.org/wiki/1960_United_States_Grand_Prix'&gt;1960_United_States_Grand_Prix&lt;/a&gt;</t>
  </si>
  <si>
    <t>&lt;a href='http://en.wikipedia.org/wiki/1961_Monaco_Grand_Prix'&gt;1961_Monaco_Grand_Prix&lt;/a&gt;</t>
  </si>
  <si>
    <t>&lt;a href='http://en.wikipedia.org/wiki/1961_Dutch_Grand_Prix'&gt;1961_Dutch_Grand_Prix&lt;/a&gt;</t>
  </si>
  <si>
    <t>&lt;a href='http://en.wikipedia.org/wiki/1961_Belgian_Grand_Prix'&gt;1961_Belgian_Grand_Prix&lt;/a&gt;</t>
  </si>
  <si>
    <t>&lt;a href='http://en.wikipedia.org/wiki/1961_French_Grand_Prix'&gt;1961_French_Grand_Prix&lt;/a&gt;</t>
  </si>
  <si>
    <t>&lt;a href='http://en.wikipedia.org/wiki/1961_British_Grand_Prix'&gt;1961_British_Grand_Prix&lt;/a&gt;</t>
  </si>
  <si>
    <t>&lt;a href='http://en.wikipedia.org/wiki/1961_German_Grand_Prix'&gt;1961_German_Grand_Prix&lt;/a&gt;</t>
  </si>
  <si>
    <t>&lt;a href='http://en.wikipedia.org/wiki/1961_Italian_Grand_Prix'&gt;1961_Italian_Grand_Prix&lt;/a&gt;</t>
  </si>
  <si>
    <t>&lt;a href='http://en.wikipedia.org/wiki/1961_United_States_Grand_Prix'&gt;1961_United_States_Grand_Prix&lt;/a&gt;</t>
  </si>
  <si>
    <t>&lt;a href='http://en.wikipedia.org/wiki/1962_Dutch_Grand_Prix'&gt;1962_Dutch_Grand_Prix&lt;/a&gt;</t>
  </si>
  <si>
    <t>&lt;a href='http://en.wikipedia.org/wiki/1962_Monaco_Grand_Prix'&gt;1962_Monaco_Grand_Prix&lt;/a&gt;</t>
  </si>
  <si>
    <t>&lt;a href='http://en.wikipedia.org/wiki/1962_Belgian_Grand_Prix'&gt;1962_Belgian_Grand_Prix&lt;/a&gt;</t>
  </si>
  <si>
    <t>&lt;a href='http://en.wikipedia.org/wiki/1962_French_Grand_Prix'&gt;1962_French_Grand_Prix&lt;/a&gt;</t>
  </si>
  <si>
    <t>&lt;a href='http://en.wikipedia.org/wiki/1962_British_Grand_Prix'&gt;1962_British_Grand_Prix&lt;/a&gt;</t>
  </si>
  <si>
    <t>&lt;a href='http://en.wikipedia.org/wiki/1962_German_Grand_Prix'&gt;1962_German_Grand_Prix&lt;/a&gt;</t>
  </si>
  <si>
    <t>&lt;a href='http://en.wikipedia.org/wiki/1962_Italian_Grand_Prix'&gt;1962_Italian_Grand_Prix&lt;/a&gt;</t>
  </si>
  <si>
    <t>&lt;a href='http://en.wikipedia.org/wiki/1962_United_States_Grand_Prix'&gt;1962_United_States_Grand_Prix&lt;/a&gt;</t>
  </si>
  <si>
    <t>&lt;a href='http://en.wikipedia.org/wiki/1962_South_African_Grand_Prix'&gt;1962_South_African_Grand_Prix&lt;/a&gt;</t>
  </si>
  <si>
    <t>&lt;a href='http://en.wikipedia.org/wiki/1963_Monaco_Grand_Prix'&gt;1963_Monaco_Grand_Prix&lt;/a&gt;</t>
  </si>
  <si>
    <t>&lt;a href='http://en.wikipedia.org/wiki/1963_Belgian_Grand_Prix'&gt;1963_Belgian_Grand_Prix&lt;/a&gt;</t>
  </si>
  <si>
    <t>&lt;a href='http://en.wikipedia.org/wiki/1963_Dutch_Grand_Prix'&gt;1963_Dutch_Grand_Prix&lt;/a&gt;</t>
  </si>
  <si>
    <t>&lt;a href='http://en.wikipedia.org/wiki/1963_French_Grand_Prix'&gt;1963_French_Grand_Prix&lt;/a&gt;</t>
  </si>
  <si>
    <t>&lt;a href='http://en.wikipedia.org/wiki/1963_British_Grand_Prix'&gt;1963_British_Grand_Prix&lt;/a&gt;</t>
  </si>
  <si>
    <t>&lt;a href='http://en.wikipedia.org/wiki/1963_German_Grand_Prix'&gt;1963_German_Grand_Prix&lt;/a&gt;</t>
  </si>
  <si>
    <t>&lt;a href='http://en.wikipedia.org/wiki/1963_Italian_Grand_Prix'&gt;1963_Italian_Grand_Prix&lt;/a&gt;</t>
  </si>
  <si>
    <t>&lt;a href='http://en.wikipedia.org/wiki/1963_United_States_Grand_Prix'&gt;1963_United_States_Grand_Prix&lt;/a&gt;</t>
  </si>
  <si>
    <t>&lt;a href='http://en.wikipedia.org/wiki/1963_Mexican_Grand_Prix'&gt;1963_Mexican_Grand_Prix&lt;/a&gt;</t>
  </si>
  <si>
    <t>&lt;a href='http://en.wikipedia.org/wiki/1963_South_African_Grand_Prix'&gt;1963_South_African_Grand_Prix&lt;/a&gt;</t>
  </si>
  <si>
    <t>&lt;a href='http://en.wikipedia.org/wiki/1964_Monaco_Grand_Prix'&gt;1964_Monaco_Grand_Prix&lt;/a&gt;</t>
  </si>
  <si>
    <t>&lt;a href='http://en.wikipedia.org/wiki/1964_Dutch_Grand_Prix'&gt;1964_Dutch_Grand_Prix&lt;/a&gt;</t>
  </si>
  <si>
    <t>&lt;a href='http://en.wikipedia.org/wiki/1964_Belgian_Grand_Prix'&gt;1964_Belgian_Grand_Prix&lt;/a&gt;</t>
  </si>
  <si>
    <t>&lt;a href='http://en.wikipedia.org/wiki/1964_French_Grand_Prix'&gt;1964_French_Grand_Prix&lt;/a&gt;</t>
  </si>
  <si>
    <t>&lt;a href='http://en.wikipedia.org/wiki/1964_British_Grand_Prix'&gt;1964_British_Grand_Prix&lt;/a&gt;</t>
  </si>
  <si>
    <t>&lt;a href='http://en.wikipedia.org/wiki/1964_German_Grand_Prix'&gt;1964_German_Grand_Prix&lt;/a&gt;</t>
  </si>
  <si>
    <t>&lt;a href='http://en.wikipedia.org/wiki/1964_Austrian_Grand_Prix'&gt;1964_Austrian_Grand_Prix&lt;/a&gt;</t>
  </si>
  <si>
    <t>&lt;a href='http://en.wikipedia.org/wiki/1964_Italian_Grand_Prix'&gt;1964_Italian_Grand_Prix&lt;/a&gt;</t>
  </si>
  <si>
    <t>&lt;a href='http://en.wikipedia.org/wiki/1964_United_States_Grand_Prix'&gt;1964_United_States_Grand_Prix&lt;/a&gt;</t>
  </si>
  <si>
    <t>&lt;a href='http://en.wikipedia.org/wiki/1964_Mexican_Grand_Prix'&gt;1964_Mexican_Grand_Prix&lt;/a&gt;</t>
  </si>
  <si>
    <t>&lt;a href='http://en.wikipedia.org/wiki/1965_South_African_Grand_Prix'&gt;1965_South_African_Grand_Prix&lt;/a&gt;</t>
  </si>
  <si>
    <t>&lt;a href='http://en.wikipedia.org/wiki/1965_Monaco_Grand_Prix'&gt;1965_Monaco_Grand_Prix&lt;/a&gt;</t>
  </si>
  <si>
    <t>&lt;a href='http://en.wikipedia.org/wiki/1965_Belgian_Grand_Prix'&gt;1965_Belgian_Grand_Prix&lt;/a&gt;</t>
  </si>
  <si>
    <t>&lt;a href='http://en.wikipedia.org/wiki/1965_French_Grand_Prix'&gt;1965_French_Grand_Prix&lt;/a&gt;</t>
  </si>
  <si>
    <t>&lt;a href='http://en.wikipedia.org/wiki/1965_British_Grand_Prix'&gt;1965_British_Grand_Prix&lt;/a&gt;</t>
  </si>
  <si>
    <t>&lt;a href='http://en.wikipedia.org/wiki/1965_Dutch_Grand_Prix'&gt;1965_Dutch_Grand_Prix&lt;/a&gt;</t>
  </si>
  <si>
    <t>&lt;a href='http://en.wikipedia.org/wiki/1965_German_Grand_Prix'&gt;1965_German_Grand_Prix&lt;/a&gt;</t>
  </si>
  <si>
    <t>&lt;a href='http://en.wikipedia.org/wiki/1965_Italian_Grand_Prix'&gt;1965_Italian_Grand_Prix&lt;/a&gt;</t>
  </si>
  <si>
    <t>&lt;a href='http://en.wikipedia.org/wiki/1965_United_States_Grand_Prix'&gt;1965_United_States_Grand_Prix&lt;/a&gt;</t>
  </si>
  <si>
    <t>&lt;a href='http://en.wikipedia.org/wiki/1965_Mexican_Grand_Prix'&gt;1965_Mexican_Grand_Prix&lt;/a&gt;</t>
  </si>
  <si>
    <t>&lt;a href='http://en.wikipedia.org/wiki/1966_Monaco_Grand_Prix'&gt;1966_Monaco_Grand_Prix&lt;/a&gt;</t>
  </si>
  <si>
    <t>&lt;a href='http://en.wikipedia.org/wiki/1966_Belgian_Grand_Prix'&gt;1966_Belgian_Grand_Prix&lt;/a&gt;</t>
  </si>
  <si>
    <t>&lt;a href='http://en.wikipedia.org/wiki/1966_French_Grand_Prix'&gt;1966_French_Grand_Prix&lt;/a&gt;</t>
  </si>
  <si>
    <t>&lt;a href='http://en.wikipedia.org/wiki/1966_British_Grand_Prix'&gt;1966_British_Grand_Prix&lt;/a&gt;</t>
  </si>
  <si>
    <t>&lt;a href='http://en.wikipedia.org/wiki/1966_Dutch_Grand_Prix'&gt;1966_Dutch_Grand_Prix&lt;/a&gt;</t>
  </si>
  <si>
    <t>&lt;a href='http://en.wikipedia.org/wiki/1966_German_Grand_Prix'&gt;1966_German_Grand_Prix&lt;/a&gt;</t>
  </si>
  <si>
    <t>&lt;a href='http://en.wikipedia.org/wiki/1966_Italian_Grand_Prix'&gt;1966_Italian_Grand_Prix&lt;/a&gt;</t>
  </si>
  <si>
    <t>&lt;a href='http://en.wikipedia.org/wiki/1966_United_States_Grand_Prix'&gt;1966_United_States_Grand_Prix&lt;/a&gt;</t>
  </si>
  <si>
    <t>&lt;a href='http://en.wikipedia.org/wiki/1966_Mexican_Grand_Prix'&gt;1966_Mexican_Grand_Prix&lt;/a&gt;</t>
  </si>
  <si>
    <t>&lt;a href='http://en.wikipedia.org/wiki/1967_South_African_Grand_Prix'&gt;1967_South_African_Grand_Prix&lt;/a&gt;</t>
  </si>
  <si>
    <t>&lt;a href='http://en.wikipedia.org/wiki/1967_Monaco_Grand_Prix'&gt;1967_Monaco_Grand_Prix&lt;/a&gt;</t>
  </si>
  <si>
    <t>&lt;a href='http://en.wikipedia.org/wiki/1967_Dutch_Grand_Prix'&gt;1967_Dutch_Grand_Prix&lt;/a&gt;</t>
  </si>
  <si>
    <t>&lt;a href='http://en.wikipedia.org/wiki/1967_Belgian_Grand_Prix'&gt;1967_Belgian_Grand_Prix&lt;/a&gt;</t>
  </si>
  <si>
    <t>&lt;a href='http://en.wikipedia.org/wiki/1967_French_Grand_Prix'&gt;1967_French_Grand_Prix&lt;/a&gt;</t>
  </si>
  <si>
    <t>&lt;a href='http://en.wikipedia.org/wiki/1967_British_Grand_Prix'&gt;1967_British_Grand_Prix&lt;/a&gt;</t>
  </si>
  <si>
    <t>&lt;a href='http://en.wikipedia.org/wiki/1967_German_Grand_Prix'&gt;1967_German_Grand_Prix&lt;/a&gt;</t>
  </si>
  <si>
    <t>&lt;a href='http://en.wikipedia.org/wiki/1967_Canadian_Grand_Prix'&gt;1967_Canadian_Grand_Prix&lt;/a&gt;</t>
  </si>
  <si>
    <t>&lt;a href='http://en.wikipedia.org/wiki/1967_Italian_Grand_Prix'&gt;1967_Italian_Grand_Prix&lt;/a&gt;</t>
  </si>
  <si>
    <t>&lt;a href='http://en.wikipedia.org/wiki/1967_United_States_Grand_Prix'&gt;1967_United_States_Grand_Prix&lt;/a&gt;</t>
  </si>
  <si>
    <t>&lt;a href='http://en.wikipedia.org/wiki/1967_Mexican_Grand_Prix'&gt;1967_Mexican_Grand_Prix&lt;/a&gt;</t>
  </si>
  <si>
    <t>&lt;a href='http://en.wikipedia.org/wiki/1968_South_African_Grand_Prix'&gt;1968_South_African_Grand_Prix&lt;/a&gt;</t>
  </si>
  <si>
    <t>&lt;a href='http://en.wikipedia.org/wiki/1968_Spanish_Grand_Prix'&gt;1968_Spanish_Grand_Prix&lt;/a&gt;</t>
  </si>
  <si>
    <t>&lt;a href='http://en.wikipedia.org/wiki/1968_Monaco_Grand_Prix'&gt;1968_Monaco_Grand_Prix&lt;/a&gt;</t>
  </si>
  <si>
    <t>&lt;a href='http://en.wikipedia.org/wiki/1968_Belgian_Grand_Prix'&gt;1968_Belgian_Grand_Prix&lt;/a&gt;</t>
  </si>
  <si>
    <t>&lt;a href='http://en.wikipedia.org/wiki/1968_Dutch_Grand_Prix'&gt;1968_Dutch_Grand_Prix&lt;/a&gt;</t>
  </si>
  <si>
    <t>&lt;a href='http://en.wikipedia.org/wiki/1968_French_Grand_Prix'&gt;1968_French_Grand_Prix&lt;/a&gt;</t>
  </si>
  <si>
    <t>&lt;a href='http://en.wikipedia.org/wiki/1968_British_Grand_Prix'&gt;1968_British_Grand_Prix&lt;/a&gt;</t>
  </si>
  <si>
    <t>&lt;a href='http://en.wikipedia.org/wiki/1968_German_Grand_Prix'&gt;1968_German_Grand_Prix&lt;/a&gt;</t>
  </si>
  <si>
    <t>&lt;a href='http://en.wikipedia.org/wiki/1968_Italian_Grand_Prix'&gt;1968_Italian_Grand_Prix&lt;/a&gt;</t>
  </si>
  <si>
    <t>&lt;a href='http://en.wikipedia.org/wiki/1968_Canadian_Grand_Prix'&gt;1968_Canadian_Grand_Prix&lt;/a&gt;</t>
  </si>
  <si>
    <t>&lt;a href='http://en.wikipedia.org/wiki/1968_United_States_Grand_Prix'&gt;1968_United_States_Grand_Prix&lt;/a&gt;</t>
  </si>
  <si>
    <t>&lt;a href='http://en.wikipedia.org/wiki/1968_Mexican_Grand_Prix'&gt;1968_Mexican_Grand_Prix&lt;/a&gt;</t>
  </si>
  <si>
    <t>&lt;a href='http://en.wikipedia.org/wiki/1969_South_African_Grand_Prix'&gt;1969_South_African_Grand_Prix&lt;/a&gt;</t>
  </si>
  <si>
    <t>&lt;a href='http://en.wikipedia.org/wiki/1969_Spanish_Grand_Prix'&gt;1969_Spanish_Grand_Prix&lt;/a&gt;</t>
  </si>
  <si>
    <t>&lt;a href='http://en.wikipedia.org/wiki/1969_Monaco_Grand_Prix'&gt;1969_Monaco_Grand_Prix&lt;/a&gt;</t>
  </si>
  <si>
    <t>&lt;a href='http://en.wikipedia.org/wiki/1969_Dutch_Grand_Prix'&gt;1969_Dutch_Grand_Prix&lt;/a&gt;</t>
  </si>
  <si>
    <t>&lt;a href='http://en.wikipedia.org/wiki/1969_French_Grand_Prix'&gt;1969_French_Grand_Prix&lt;/a&gt;</t>
  </si>
  <si>
    <t>&lt;a href='http://en.wikipedia.org/wiki/1969_British_Grand_Prix'&gt;1969_British_Grand_Prix&lt;/a&gt;</t>
  </si>
  <si>
    <t>&lt;a href='http://en.wikipedia.org/wiki/1969_German_Grand_Prix'&gt;1969_German_Grand_Prix&lt;/a&gt;</t>
  </si>
  <si>
    <t>&lt;a href='http://en.wikipedia.org/wiki/1969_Italian_Grand_Prix'&gt;1969_Italian_Grand_Prix&lt;/a&gt;</t>
  </si>
  <si>
    <t>&lt;a href='http://en.wikipedia.org/wiki/1969_Canadian_Grand_Prix'&gt;1969_Canadian_Grand_Prix&lt;/a&gt;</t>
  </si>
  <si>
    <t>&lt;a href='http://en.wikipedia.org/wiki/1969_United_States_Grand_Prix'&gt;1969_United_States_Grand_Prix&lt;/a&gt;</t>
  </si>
  <si>
    <t>&lt;a href='http://en.wikipedia.org/wiki/1969_Mexican_Grand_Prix'&gt;1969_Mexican_Grand_Prix&lt;/a&gt;</t>
  </si>
  <si>
    <t>&lt;a href='http://en.wikipedia.org/wiki/1970_South_African_Grand_Prix'&gt;1970_South_African_Grand_Prix&lt;/a&gt;</t>
  </si>
  <si>
    <t>&lt;a href='http://en.wikipedia.org/wiki/1970_Spanish_Grand_Prix'&gt;1970_Spanish_Grand_Prix&lt;/a&gt;</t>
  </si>
  <si>
    <t>&lt;a href='http://en.wikipedia.org/wiki/1970_Monaco_Grand_Prix'&gt;1970_Monaco_Grand_Prix&lt;/a&gt;</t>
  </si>
  <si>
    <t>&lt;a href='http://en.wikipedia.org/wiki/1970_Belgian_Grand_Prix'&gt;1970_Belgian_Grand_Prix&lt;/a&gt;</t>
  </si>
  <si>
    <t>&lt;a href='http://en.wikipedia.org/wiki/1970_Dutch_Grand_Prix'&gt;1970_Dutch_Grand_Prix&lt;/a&gt;</t>
  </si>
  <si>
    <t>&lt;a href='http://en.wikipedia.org/wiki/1970_French_Grand_Prix'&gt;1970_French_Grand_Prix&lt;/a&gt;</t>
  </si>
  <si>
    <t>&lt;a href='http://en.wikipedia.org/wiki/1970_British_Grand_Prix'&gt;1970_British_Grand_Prix&lt;/a&gt;</t>
  </si>
  <si>
    <t>&lt;a href='http://en.wikipedia.org/wiki/1970_German_Grand_Prix'&gt;1970_German_Grand_Prix&lt;/a&gt;</t>
  </si>
  <si>
    <t>&lt;a href='http://en.wikipedia.org/wiki/1970_Austrian_Grand_Prix'&gt;1970_Austrian_Grand_Prix&lt;/a&gt;</t>
  </si>
  <si>
    <t>&lt;a href='http://en.wikipedia.org/wiki/1970_Italian_Grand_Prix'&gt;1970_Italian_Grand_Prix&lt;/a&gt;</t>
  </si>
  <si>
    <t>&lt;a href='http://en.wikipedia.org/wiki/1970_Canadian_Grand_Prix'&gt;1970_Canadian_Grand_Prix&lt;/a&gt;</t>
  </si>
  <si>
    <t>&lt;a href='http://en.wikipedia.org/wiki/1970_United_States_Grand_Prix'&gt;1970_United_States_Grand_Prix&lt;/a&gt;</t>
  </si>
  <si>
    <t>&lt;a href='http://en.wikipedia.org/wiki/1970_Mexican_Grand_Prix'&gt;1970_Mexican_Grand_Prix&lt;/a&gt;</t>
  </si>
  <si>
    <t>&lt;a href='http://en.wikipedia.org/wiki/1971_South_African_Grand_Prix'&gt;1971_South_African_Grand_Prix&lt;/a&gt;</t>
  </si>
  <si>
    <t>&lt;a href='http://en.wikipedia.org/wiki/1971_Spanish_Grand_Prix'&gt;1971_Spanish_Grand_Prix&lt;/a&gt;</t>
  </si>
  <si>
    <t>&lt;a href='http://en.wikipedia.org/wiki/1971_Monaco_Grand_Prix'&gt;1971_Monaco_Grand_Prix&lt;/a&gt;</t>
  </si>
  <si>
    <t>&lt;a href='http://en.wikipedia.org/wiki/1971_Dutch_Grand_Prix'&gt;1971_Dutch_Grand_Prix&lt;/a&gt;</t>
  </si>
  <si>
    <t>&lt;a href='http://en.wikipedia.org/wiki/1971_French_Grand_Prix'&gt;1971_French_Grand_Prix&lt;/a&gt;</t>
  </si>
  <si>
    <t>&lt;a href='http://en.wikipedia.org/wiki/1971_British_Grand_Prix'&gt;1971_British_Grand_Prix&lt;/a&gt;</t>
  </si>
  <si>
    <t>&lt;a href='http://en.wikipedia.org/wiki/1971_German_Grand_Prix'&gt;1971_German_Grand_Prix&lt;/a&gt;</t>
  </si>
  <si>
    <t>&lt;a href='http://en.wikipedia.org/wiki/1971_Austrian_Grand_Prix'&gt;1971_Austrian_Grand_Prix&lt;/a&gt;</t>
  </si>
  <si>
    <t>&lt;a href='http://en.wikipedia.org/wiki/1971_Italian_Grand_Prix'&gt;1971_Italian_Grand_Prix&lt;/a&gt;</t>
  </si>
  <si>
    <t>&lt;a href='http://en.wikipedia.org/wiki/1971_Canadian_Grand_Prix'&gt;1971_Canadian_Grand_Prix&lt;/a&gt;</t>
  </si>
  <si>
    <t>&lt;a href='http://en.wikipedia.org/wiki/1971_United_States_Grand_Prix'&gt;1971_United_States_Grand_Prix&lt;/a&gt;</t>
  </si>
  <si>
    <t>&lt;a href='http://en.wikipedia.org/wiki/1972_Argentine_Grand_Prix'&gt;1972_Argentine_Grand_Prix&lt;/a&gt;</t>
  </si>
  <si>
    <t>&lt;a href='http://en.wikipedia.org/wiki/1972_South_African_Grand_Prix'&gt;1972_South_African_Grand_Prix&lt;/a&gt;</t>
  </si>
  <si>
    <t>&lt;a href='http://en.wikipedia.org/wiki/1972_Spanish_Grand_Prix'&gt;1972_Spanish_Grand_Prix&lt;/a&gt;</t>
  </si>
  <si>
    <t>&lt;a href='http://en.wikipedia.org/wiki/1972_Monaco_Grand_Prix'&gt;1972_Monaco_Grand_Prix&lt;/a&gt;</t>
  </si>
  <si>
    <t>&lt;a href='http://en.wikipedia.org/wiki/1972_Belgian_Grand_Prix'&gt;1972_Belgian_Grand_Prix&lt;/a&gt;</t>
  </si>
  <si>
    <t>&lt;a href='http://en.wikipedia.org/wiki/1972_French_Grand_Prix'&gt;1972_French_Grand_Prix&lt;/a&gt;</t>
  </si>
  <si>
    <t>&lt;a href='http://en.wikipedia.org/wiki/1972_British_Grand_Prix'&gt;1972_British_Grand_Prix&lt;/a&gt;</t>
  </si>
  <si>
    <t>&lt;a href='http://en.wikipedia.org/wiki/1972_German_Grand_Prix'&gt;1972_German_Grand_Prix&lt;/a&gt;</t>
  </si>
  <si>
    <t>&lt;a href='http://en.wikipedia.org/wiki/1972_Austrian_Grand_Prix'&gt;1972_Austrian_Grand_Prix&lt;/a&gt;</t>
  </si>
  <si>
    <t>&lt;a href='http://en.wikipedia.org/wiki/1972_Italian_Grand_Prix'&gt;1972_Italian_Grand_Prix&lt;/a&gt;</t>
  </si>
  <si>
    <t>&lt;a href='http://en.wikipedia.org/wiki/1972_Canadian_Grand_Prix'&gt;1972_Canadian_Grand_Prix&lt;/a&gt;</t>
  </si>
  <si>
    <t>&lt;a href='http://en.wikipedia.org/wiki/1972_United_States_Grand_Prix'&gt;1972_United_States_Grand_Prix&lt;/a&gt;</t>
  </si>
  <si>
    <t>&lt;a href='http://en.wikipedia.org/wiki/1973_Argentine_Grand_Prix'&gt;1973_Argentine_Grand_Prix&lt;/a&gt;</t>
  </si>
  <si>
    <t>&lt;a href='http://en.wikipedia.org/wiki/1973_Brazilian_Grand_Prix'&gt;1973_Brazilian_Grand_Prix&lt;/a&gt;</t>
  </si>
  <si>
    <t>&lt;a href='http://en.wikipedia.org/wiki/1973_South_African_Grand_Prix'&gt;1973_South_African_Grand_Prix&lt;/a&gt;</t>
  </si>
  <si>
    <t>&lt;a href='http://en.wikipedia.org/wiki/1973_Spanish_Grand_Prix'&gt;1973_Spanish_Grand_Prix&lt;/a&gt;</t>
  </si>
  <si>
    <t>&lt;a href='http://en.wikipedia.org/wiki/1973_Belgian_Grand_Prix'&gt;1973_Belgian_Grand_Prix&lt;/a&gt;</t>
  </si>
  <si>
    <t>&lt;a href='http://en.wikipedia.org/wiki/1973_Monaco_Grand_Prix'&gt;1973_Monaco_Grand_Prix&lt;/a&gt;</t>
  </si>
  <si>
    <t>&lt;a href='http://en.wikipedia.org/wiki/1973_Swedish_Grand_Prix'&gt;1973_Swedish_Grand_Prix&lt;/a&gt;</t>
  </si>
  <si>
    <t>&lt;a href='http://en.wikipedia.org/wiki/1973_French_Grand_Prix'&gt;1973_French_Grand_Prix&lt;/a&gt;</t>
  </si>
  <si>
    <t>&lt;a href='http://en.wikipedia.org/wiki/1973_British_Grand_Prix'&gt;1973_British_Grand_Prix&lt;/a&gt;</t>
  </si>
  <si>
    <t>&lt;a href='http://en.wikipedia.org/wiki/1973_Dutch_Grand_Prix'&gt;1973_Dutch_Grand_Prix&lt;/a&gt;</t>
  </si>
  <si>
    <t>&lt;a href='http://en.wikipedia.org/wiki/1973_German_Grand_Prix'&gt;1973_German_Grand_Prix&lt;/a&gt;</t>
  </si>
  <si>
    <t>&lt;a href='http://en.wikipedia.org/wiki/1973_Austrian_Grand_Prix'&gt;1973_Austrian_Grand_Prix&lt;/a&gt;</t>
  </si>
  <si>
    <t>&lt;a href='http://en.wikipedia.org/wiki/1973_Italian_Grand_Prix'&gt;1973_Italian_Grand_Prix&lt;/a&gt;</t>
  </si>
  <si>
    <t>&lt;a href='http://en.wikipedia.org/wiki/1973_Canadian_Grand_Prix'&gt;1973_Canadian_Grand_Prix&lt;/a&gt;</t>
  </si>
  <si>
    <t>&lt;a href='http://en.wikipedia.org/wiki/1973_United_States_Grand_Prix'&gt;1973_United_States_Grand_Prix&lt;/a&gt;</t>
  </si>
  <si>
    <t>&lt;a href='http://en.wikipedia.org/wiki/1974_Argentine_Grand_Prix'&gt;1974_Argentine_Grand_Prix&lt;/a&gt;</t>
  </si>
  <si>
    <t>&lt;a href='http://en.wikipedia.org/wiki/1974_Brazilian_Grand_Prix'&gt;1974_Brazilian_Grand_Prix&lt;/a&gt;</t>
  </si>
  <si>
    <t>&lt;a href='http://en.wikipedia.org/wiki/1974_South_African_Grand_Prix'&gt;1974_South_African_Grand_Prix&lt;/a&gt;</t>
  </si>
  <si>
    <t>&lt;a href='http://en.wikipedia.org/wiki/1974_Spanish_Grand_Prix'&gt;1974_Spanish_Grand_Prix&lt;/a&gt;</t>
  </si>
  <si>
    <t>&lt;a href='http://en.wikipedia.org/wiki/1974_Belgian_Grand_Prix'&gt;1974_Belgian_Grand_Prix&lt;/a&gt;</t>
  </si>
  <si>
    <t>&lt;a href='http://en.wikipedia.org/wiki/1974_Monaco_Grand_Prix'&gt;1974_Monaco_Grand_Prix&lt;/a&gt;</t>
  </si>
  <si>
    <t>&lt;a href='http://en.wikipedia.org/wiki/1974_Swedish_Grand_Prix'&gt;1974_Swedish_Grand_Prix&lt;/a&gt;</t>
  </si>
  <si>
    <t>&lt;a href='http://en.wikipedia.org/wiki/1974_Dutch_Grand_Prix'&gt;1974_Dutch_Grand_Prix&lt;/a&gt;</t>
  </si>
  <si>
    <t>&lt;a href='http://en.wikipedia.org/wiki/1974_French_Grand_Prix'&gt;1974_French_Grand_Prix&lt;/a&gt;</t>
  </si>
  <si>
    <t>&lt;a href='http://en.wikipedia.org/wiki/1974_British_Grand_Prix'&gt;1974_British_Grand_Prix&lt;/a&gt;</t>
  </si>
  <si>
    <t>&lt;a href='http://en.wikipedia.org/wiki/1974_German_Grand_Prix'&gt;1974_German_Grand_Prix&lt;/a&gt;</t>
  </si>
  <si>
    <t>&lt;a href='http://en.wikipedia.org/wiki/1974_Austrian_Grand_Prix'&gt;1974_Austrian_Grand_Prix&lt;/a&gt;</t>
  </si>
  <si>
    <t>&lt;a href='http://en.wikipedia.org/wiki/1974_Italian_Grand_Prix'&gt;1974_Italian_Grand_Prix&lt;/a&gt;</t>
  </si>
  <si>
    <t>&lt;a href='http://en.wikipedia.org/wiki/1974_Canadian_Grand_Prix'&gt;1974_Canadian_Grand_Prix&lt;/a&gt;</t>
  </si>
  <si>
    <t>&lt;a href='http://en.wikipedia.org/wiki/1974_United_States_Grand_Prix'&gt;1974_United_States_Grand_Prix&lt;/a&gt;</t>
  </si>
  <si>
    <t>&lt;a href='http://en.wikipedia.org/wiki/1975_Argentine_Grand_Prix'&gt;1975_Argentine_Grand_Prix&lt;/a&gt;</t>
  </si>
  <si>
    <t>&lt;a href='http://en.wikipedia.org/wiki/1975_Brazilian_Grand_Prix'&gt;1975_Brazilian_Grand_Prix&lt;/a&gt;</t>
  </si>
  <si>
    <t>&lt;a href='http://en.wikipedia.org/wiki/1975_South_African_Grand_Prix'&gt;1975_South_African_Grand_Prix&lt;/a&gt;</t>
  </si>
  <si>
    <t>&lt;a href='http://en.wikipedia.org/wiki/1975_Spanish_Grand_Prix'&gt;1975_Spanish_Grand_Prix&lt;/a&gt;</t>
  </si>
  <si>
    <t>&lt;a href='http://en.wikipedia.org/wiki/1975_Monaco_Grand_Prix'&gt;1975_Monaco_Grand_Prix&lt;/a&gt;</t>
  </si>
  <si>
    <t>&lt;a href='http://en.wikipedia.org/wiki/1975_Belgian_Grand_Prix'&gt;1975_Belgian_Grand_Prix&lt;/a&gt;</t>
  </si>
  <si>
    <t>&lt;a href='http://en.wikipedia.org/wiki/1975_Swedish_Grand_Prix'&gt;1975_Swedish_Grand_Prix&lt;/a&gt;</t>
  </si>
  <si>
    <t>&lt;a href='http://en.wikipedia.org/wiki/1975_Dutch_Grand_Prix'&gt;1975_Dutch_Grand_Prix&lt;/a&gt;</t>
  </si>
  <si>
    <t>&lt;a href='http://en.wikipedia.org/wiki/1975_French_Grand_Prix'&gt;1975_French_Grand_Prix&lt;/a&gt;</t>
  </si>
  <si>
    <t>&lt;a href='http://en.wikipedia.org/wiki/1975_British_Grand_Prix'&gt;1975_British_Grand_Prix&lt;/a&gt;</t>
  </si>
  <si>
    <t>&lt;a href='http://en.wikipedia.org/wiki/1975_German_Grand_Prix'&gt;1975_German_Grand_Prix&lt;/a&gt;</t>
  </si>
  <si>
    <t>&lt;a href='http://en.wikipedia.org/wiki/1975_Austrian_Grand_Prix'&gt;1975_Austrian_Grand_Prix&lt;/a&gt;</t>
  </si>
  <si>
    <t>&lt;a href='http://en.wikipedia.org/wiki/1975_Italian_Grand_Prix'&gt;1975_Italian_Grand_Prix&lt;/a&gt;</t>
  </si>
  <si>
    <t>&lt;a href='http://en.wikipedia.org/wiki/1975_United_States_Grand_Prix'&gt;1975_United_States_Grand_Prix&lt;/a&gt;</t>
  </si>
  <si>
    <t>&lt;a href='http://en.wikipedia.org/wiki/1976_Brazilian_Grand_Prix'&gt;1976_Brazilian_Grand_Prix&lt;/a&gt;</t>
  </si>
  <si>
    <t>&lt;a href='http://en.wikipedia.org/wiki/1976_South_African_Grand_Prix'&gt;1976_South_African_Grand_Prix&lt;/a&gt;</t>
  </si>
  <si>
    <t>&lt;a href='http://en.wikipedia.org/wiki/1976_United_States_Grand_Prix_West'&gt;1976_United_States_Grand_Prix_West&lt;/a&gt;</t>
  </si>
  <si>
    <t>&lt;a href='http://en.wikipedia.org/wiki/1976_Spanish_Grand_Prix'&gt;1976_Spanish_Grand_Prix&lt;/a&gt;</t>
  </si>
  <si>
    <t>&lt;a href='http://en.wikipedia.org/wiki/1976_Belgian_Grand_Prix'&gt;1976_Belgian_Grand_Prix&lt;/a&gt;</t>
  </si>
  <si>
    <t>&lt;a href='http://en.wikipedia.org/wiki/1976_Monaco_Grand_Prix'&gt;1976_Monaco_Grand_Prix&lt;/a&gt;</t>
  </si>
  <si>
    <t>&lt;a href='http://en.wikipedia.org/wiki/1976_Swedish_Grand_Prix'&gt;1976_Swedish_Grand_Prix&lt;/a&gt;</t>
  </si>
  <si>
    <t>&lt;a href='http://en.wikipedia.org/wiki/1976_French_Grand_Prix'&gt;1976_French_Grand_Prix&lt;/a&gt;</t>
  </si>
  <si>
    <t>&lt;a href='http://en.wikipedia.org/wiki/1976_British_Grand_Prix'&gt;1976_British_Grand_Prix&lt;/a&gt;</t>
  </si>
  <si>
    <t>&lt;a href='http://en.wikipedia.org/wiki/1976_German_Grand_Prix'&gt;1976_German_Grand_Prix&lt;/a&gt;</t>
  </si>
  <si>
    <t>&lt;a href='http://en.wikipedia.org/wiki/1976_Austrian_Grand_Prix'&gt;1976_Austrian_Grand_Prix&lt;/a&gt;</t>
  </si>
  <si>
    <t>&lt;a href='http://en.wikipedia.org/wiki/1976_Dutch_Grand_Prix'&gt;1976_Dutch_Grand_Prix&lt;/a&gt;</t>
  </si>
  <si>
    <t>&lt;a href='http://en.wikipedia.org/wiki/1976_Italian_Grand_Prix'&gt;1976_Italian_Grand_Prix&lt;/a&gt;</t>
  </si>
  <si>
    <t>&lt;a href='http://en.wikipedia.org/wiki/1976_Canadian_Grand_Prix'&gt;1976_Canadian_Grand_Prix&lt;/a&gt;</t>
  </si>
  <si>
    <t>&lt;a href='http://en.wikipedia.org/wiki/1976_United_States_Grand_Prix'&gt;1976_United_States_Grand_Prix&lt;/a&gt;</t>
  </si>
  <si>
    <t>&lt;a href='http://en.wikipedia.org/wiki/1976_Japanese_Grand_Prix'&gt;1976_Japanese_Grand_Prix&lt;/a&gt;</t>
  </si>
  <si>
    <t>&lt;a href='http://en.wikipedia.org/wiki/1977_Argentine_Grand_Prix'&gt;1977_Argentine_Grand_Prix&lt;/a&gt;</t>
  </si>
  <si>
    <t>&lt;a href='http://en.wikipedia.org/wiki/1977_Brazilian_Grand_Prix'&gt;1977_Brazilian_Grand_Prix&lt;/a&gt;</t>
  </si>
  <si>
    <t>&lt;a href='http://en.wikipedia.org/wiki/1977_South_African_Grand_Prix'&gt;1977_South_African_Grand_Prix&lt;/a&gt;</t>
  </si>
  <si>
    <t>&lt;a href='http://en.wikipedia.org/wiki/1977_United_States_Grand_Prix_West'&gt;1977_United_States_Grand_Prix_West&lt;/a&gt;</t>
  </si>
  <si>
    <t>&lt;a href='http://en.wikipedia.org/wiki/1977_Spanish_Grand_Prix'&gt;1977_Spanish_Grand_Prix&lt;/a&gt;</t>
  </si>
  <si>
    <t>&lt;a href='http://en.wikipedia.org/wiki/1977_Monaco_Grand_Prix'&gt;1977_Monaco_Grand_Prix&lt;/a&gt;</t>
  </si>
  <si>
    <t>&lt;a href='http://en.wikipedia.org/wiki/1977_Belgian_Grand_Prix'&gt;1977_Belgian_Grand_Prix&lt;/a&gt;</t>
  </si>
  <si>
    <t>&lt;a href='http://en.wikipedia.org/wiki/1977_Swedish_Grand_Prix'&gt;1977_Swedish_Grand_Prix&lt;/a&gt;</t>
  </si>
  <si>
    <t>&lt;a href='http://en.wikipedia.org/wiki/1977_French_Grand_Prix'&gt;1977_French_Grand_Prix&lt;/a&gt;</t>
  </si>
  <si>
    <t>&lt;a href='http://en.wikipedia.org/wiki/1977_British_Grand_Prix'&gt;1977_British_Grand_Prix&lt;/a&gt;</t>
  </si>
  <si>
    <t>&lt;a href='http://en.wikipedia.org/wiki/1977_German_Grand_Prix'&gt;1977_German_Grand_Prix&lt;/a&gt;</t>
  </si>
  <si>
    <t>&lt;a href='http://en.wikipedia.org/wiki/1977_Austrian_Grand_Prix'&gt;1977_Austrian_Grand_Prix&lt;/a&gt;</t>
  </si>
  <si>
    <t>&lt;a href='http://en.wikipedia.org/wiki/1977_Dutch_Grand_Prix'&gt;1977_Dutch_Grand_Prix&lt;/a&gt;</t>
  </si>
  <si>
    <t>&lt;a href='http://en.wikipedia.org/wiki/1977_Italian_Grand_Prix'&gt;1977_Italian_Grand_Prix&lt;/a&gt;</t>
  </si>
  <si>
    <t>&lt;a href='http://en.wikipedia.org/wiki/1977_United_States_Grand_Prix'&gt;1977_United_States_Grand_Prix&lt;/a&gt;</t>
  </si>
  <si>
    <t>&lt;a href='http://en.wikipedia.org/wiki/1977_Canadian_Grand_Prix'&gt;1977_Canadian_Grand_Prix&lt;/a&gt;</t>
  </si>
  <si>
    <t>&lt;a href='http://en.wikipedia.org/wiki/1977_Japanese_Grand_Prix'&gt;1977_Japanese_Grand_Prix&lt;/a&gt;</t>
  </si>
  <si>
    <t>&lt;a href='http://en.wikipedia.org/wiki/1978_Argentine_Grand_Prix'&gt;1978_Argentine_Grand_Prix&lt;/a&gt;</t>
  </si>
  <si>
    <t>&lt;a href='http://en.wikipedia.org/wiki/1978_Brazilian_Grand_Prix'&gt;1978_Brazilian_Grand_Prix&lt;/a&gt;</t>
  </si>
  <si>
    <t>&lt;a href='http://en.wikipedia.org/wiki/1978_South_African_Grand_Prix'&gt;1978_South_African_Grand_Prix&lt;/a&gt;</t>
  </si>
  <si>
    <t>&lt;a href='http://en.wikipedia.org/wiki/1978_United_States_Grand_Prix_West'&gt;1978_United_States_Grand_Prix_West&lt;/a&gt;</t>
  </si>
  <si>
    <t>&lt;a href='http://en.wikipedia.org/wiki/1978_Monaco_Grand_Prix'&gt;1978_Monaco_Grand_Prix&lt;/a&gt;</t>
  </si>
  <si>
    <t>&lt;a href='http://en.wikipedia.org/wiki/1978_Belgian_Grand_Prix'&gt;1978_Belgian_Grand_Prix&lt;/a&gt;</t>
  </si>
  <si>
    <t>&lt;a href='http://en.wikipedia.org/wiki/1978_Spanish_Grand_Prix'&gt;1978_Spanish_Grand_Prix&lt;/a&gt;</t>
  </si>
  <si>
    <t>&lt;a href='http://en.wikipedia.org/wiki/1978_Swedish_Grand_Prix'&gt;1978_Swedish_Grand_Prix&lt;/a&gt;</t>
  </si>
  <si>
    <t>&lt;a href='http://en.wikipedia.org/wiki/1978_French_Grand_Prix'&gt;1978_French_Grand_Prix&lt;/a&gt;</t>
  </si>
  <si>
    <t>&lt;a href='http://en.wikipedia.org/wiki/1978_British_Grand_Prix'&gt;1978_British_Grand_Prix&lt;/a&gt;</t>
  </si>
  <si>
    <t>&lt;a href='http://en.wikipedia.org/wiki/1978_German_Grand_Prix'&gt;1978_German_Grand_Prix&lt;/a&gt;</t>
  </si>
  <si>
    <t>&lt;a href='http://en.wikipedia.org/wiki/1978_Austrian_Grand_Prix'&gt;1978_Austrian_Grand_Prix&lt;/a&gt;</t>
  </si>
  <si>
    <t>&lt;a href='http://en.wikipedia.org/wiki/1978_Dutch_Grand_Prix'&gt;1978_Dutch_Grand_Prix&lt;/a&gt;</t>
  </si>
  <si>
    <t>&lt;a href='http://en.wikipedia.org/wiki/1978_Italian_Grand_Prix'&gt;1978_Italian_Grand_Prix&lt;/a&gt;</t>
  </si>
  <si>
    <t>&lt;a href='http://en.wikipedia.org/wiki/1978_United_States_Grand_Prix'&gt;1978_United_States_Grand_Prix&lt;/a&gt;</t>
  </si>
  <si>
    <t>&lt;a href='http://en.wikipedia.org/wiki/1978_Canadian_Grand_Prix'&gt;1978_Canadian_Grand_Prix&lt;/a&gt;</t>
  </si>
  <si>
    <t>&lt;a href='http://en.wikipedia.org/wiki/1979_Argentine_Grand_Prix'&gt;1979_Argentine_Grand_Prix&lt;/a&gt;</t>
  </si>
  <si>
    <t>&lt;a href='http://en.wikipedia.org/wiki/1979_Brazilian_Grand_Prix'&gt;1979_Brazilian_Grand_Prix&lt;/a&gt;</t>
  </si>
  <si>
    <t>&lt;a href='http://en.wikipedia.org/wiki/1979_South_African_Grand_Prix'&gt;1979_South_African_Grand_Prix&lt;/a&gt;</t>
  </si>
  <si>
    <t>&lt;a href='http://en.wikipedia.org/wiki/1979_United_States_Grand_Prix_West'&gt;1979_United_States_Grand_Prix_West&lt;/a&gt;</t>
  </si>
  <si>
    <t>&lt;a href='http://en.wikipedia.org/wiki/1979_Spanish_Grand_Prix'&gt;1979_Spanish_Grand_Prix&lt;/a&gt;</t>
  </si>
  <si>
    <t>&lt;a href='http://en.wikipedia.org/wiki/1979_Belgian_Grand_Prix'&gt;1979_Belgian_Grand_Prix&lt;/a&gt;</t>
  </si>
  <si>
    <t>&lt;a href='http://en.wikipedia.org/wiki/1979_Monaco_Grand_Prix'&gt;1979_Monaco_Grand_Prix&lt;/a&gt;</t>
  </si>
  <si>
    <t>&lt;a href='http://en.wikipedia.org/wiki/1979_French_Grand_Prix'&gt;1979_French_Grand_Prix&lt;/a&gt;</t>
  </si>
  <si>
    <t>&lt;a href='http://en.wikipedia.org/wiki/1979_British_Grand_Prix'&gt;1979_British_Grand_Prix&lt;/a&gt;</t>
  </si>
  <si>
    <t>&lt;a href='http://en.wikipedia.org/wiki/1979_German_Grand_Prix'&gt;1979_German_Grand_Prix&lt;/a&gt;</t>
  </si>
  <si>
    <t>&lt;a href='http://en.wikipedia.org/wiki/1979_Austrian_Grand_Prix'&gt;1979_Austrian_Grand_Prix&lt;/a&gt;</t>
  </si>
  <si>
    <t>&lt;a href='http://en.wikipedia.org/wiki/1979_Dutch_Grand_Prix'&gt;1979_Dutch_Grand_Prix&lt;/a&gt;</t>
  </si>
  <si>
    <t>&lt;a href='http://en.wikipedia.org/wiki/1979_Italian_Grand_Prix'&gt;1979_Italian_Grand_Prix&lt;/a&gt;</t>
  </si>
  <si>
    <t>&lt;a href='http://en.wikipedia.org/wiki/1979_Canadian_Grand_Prix'&gt;1979_Canadian_Grand_Prix&lt;/a&gt;</t>
  </si>
  <si>
    <t>&lt;a href='http://en.wikipedia.org/wiki/1979_United_States_Grand_Prix'&gt;1979_United_States_Grand_Prix&lt;/a&gt;</t>
  </si>
  <si>
    <t>&lt;a href='http://en.wikipedia.org/wiki/1980_Argentine_Grand_Prix'&gt;1980_Argentine_Grand_Prix&lt;/a&gt;</t>
  </si>
  <si>
    <t>&lt;a href='http://en.wikipedia.org/wiki/1980_Brazilian_Grand_Prix'&gt;1980_Brazilian_Grand_Prix&lt;/a&gt;</t>
  </si>
  <si>
    <t>&lt;a href='http://en.wikipedia.org/wiki/1980_South_African_Grand_Prix'&gt;1980_South_African_Grand_Prix&lt;/a&gt;</t>
  </si>
  <si>
    <t>&lt;a href='http://en.wikipedia.org/wiki/1980_United_States_Grand_Prix_West'&gt;1980_United_States_Grand_Prix_West&lt;/a&gt;</t>
  </si>
  <si>
    <t>&lt;a href='http://en.wikipedia.org/wiki/1980_Belgian_Grand_Prix'&gt;1980_Belgian_Grand_Prix&lt;/a&gt;</t>
  </si>
  <si>
    <t>&lt;a href='http://en.wikipedia.org/wiki/1980_Monaco_Grand_Prix'&gt;1980_Monaco_Grand_Prix&lt;/a&gt;</t>
  </si>
  <si>
    <t>&lt;a href='http://en.wikipedia.org/wiki/1980_French_Grand_Prix'&gt;1980_French_Grand_Prix&lt;/a&gt;</t>
  </si>
  <si>
    <t>&lt;a href='http://en.wikipedia.org/wiki/1980_British_Grand_Prix'&gt;1980_British_Grand_Prix&lt;/a&gt;</t>
  </si>
  <si>
    <t>&lt;a href='http://en.wikipedia.org/wiki/1980_German_Grand_Prix'&gt;1980_German_Grand_Prix&lt;/a&gt;</t>
  </si>
  <si>
    <t>&lt;a href='http://en.wikipedia.org/wiki/1980_Austrian_Grand_Prix'&gt;1980_Austrian_Grand_Prix&lt;/a&gt;</t>
  </si>
  <si>
    <t>&lt;a href='http://en.wikipedia.org/wiki/1980_Dutch_Grand_Prix'&gt;1980_Dutch_Grand_Prix&lt;/a&gt;</t>
  </si>
  <si>
    <t>&lt;a href='http://en.wikipedia.org/wiki/1980_Italian_Grand_Prix'&gt;1980_Italian_Grand_Prix&lt;/a&gt;</t>
  </si>
  <si>
    <t>&lt;a href='http://en.wikipedia.org/wiki/1980_Canadian_Grand_Prix'&gt;1980_Canadian_Grand_Prix&lt;/a&gt;</t>
  </si>
  <si>
    <t>&lt;a href='http://en.wikipedia.org/wiki/1980_United_States_Grand_Prix'&gt;1980_United_States_Grand_Prix&lt;/a&gt;</t>
  </si>
  <si>
    <t>&lt;a href='http://en.wikipedia.org/wiki/1981_United_States_Grand_Prix_West'&gt;1981_United_States_Grand_Prix_West&lt;/a&gt;</t>
  </si>
  <si>
    <t>&lt;a href='http://en.wikipedia.org/wiki/1981_Brazilian_Grand_Prix'&gt;1981_Brazilian_Grand_Prix&lt;/a&gt;</t>
  </si>
  <si>
    <t>&lt;a href='http://en.wikipedia.org/wiki/1981_Argentine_Grand_Prix'&gt;1981_Argentine_Grand_Prix&lt;/a&gt;</t>
  </si>
  <si>
    <t>&lt;a href='http://en.wikipedia.org/wiki/1981_San_Marino_Grand_Prix'&gt;1981_San_Marino_Grand_Prix&lt;/a&gt;</t>
  </si>
  <si>
    <t>&lt;a href='http://en.wikipedia.org/wiki/1981_Belgian_Grand_Prix'&gt;1981_Belgian_Grand_Prix&lt;/a&gt;</t>
  </si>
  <si>
    <t>&lt;a href='http://en.wikipedia.org/wiki/1981_Monaco_Grand_Prix'&gt;1981_Monaco_Grand_Prix&lt;/a&gt;</t>
  </si>
  <si>
    <t>&lt;a href='http://en.wikipedia.org/wiki/1981_Spanish_Grand_Prix'&gt;1981_Spanish_Grand_Prix&lt;/a&gt;</t>
  </si>
  <si>
    <t>&lt;a href='http://en.wikipedia.org/wiki/1981_French_Grand_Prix'&gt;1981_French_Grand_Prix&lt;/a&gt;</t>
  </si>
  <si>
    <t>&lt;a href='http://en.wikipedia.org/wiki/1981_British_Grand_Prix'&gt;1981_British_Grand_Prix&lt;/a&gt;</t>
  </si>
  <si>
    <t>&lt;a href='http://en.wikipedia.org/wiki/1981_German_Grand_Prix'&gt;1981_German_Grand_Prix&lt;/a&gt;</t>
  </si>
  <si>
    <t>&lt;a href='http://en.wikipedia.org/wiki/1981_Austrian_Grand_Prix'&gt;1981_Austrian_Grand_Prix&lt;/a&gt;</t>
  </si>
  <si>
    <t>&lt;a href='http://en.wikipedia.org/wiki/1981_Dutch_Grand_Prix'&gt;1981_Dutch_Grand_Prix&lt;/a&gt;</t>
  </si>
  <si>
    <t>&lt;a href='http://en.wikipedia.org/wiki/1981_Italian_Grand_Prix'&gt;1981_Italian_Grand_Prix&lt;/a&gt;</t>
  </si>
  <si>
    <t>&lt;a href='http://en.wikipedia.org/wiki/1981_Canadian_Grand_Prix'&gt;1981_Canadian_Grand_Prix&lt;/a&gt;</t>
  </si>
  <si>
    <t>&lt;a href='http://en.wikipedia.org/wiki/1981_Caesars_Palace_Grand_Prix'&gt;1981_Caesars_Palace_Grand_Prix&lt;/a&gt;</t>
  </si>
  <si>
    <t>&lt;a href='http://en.wikipedia.org/wiki/1982_South_African_Grand_Prix'&gt;1982_South_African_Grand_Prix&lt;/a&gt;</t>
  </si>
  <si>
    <t>&lt;a href='http://en.wikipedia.org/wiki/1982_Brazilian_Grand_Prix'&gt;1982_Brazilian_Grand_Prix&lt;/a&gt;</t>
  </si>
  <si>
    <t>&lt;a href='http://en.wikipedia.org/wiki/1982_United_States_Grand_Prix_West'&gt;1982_United_States_Grand_Prix_West&lt;/a&gt;</t>
  </si>
  <si>
    <t>&lt;a href='http://en.wikipedia.org/wiki/1982_San_Marino_Grand_Prix'&gt;1982_San_Marino_Grand_Prix&lt;/a&gt;</t>
  </si>
  <si>
    <t>&lt;a href='http://en.wikipedia.org/wiki/1982_Belgian_Grand_Prix'&gt;1982_Belgian_Grand_Prix&lt;/a&gt;</t>
  </si>
  <si>
    <t>&lt;a href='http://en.wikipedia.org/wiki/1982_Monaco_Grand_Prix'&gt;1982_Monaco_Grand_Prix&lt;/a&gt;</t>
  </si>
  <si>
    <t>&lt;a href='http://en.wikipedia.org/wiki/1982_Detroit_Grand_Prix'&gt;1982_Detroit_Grand_Prix&lt;/a&gt;</t>
  </si>
  <si>
    <t>&lt;a href='http://en.wikipedia.org/wiki/1982_Canadian_Grand_Prix'&gt;1982_Canadian_Grand_Prix&lt;/a&gt;</t>
  </si>
  <si>
    <t>&lt;a href='http://en.wikipedia.org/wiki/1982_Dutch_Grand_Prix'&gt;1982_Dutch_Grand_Prix&lt;/a&gt;</t>
  </si>
  <si>
    <t>&lt;a href='http://en.wikipedia.org/wiki/1982_British_Grand_Prix'&gt;1982_British_Grand_Prix&lt;/a&gt;</t>
  </si>
  <si>
    <t>&lt;a href='http://en.wikipedia.org/wiki/1982_French_Grand_Prix'&gt;1982_French_Grand_Prix&lt;/a&gt;</t>
  </si>
  <si>
    <t>&lt;a href='http://en.wikipedia.org/wiki/1982_German_Grand_Prix'&gt;1982_German_Grand_Prix&lt;/a&gt;</t>
  </si>
  <si>
    <t>&lt;a href='http://en.wikipedia.org/wiki/1982_Austrian_Grand_Prix'&gt;1982_Austrian_Grand_Prix&lt;/a&gt;</t>
  </si>
  <si>
    <t>&lt;a href='http://en.wikipedia.org/wiki/1982_Swiss_Grand_Prix'&gt;1982_Swiss_Grand_Prix&lt;/a&gt;</t>
  </si>
  <si>
    <t>&lt;a href='http://en.wikipedia.org/wiki/1982_Italian_Grand_Prix'&gt;1982_Italian_Grand_Prix&lt;/a&gt;</t>
  </si>
  <si>
    <t>&lt;a href='http://en.wikipedia.org/wiki/1982_Caesars_Palace_Grand_Prix'&gt;1982_Caesars_Palace_Grand_Prix&lt;/a&gt;</t>
  </si>
  <si>
    <t>&lt;a href='http://en.wikipedia.org/wiki/1983_Brazilian_Grand_Prix'&gt;1983_Brazilian_Grand_Prix&lt;/a&gt;</t>
  </si>
  <si>
    <t>&lt;a href='http://en.wikipedia.org/wiki/1983_United_States_Grand_Prix_West'&gt;1983_United_States_Grand_Prix_West&lt;/a&gt;</t>
  </si>
  <si>
    <t>&lt;a href='http://en.wikipedia.org/wiki/1983_French_Grand_Prix'&gt;1983_French_Grand_Prix&lt;/a&gt;</t>
  </si>
  <si>
    <t>&lt;a href='http://en.wikipedia.org/wiki/1983_San_Marino_Grand_Prix'&gt;1983_San_Marino_Grand_Prix&lt;/a&gt;</t>
  </si>
  <si>
    <t>&lt;a href='http://en.wikipedia.org/wiki/1983_Monaco_Grand_Prix'&gt;1983_Monaco_Grand_Prix&lt;/a&gt;</t>
  </si>
  <si>
    <t>&lt;a href='http://en.wikipedia.org/wiki/1983_Belgian_Grand_Prix'&gt;1983_Belgian_Grand_Prix&lt;/a&gt;</t>
  </si>
  <si>
    <t>&lt;a href='http://en.wikipedia.org/wiki/1983_Detroit_Grand_Prix'&gt;1983_Detroit_Grand_Prix&lt;/a&gt;</t>
  </si>
  <si>
    <t>&lt;a href='http://en.wikipedia.org/wiki/1983_Canadian_Grand_Prix'&gt;1983_Canadian_Grand_Prix&lt;/a&gt;</t>
  </si>
  <si>
    <t>&lt;a href='http://en.wikipedia.org/wiki/1983_British_Grand_Prix'&gt;1983_British_Grand_Prix&lt;/a&gt;</t>
  </si>
  <si>
    <t>&lt;a href='http://en.wikipedia.org/wiki/1983_German_Grand_Prix'&gt;1983_German_Grand_Prix&lt;/a&gt;</t>
  </si>
  <si>
    <t>&lt;a href='http://en.wikipedia.org/wiki/1983_Austrian_Grand_Prix'&gt;1983_Austrian_Grand_Prix&lt;/a&gt;</t>
  </si>
  <si>
    <t>&lt;a href='http://en.wikipedia.org/wiki/1983_Dutch_Grand_Prix'&gt;1983_Dutch_Grand_Prix&lt;/a&gt;</t>
  </si>
  <si>
    <t>&lt;a href='http://en.wikipedia.org/wiki/1983_Italian_Grand_Prix'&gt;1983_Italian_Grand_Prix&lt;/a&gt;</t>
  </si>
  <si>
    <t>&lt;a href='http://en.wikipedia.org/wiki/1983_European_Grand_Prix'&gt;1983_European_Grand_Prix&lt;/a&gt;</t>
  </si>
  <si>
    <t>&lt;a href='http://en.wikipedia.org/wiki/1983_South_African_Grand_Prix'&gt;1983_South_African_Grand_Prix&lt;/a&gt;</t>
  </si>
  <si>
    <t>&lt;a href='http://en.wikipedia.org/wiki/1984_Brazilian_Grand_Prix'&gt;1984_Brazilian_Grand_Prix&lt;/a&gt;</t>
  </si>
  <si>
    <t>&lt;a href='http://en.wikipedia.org/wiki/1984_South_African_Grand_Prix'&gt;1984_South_African_Grand_Prix&lt;/a&gt;</t>
  </si>
  <si>
    <t>&lt;a href='http://en.wikipedia.org/wiki/1984_Belgian_Grand_Prix'&gt;1984_Belgian_Grand_Prix&lt;/a&gt;</t>
  </si>
  <si>
    <t>&lt;a href='http://en.wikipedia.org/wiki/1984_San_Marino_Grand_Prix'&gt;1984_San_Marino_Grand_Prix&lt;/a&gt;</t>
  </si>
  <si>
    <t>&lt;a href='http://en.wikipedia.org/wiki/1984_French_Grand_Prix'&gt;1984_French_Grand_Prix&lt;/a&gt;</t>
  </si>
  <si>
    <t>&lt;a href='http://en.wikipedia.org/wiki/1984_Monaco_Grand_Prix'&gt;1984_Monaco_Grand_Prix&lt;/a&gt;</t>
  </si>
  <si>
    <t>&lt;a href='http://en.wikipedia.org/wiki/1984_Canadian_Grand_Prix'&gt;1984_Canadian_Grand_Prix&lt;/a&gt;</t>
  </si>
  <si>
    <t>&lt;a href='http://en.wikipedia.org/wiki/1984_Detroit_Grand_Prix'&gt;1984_Detroit_Grand_Prix&lt;/a&gt;</t>
  </si>
  <si>
    <t>&lt;a href='http://en.wikipedia.org/wiki/1984_Dallas_Grand_Prix'&gt;1984_Dallas_Grand_Prix&lt;/a&gt;</t>
  </si>
  <si>
    <t>&lt;a href='http://en.wikipedia.org/wiki/1984_British_Grand_Prix'&gt;1984_British_Grand_Prix&lt;/a&gt;</t>
  </si>
  <si>
    <t>&lt;a href='http://en.wikipedia.org/wiki/1984_German_Grand_Prix'&gt;1984_German_Grand_Prix&lt;/a&gt;</t>
  </si>
  <si>
    <t>&lt;a href='http://en.wikipedia.org/wiki/1984_Austrian_Grand_Prix'&gt;1984_Austrian_Grand_Prix&lt;/a&gt;</t>
  </si>
  <si>
    <t>&lt;a href='http://en.wikipedia.org/wiki/1984_Dutch_Grand_Prix'&gt;1984_Dutch_Grand_Prix&lt;/a&gt;</t>
  </si>
  <si>
    <t>&lt;a href='http://en.wikipedia.org/wiki/1984_Italian_Grand_Prix'&gt;1984_Italian_Grand_Prix&lt;/a&gt;</t>
  </si>
  <si>
    <t>&lt;a href='http://en.wikipedia.org/wiki/1984_European_Grand_Prix'&gt;1984_European_Grand_Prix&lt;/a&gt;</t>
  </si>
  <si>
    <t>&lt;a href='http://en.wikipedia.org/wiki/1984_Portuguese_Grand_Prix'&gt;1984_Portuguese_Grand_Prix&lt;/a&gt;</t>
  </si>
  <si>
    <t>&lt;a href='http://en.wikipedia.org/wiki/1985_Brazilian_Grand_Prix'&gt;1985_Brazilian_Grand_Prix&lt;/a&gt;</t>
  </si>
  <si>
    <t>&lt;a href='http://en.wikipedia.org/wiki/1985_Portuguese_Grand_Prix'&gt;1985_Portuguese_Grand_Prix&lt;/a&gt;</t>
  </si>
  <si>
    <t>&lt;a href='http://en.wikipedia.org/wiki/1985_San_Marino_Grand_Prix'&gt;1985_San_Marino_Grand_Prix&lt;/a&gt;</t>
  </si>
  <si>
    <t>&lt;a href='http://en.wikipedia.org/wiki/1985_Monaco_Grand_Prix'&gt;1985_Monaco_Grand_Prix&lt;/a&gt;</t>
  </si>
  <si>
    <t>&lt;a href='http://en.wikipedia.org/wiki/1985_Canadian_Grand_Prix'&gt;1985_Canadian_Grand_Prix&lt;/a&gt;</t>
  </si>
  <si>
    <t>&lt;a href='http://en.wikipedia.org/wiki/1985_Detroit_Grand_Prix'&gt;1985_Detroit_Grand_Prix&lt;/a&gt;</t>
  </si>
  <si>
    <t>&lt;a href='http://en.wikipedia.org/wiki/1985_French_Grand_Prix'&gt;1985_French_Grand_Prix&lt;/a&gt;</t>
  </si>
  <si>
    <t>&lt;a href='http://en.wikipedia.org/wiki/1985_British_Grand_Prix'&gt;1985_British_Grand_Prix&lt;/a&gt;</t>
  </si>
  <si>
    <t>&lt;a href='http://en.wikipedia.org/wiki/1985_German_Grand_Prix'&gt;1985_German_Grand_Prix&lt;/a&gt;</t>
  </si>
  <si>
    <t>&lt;a href='http://en.wikipedia.org/wiki/1985_Austrian_Grand_Prix'&gt;1985_Austrian_Grand_Prix&lt;/a&gt;</t>
  </si>
  <si>
    <t>&lt;a href='http://en.wikipedia.org/wiki/1985_Dutch_Grand_Prix'&gt;1985_Dutch_Grand_Prix&lt;/a&gt;</t>
  </si>
  <si>
    <t>&lt;a href='http://en.wikipedia.org/wiki/1985_Italian_Grand_Prix'&gt;1985_Italian_Grand_Prix&lt;/a&gt;</t>
  </si>
  <si>
    <t>&lt;a href='http://en.wikipedia.org/wiki/1985_Belgian_Grand_Prix'&gt;1985_Belgian_Grand_Prix&lt;/a&gt;</t>
  </si>
  <si>
    <t>&lt;a href='http://en.wikipedia.org/wiki/1985_European_Grand_Prix'&gt;1985_European_Grand_Prix&lt;/a&gt;</t>
  </si>
  <si>
    <t>&lt;a href='http://en.wikipedia.org/wiki/1985_South_African_Grand_Prix'&gt;1985_South_African_Grand_Prix&lt;/a&gt;</t>
  </si>
  <si>
    <t>&lt;a href='http://en.wikipedia.org/wiki/1985_Australian_Grand_Prix'&gt;1985_Australian_Grand_Prix&lt;/a&gt;</t>
  </si>
  <si>
    <t>&lt;a href='http://en.wikipedia.org/wiki/1986_Brazilian_Grand_Prix'&gt;1986_Brazilian_Grand_Prix&lt;/a&gt;</t>
  </si>
  <si>
    <t>&lt;a href='http://en.wikipedia.org/wiki/1986_Spanish_Grand_Prix'&gt;1986_Spanish_Grand_Prix&lt;/a&gt;</t>
  </si>
  <si>
    <t>&lt;a href='http://en.wikipedia.org/wiki/1986_San_Marino_Grand_Prix'&gt;1986_San_Marino_Grand_Prix&lt;/a&gt;</t>
  </si>
  <si>
    <t>&lt;a href='http://en.wikipedia.org/wiki/1986_Monaco_Grand_Prix'&gt;1986_Monaco_Grand_Prix&lt;/a&gt;</t>
  </si>
  <si>
    <t>&lt;a href='http://en.wikipedia.org/wiki/1986_Belgian_Grand_Prix'&gt;1986_Belgian_Grand_Prix&lt;/a&gt;</t>
  </si>
  <si>
    <t>&lt;a href='http://en.wikipedia.org/wiki/1986_Canadian_Grand_Prix'&gt;1986_Canadian_Grand_Prix&lt;/a&gt;</t>
  </si>
  <si>
    <t>&lt;a href='http://en.wikipedia.org/wiki/1986_Detroit_Grand_Prix'&gt;1986_Detroit_Grand_Prix&lt;/a&gt;</t>
  </si>
  <si>
    <t>&lt;a href='http://en.wikipedia.org/wiki/1986_French_Grand_Prix'&gt;1986_French_Grand_Prix&lt;/a&gt;</t>
  </si>
  <si>
    <t>&lt;a href='http://en.wikipedia.org/wiki/1986_British_Grand_Prix'&gt;1986_British_Grand_Prix&lt;/a&gt;</t>
  </si>
  <si>
    <t>&lt;a href='http://en.wikipedia.org/wiki/1986_German_Grand_Prix'&gt;1986_German_Grand_Prix&lt;/a&gt;</t>
  </si>
  <si>
    <t>&lt;a href='http://en.wikipedia.org/wiki/1986_Hungarian_Grand_Prix'&gt;1986_Hungarian_Grand_Prix&lt;/a&gt;</t>
  </si>
  <si>
    <t>&lt;a href='http://en.wikipedia.org/wiki/1986_Austrian_Grand_Prix'&gt;1986_Austrian_Grand_Prix&lt;/a&gt;</t>
  </si>
  <si>
    <t>&lt;a href='http://en.wikipedia.org/wiki/1986_Italian_Grand_Prix'&gt;1986_Italian_Grand_Prix&lt;/a&gt;</t>
  </si>
  <si>
    <t>&lt;a href='http://en.wikipedia.org/wiki/1986_Portuguese_Grand_Prix'&gt;1986_Portuguese_Grand_Prix&lt;/a&gt;</t>
  </si>
  <si>
    <t>&lt;a href='http://en.wikipedia.org/wiki/1986_Mexican_Grand_Prix'&gt;1986_Mexican_Grand_Prix&lt;/a&gt;</t>
  </si>
  <si>
    <t>&lt;a href='http://en.wikipedia.org/wiki/1986_Australian_Grand_Prix'&gt;1986_Australian_Grand_Prix&lt;/a&gt;</t>
  </si>
  <si>
    <t>&lt;a href='http://en.wikipedia.org/wiki/1987_Brazilian_Grand_Prix'&gt;1987_Brazilian_Grand_Prix&lt;/a&gt;</t>
  </si>
  <si>
    <t>&lt;a href='http://en.wikipedia.org/wiki/1987_San_Marino_Grand_Prix'&gt;1987_San_Marino_Grand_Prix&lt;/a&gt;</t>
  </si>
  <si>
    <t>&lt;a href='http://en.wikipedia.org/wiki/1987_Belgian_Grand_Prix'&gt;1987_Belgian_Grand_Prix&lt;/a&gt;</t>
  </si>
  <si>
    <t>&lt;a href='http://en.wikipedia.org/wiki/1987_Monaco_Grand_Prix'&gt;1987_Monaco_Grand_Prix&lt;/a&gt;</t>
  </si>
  <si>
    <t>&lt;a href='http://en.wikipedia.org/wiki/1987_Detroit_Grand_Prix'&gt;1987_Detroit_Grand_Prix&lt;/a&gt;</t>
  </si>
  <si>
    <t>&lt;a href='http://en.wikipedia.org/wiki/1987_French_Grand_Prix'&gt;1987_French_Grand_Prix&lt;/a&gt;</t>
  </si>
  <si>
    <t>&lt;a href='http://en.wikipedia.org/wiki/1987_British_Grand_Prix'&gt;1987_British_Grand_Prix&lt;/a&gt;</t>
  </si>
  <si>
    <t>&lt;a href='http://en.wikipedia.org/wiki/1987_German_Grand_Prix'&gt;1987_German_Grand_Prix&lt;/a&gt;</t>
  </si>
  <si>
    <t>&lt;a href='http://en.wikipedia.org/wiki/1987_Hungarian_Grand_Prix'&gt;1987_Hungarian_Grand_Prix&lt;/a&gt;</t>
  </si>
  <si>
    <t>&lt;a href='http://en.wikipedia.org/wiki/1987_Austrian_Grand_Prix'&gt;1987_Austrian_Grand_Prix&lt;/a&gt;</t>
  </si>
  <si>
    <t>&lt;a href='http://en.wikipedia.org/wiki/1987_Italian_Grand_Prix'&gt;1987_Italian_Grand_Prix&lt;/a&gt;</t>
  </si>
  <si>
    <t>&lt;a href='http://en.wikipedia.org/wiki/1987_Portuguese_Grand_Prix'&gt;1987_Portuguese_Grand_Prix&lt;/a&gt;</t>
  </si>
  <si>
    <t>&lt;a href='http://en.wikipedia.org/wiki/1987_Spanish_Grand_Prix'&gt;1987_Spanish_Grand_Prix&lt;/a&gt;</t>
  </si>
  <si>
    <t>&lt;a href='http://en.wikipedia.org/wiki/1987_Mexican_Grand_Prix'&gt;1987_Mexican_Grand_Prix&lt;/a&gt;</t>
  </si>
  <si>
    <t>&lt;a href='http://en.wikipedia.org/wiki/1987_Japanese_Grand_Prix'&gt;1987_Japanese_Grand_Prix&lt;/a&gt;</t>
  </si>
  <si>
    <t>&lt;a href='http://en.wikipedia.org/wiki/1987_Australian_Grand_Prix'&gt;1987_Australian_Grand_Prix&lt;/a&gt;</t>
  </si>
  <si>
    <t>&lt;a href='http://en.wikipedia.org/wiki/1988_Brazilian_Grand_Prix'&gt;1988_Brazilian_Grand_Prix&lt;/a&gt;</t>
  </si>
  <si>
    <t>&lt;a href='http://en.wikipedia.org/wiki/1988_San_Marino_Grand_Prix'&gt;1988_San_Marino_Grand_Prix&lt;/a&gt;</t>
  </si>
  <si>
    <t>&lt;a href='http://en.wikipedia.org/wiki/1988_Monaco_Grand_Prix'&gt;1988_Monaco_Grand_Prix&lt;/a&gt;</t>
  </si>
  <si>
    <t>&lt;a href='http://en.wikipedia.org/wiki/1988_Mexican_Grand_Prix'&gt;1988_Mexican_Grand_Prix&lt;/a&gt;</t>
  </si>
  <si>
    <t>&lt;a href='http://en.wikipedia.org/wiki/1988_Canadian_Grand_Prix'&gt;1988_Canadian_Grand_Prix&lt;/a&gt;</t>
  </si>
  <si>
    <t>&lt;a href='http://en.wikipedia.org/wiki/1988_Detroit_Grand_Prix'&gt;1988_Detroit_Grand_Prix&lt;/a&gt;</t>
  </si>
  <si>
    <t>&lt;a href='http://en.wikipedia.org/wiki/1988_French_Grand_Prix'&gt;1988_French_Grand_Prix&lt;/a&gt;</t>
  </si>
  <si>
    <t>&lt;a href='http://en.wikipedia.org/wiki/1988_British_Grand_Prix'&gt;1988_British_Grand_Prix&lt;/a&gt;</t>
  </si>
  <si>
    <t>&lt;a href='http://en.wikipedia.org/wiki/1988_German_Grand_Prix'&gt;1988_German_Grand_Prix&lt;/a&gt;</t>
  </si>
  <si>
    <t>&lt;a href='http://en.wikipedia.org/wiki/1988_Hungarian_Grand_Prix'&gt;1988_Hungarian_Grand_Prix&lt;/a&gt;</t>
  </si>
  <si>
    <t>&lt;a href='http://en.wikipedia.org/wiki/1988_Belgian_Grand_Prix'&gt;1988_Belgian_Grand_Prix&lt;/a&gt;</t>
  </si>
  <si>
    <t>&lt;a href='http://en.wikipedia.org/wiki/1988_Italian_Grand_Prix'&gt;1988_Italian_Grand_Prix&lt;/a&gt;</t>
  </si>
  <si>
    <t>&lt;a href='http://en.wikipedia.org/wiki/1988_Portuguese_Grand_Prix'&gt;1988_Portuguese_Grand_Prix&lt;/a&gt;</t>
  </si>
  <si>
    <t>&lt;a href='http://en.wikipedia.org/wiki/1988_Spanish_Grand_Prix'&gt;1988_Spanish_Grand_Prix&lt;/a&gt;</t>
  </si>
  <si>
    <t>&lt;a href='http://en.wikipedia.org/wiki/1988_Japanese_Grand_Prix'&gt;1988_Japanese_Grand_Prix&lt;/a&gt;</t>
  </si>
  <si>
    <t>&lt;a href='http://en.wikipedia.org/wiki/1988_Australian_Grand_Prix'&gt;1988_Australian_Grand_Prix&lt;/a&gt;</t>
  </si>
  <si>
    <t>&lt;a href='http://en.wikipedia.org/wiki/1989_Brazilian_Grand_Prix'&gt;1989_Brazilian_Grand_Prix&lt;/a&gt;</t>
  </si>
  <si>
    <t>&lt;a href='http://en.wikipedia.org/wiki/1989_San_Marino_Grand_Prix'&gt;1989_San_Marino_Grand_Prix&lt;/a&gt;</t>
  </si>
  <si>
    <t>&lt;a href='http://en.wikipedia.org/wiki/1989_Monaco_Grand_Prix'&gt;1989_Monaco_Grand_Prix&lt;/a&gt;</t>
  </si>
  <si>
    <t>&lt;a href='http://en.wikipedia.org/wiki/1989_Mexican_Grand_Prix'&gt;1989_Mexican_Grand_Prix&lt;/a&gt;</t>
  </si>
  <si>
    <t>&lt;a href='http://en.wikipedia.org/wiki/1989_United_States_Grand_Prix'&gt;1989_United_States_Grand_Prix&lt;/a&gt;</t>
  </si>
  <si>
    <t>&lt;a href='http://en.wikipedia.org/wiki/1989_Canadian_Grand_Prix'&gt;1989_Canadian_Grand_Prix&lt;/a&gt;</t>
  </si>
  <si>
    <t>&lt;a href='http://en.wikipedia.org/wiki/1989_French_Grand_Prix'&gt;1989_French_Grand_Prix&lt;/a&gt;</t>
  </si>
  <si>
    <t>&lt;a href='http://en.wikipedia.org/wiki/1989_British_Grand_Prix'&gt;1989_British_Grand_Prix&lt;/a&gt;</t>
  </si>
  <si>
    <t>&lt;a href='http://en.wikipedia.org/wiki/1989_German_Grand_Prix'&gt;1989_German_Grand_Prix&lt;/a&gt;</t>
  </si>
  <si>
    <t>&lt;a href='http://en.wikipedia.org/wiki/1989_Hungarian_Grand_Prix'&gt;1989_Hungarian_Grand_Prix&lt;/a&gt;</t>
  </si>
  <si>
    <t>&lt;a href='http://en.wikipedia.org/wiki/1989_Belgian_Grand_Prix'&gt;1989_Belgian_Grand_Prix&lt;/a&gt;</t>
  </si>
  <si>
    <t>&lt;a href='http://en.wikipedia.org/wiki/1989_Italian_Grand_Prix'&gt;1989_Italian_Grand_Prix&lt;/a&gt;</t>
  </si>
  <si>
    <t>&lt;a href='http://en.wikipedia.org/wiki/1989_Portuguese_Grand_Prix'&gt;1989_Portuguese_Grand_Prix&lt;/a&gt;</t>
  </si>
  <si>
    <t>&lt;a href='http://en.wikipedia.org/wiki/1989_Spanish_Grand_Prix'&gt;1989_Spanish_Grand_Prix&lt;/a&gt;</t>
  </si>
  <si>
    <t>&lt;a href='http://en.wikipedia.org/wiki/1989_Japanese_Grand_Prix'&gt;1989_Japanese_Grand_Prix&lt;/a&gt;</t>
  </si>
  <si>
    <t>&lt;a href='http://en.wikipedia.org/wiki/1989_Australian_Grand_Prix'&gt;1989_Australian_Grand_Prix&lt;/a&gt;</t>
  </si>
  <si>
    <t>&lt;a href='http://en.wikipedia.org/wiki/1990_United_States_Grand_Prix'&gt;1990_United_States_Grand_Prix&lt;/a&gt;</t>
  </si>
  <si>
    <t>&lt;a href='http://en.wikipedia.org/wiki/1990_Brazilian_Grand_Prix'&gt;1990_Brazilian_Grand_Prix&lt;/a&gt;</t>
  </si>
  <si>
    <t>&lt;a href='http://en.wikipedia.org/wiki/1990_San_Marino_Grand_Prix'&gt;1990_San_Marino_Grand_Prix&lt;/a&gt;</t>
  </si>
  <si>
    <t>&lt;a href='http://en.wikipedia.org/wiki/1990_Monaco_Grand_Prix'&gt;1990_Monaco_Grand_Prix&lt;/a&gt;</t>
  </si>
  <si>
    <t>&lt;a href='http://en.wikipedia.org/wiki/1990_Canadian_Grand_Prix'&gt;1990_Canadian_Grand_Prix&lt;/a&gt;</t>
  </si>
  <si>
    <t>&lt;a href='http://en.wikipedia.org/wiki/1990_Mexican_Grand_Prix'&gt;1990_Mexican_Grand_Prix&lt;/a&gt;</t>
  </si>
  <si>
    <t>&lt;a href='http://en.wikipedia.org/wiki/1990_French_Grand_Prix'&gt;1990_French_Grand_Prix&lt;/a&gt;</t>
  </si>
  <si>
    <t>&lt;a href='http://en.wikipedia.org/wiki/1990_British_Grand_Prix'&gt;1990_British_Grand_Prix&lt;/a&gt;</t>
  </si>
  <si>
    <t>&lt;a href='http://en.wikipedia.org/wiki/1990_German_Grand_Prix'&gt;1990_German_Grand_Prix&lt;/a&gt;</t>
  </si>
  <si>
    <t>&lt;a href='http://en.wikipedia.org/wiki/1990_Hungarian_Grand_Prix'&gt;1990_Hungarian_Grand_Prix&lt;/a&gt;</t>
  </si>
  <si>
    <t>&lt;a href='http://en.wikipedia.org/wiki/1990_Belgian_Grand_Prix'&gt;1990_Belgian_Grand_Prix&lt;/a&gt;</t>
  </si>
  <si>
    <t>&lt;a href='http://en.wikipedia.org/wiki/1990_Italian_Grand_Prix'&gt;1990_Italian_Grand_Prix&lt;/a&gt;</t>
  </si>
  <si>
    <t>&lt;a href='http://en.wikipedia.org/wiki/1990_Portuguese_Grand_Prix'&gt;1990_Portuguese_Grand_Prix&lt;/a&gt;</t>
  </si>
  <si>
    <t>&lt;a href='http://en.wikipedia.org/wiki/1990_Spanish_Grand_Prix'&gt;1990_Spanish_Grand_Prix&lt;/a&gt;</t>
  </si>
  <si>
    <t>&lt;a href='http://en.wikipedia.org/wiki/1990_Japanese_Grand_Prix'&gt;1990_Japanese_Grand_Prix&lt;/a&gt;</t>
  </si>
  <si>
    <t>&lt;a href='http://en.wikipedia.org/wiki/1990_Australian_Grand_Prix'&gt;1990_Australian_Grand_Prix&lt;/a&gt;</t>
  </si>
  <si>
    <t>&lt;a href='http://en.wikipedia.org/wiki/1991_United_States_Grand_Prix'&gt;1991_United_States_Grand_Prix&lt;/a&gt;</t>
  </si>
  <si>
    <t>&lt;a href='http://en.wikipedia.org/wiki/1991_Brazilian_Grand_Prix'&gt;1991_Brazilian_Grand_Prix&lt;/a&gt;</t>
  </si>
  <si>
    <t>&lt;a href='http://en.wikipedia.org/wiki/1991_San_Marino_Grand_Prix'&gt;1991_San_Marino_Grand_Prix&lt;/a&gt;</t>
  </si>
  <si>
    <t>&lt;a href='http://en.wikipedia.org/wiki/1991_Monaco_Grand_Prix'&gt;1991_Monaco_Grand_Prix&lt;/a&gt;</t>
  </si>
  <si>
    <t>&lt;a href='http://en.wikipedia.org/wiki/1991_Canadian_Grand_Prix'&gt;1991_Canadian_Grand_Prix&lt;/a&gt;</t>
  </si>
  <si>
    <t>&lt;a href='http://en.wikipedia.org/wiki/1991_Mexican_Grand_Prix'&gt;1991_Mexican_Grand_Prix&lt;/a&gt;</t>
  </si>
  <si>
    <t>&lt;a href='http://en.wikipedia.org/wiki/1991_French_Grand_Prix'&gt;1991_French_Grand_Prix&lt;/a&gt;</t>
  </si>
  <si>
    <t>&lt;a href='http://en.wikipedia.org/wiki/1991_British_Grand_Prix'&gt;1991_British_Grand_Prix&lt;/a&gt;</t>
  </si>
  <si>
    <t>&lt;a href='http://en.wikipedia.org/wiki/1991_German_Grand_Prix'&gt;1991_German_Grand_Prix&lt;/a&gt;</t>
  </si>
  <si>
    <t>&lt;a href='http://en.wikipedia.org/wiki/1991_Hungarian_Grand_Prix'&gt;1991_Hungarian_Grand_Prix&lt;/a&gt;</t>
  </si>
  <si>
    <t>&lt;a href='http://en.wikipedia.org/wiki/1991_Belgian_Grand_Prix'&gt;1991_Belgian_Grand_Prix&lt;/a&gt;</t>
  </si>
  <si>
    <t>&lt;a href='http://en.wikipedia.org/wiki/1991_Italian_Grand_Prix'&gt;1991_Italian_Grand_Prix&lt;/a&gt;</t>
  </si>
  <si>
    <t>&lt;a href='http://en.wikipedia.org/wiki/1991_Portuguese_Grand_Prix'&gt;1991_Portuguese_Grand_Prix&lt;/a&gt;</t>
  </si>
  <si>
    <t>&lt;a href='http://en.wikipedia.org/wiki/1991_Spanish_Grand_Prix'&gt;1991_Spanish_Grand_Prix&lt;/a&gt;</t>
  </si>
  <si>
    <t>&lt;a href='http://en.wikipedia.org/wiki/1991_Japanese_Grand_Prix'&gt;1991_Japanese_Grand_Prix&lt;/a&gt;</t>
  </si>
  <si>
    <t>&lt;a href='http://en.wikipedia.org/wiki/1991_Australian_Grand_Prix'&gt;1991_Australian_Grand_Prix&lt;/a&gt;</t>
  </si>
  <si>
    <t>&lt;a href='http://en.wikipedia.org/wiki/1992_South_African_Grand_Prix'&gt;1992_South_African_Grand_Prix&lt;/a&gt;</t>
  </si>
  <si>
    <t>&lt;a href='http://en.wikipedia.org/wiki/1992_Mexican_Grand_Prix'&gt;1992_Mexican_Grand_Prix&lt;/a&gt;</t>
  </si>
  <si>
    <t>&lt;a href='http://en.wikipedia.org/wiki/1992_Brazilian_Grand_Prix'&gt;1992_Brazilian_Grand_Prix&lt;/a&gt;</t>
  </si>
  <si>
    <t>&lt;a href='http://en.wikipedia.org/wiki/1992_Spanish_Grand_Prix'&gt;1992_Spanish_Grand_Prix&lt;/a&gt;</t>
  </si>
  <si>
    <t>&lt;a href='http://en.wikipedia.org/wiki/1992_San_Marino_Grand_Prix'&gt;1992_San_Marino_Grand_Prix&lt;/a&gt;</t>
  </si>
  <si>
    <t>&lt;a href='http://en.wikipedia.org/wiki/1992_Monaco_Grand_Prix'&gt;1992_Monaco_Grand_Prix&lt;/a&gt;</t>
  </si>
  <si>
    <t>&lt;a href='http://en.wikipedia.org/wiki/1992_Canadian_Grand_Prix'&gt;1992_Canadian_Grand_Prix&lt;/a&gt;</t>
  </si>
  <si>
    <t>&lt;a href='http://en.wikipedia.org/wiki/1992_French_Grand_Prix'&gt;1992_French_Grand_Prix&lt;/a&gt;</t>
  </si>
  <si>
    <t>&lt;a href='http://en.wikipedia.org/wiki/1992_British_Grand_Prix'&gt;1992_British_Grand_Prix&lt;/a&gt;</t>
  </si>
  <si>
    <t>&lt;a href='http://en.wikipedia.org/wiki/1992_German_Grand_Prix'&gt;1992_German_Grand_Prix&lt;/a&gt;</t>
  </si>
  <si>
    <t>&lt;a href='http://en.wikipedia.org/wiki/1992_Hungarian_Grand_Prix'&gt;1992_Hungarian_Grand_Prix&lt;/a&gt;</t>
  </si>
  <si>
    <t>&lt;a href='http://en.wikipedia.org/wiki/1992_Belgian_Grand_Prix'&gt;1992_Belgian_Grand_Prix&lt;/a&gt;</t>
  </si>
  <si>
    <t>&lt;a href='http://en.wikipedia.org/wiki/1992_Italian_Grand_Prix'&gt;1992_Italian_Grand_Prix&lt;/a&gt;</t>
  </si>
  <si>
    <t>&lt;a href='http://en.wikipedia.org/wiki/1992_Portuguese_Grand_Prix'&gt;1992_Portuguese_Grand_Prix&lt;/a&gt;</t>
  </si>
  <si>
    <t>&lt;a href='http://en.wikipedia.org/wiki/1992_Japanese_Grand_Prix'&gt;1992_Japanese_Grand_Prix&lt;/a&gt;</t>
  </si>
  <si>
    <t>&lt;a href='http://en.wikipedia.org/wiki/1992_Australian_Grand_Prix'&gt;1992_Australian_Grand_Prix&lt;/a&gt;</t>
  </si>
  <si>
    <t>&lt;a href='http://en.wikipedia.org/wiki/1993_South_African_Grand_Prix'&gt;1993_South_African_Grand_Prix&lt;/a&gt;</t>
  </si>
  <si>
    <t>&lt;a href='http://en.wikipedia.org/wiki/1993_Brazilian_Grand_Prix'&gt;1993_Brazilian_Grand_Prix&lt;/a&gt;</t>
  </si>
  <si>
    <t>&lt;a href='http://en.wikipedia.org/wiki/1993_European_Grand_Prix'&gt;1993_European_Grand_Prix&lt;/a&gt;</t>
  </si>
  <si>
    <t>&lt;a href='http://en.wikipedia.org/wiki/1993_San_Marino_Grand_Prix'&gt;1993_San_Marino_Grand_Prix&lt;/a&gt;</t>
  </si>
  <si>
    <t>&lt;a href='http://en.wikipedia.org/wiki/1993_Spanish_Grand_Prix'&gt;1993_Spanish_Grand_Prix&lt;/a&gt;</t>
  </si>
  <si>
    <t>&lt;a href='http://en.wikipedia.org/wiki/1993_Monaco_Grand_Prix'&gt;1993_Monaco_Grand_Prix&lt;/a&gt;</t>
  </si>
  <si>
    <t>&lt;a href='http://en.wikipedia.org/wiki/1993_Canadian_Grand_Prix'&gt;1993_Canadian_Grand_Prix&lt;/a&gt;</t>
  </si>
  <si>
    <t>&lt;a href='http://en.wikipedia.org/wiki/1993_French_Grand_Prix'&gt;1993_French_Grand_Prix&lt;/a&gt;</t>
  </si>
  <si>
    <t>&lt;a href='http://en.wikipedia.org/wiki/1993_British_Grand_Prix'&gt;1993_British_Grand_Prix&lt;/a&gt;</t>
  </si>
  <si>
    <t>&lt;a href='http://en.wikipedia.org/wiki/1993_German_Grand_Prix'&gt;1993_German_Grand_Prix&lt;/a&gt;</t>
  </si>
  <si>
    <t>&lt;a href='http://en.wikipedia.org/wiki/1993_Hungarian_Grand_Prix'&gt;1993_Hungarian_Grand_Prix&lt;/a&gt;</t>
  </si>
  <si>
    <t>&lt;a href='http://en.wikipedia.org/wiki/1993_Belgian_Grand_Prix'&gt;1993_Belgian_Grand_Prix&lt;/a&gt;</t>
  </si>
  <si>
    <t>&lt;a href='http://en.wikipedia.org/wiki/1993_Italian_Grand_Prix'&gt;1993_Italian_Grand_Prix&lt;/a&gt;</t>
  </si>
  <si>
    <t>&lt;a href='http://en.wikipedia.org/wiki/1993_Portuguese_Grand_Prix'&gt;1993_Portuguese_Grand_Prix&lt;/a&gt;</t>
  </si>
  <si>
    <t>&lt;a href='http://en.wikipedia.org/wiki/1993_Japanese_Grand_Prix'&gt;1993_Japanese_Grand_Prix&lt;/a&gt;</t>
  </si>
  <si>
    <t>&lt;a href='http://en.wikipedia.org/wiki/1993_Australian_Grand_Prix'&gt;1993_Australian_Grand_Prix&lt;/a&gt;</t>
  </si>
  <si>
    <t>&lt;a href='http://en.wikipedia.org/wiki/1994_Brazilian_Grand_Prix'&gt;1994_Brazilian_Grand_Prix&lt;/a&gt;</t>
  </si>
  <si>
    <t>&lt;a href='http://en.wikipedia.org/wiki/1994_Pacific_Grand_Prix'&gt;1994_Pacific_Grand_Prix&lt;/a&gt;</t>
  </si>
  <si>
    <t>&lt;a href='http://en.wikipedia.org/wiki/1994_San_Marino_Grand_Prix'&gt;1994_San_Marino_Grand_Prix&lt;/a&gt;</t>
  </si>
  <si>
    <t>&lt;a href='http://en.wikipedia.org/wiki/1994_Monaco_Grand_Prix'&gt;1994_Monaco_Grand_Prix&lt;/a&gt;</t>
  </si>
  <si>
    <t>&lt;a href='http://en.wikipedia.org/wiki/1994_Spanish_Grand_Prix'&gt;1994_Spanish_Grand_Prix&lt;/a&gt;</t>
  </si>
  <si>
    <t>&lt;a href='http://en.wikipedia.org/wiki/1994_Canadian_Grand_Prix'&gt;1994_Canadian_Grand_Prix&lt;/a&gt;</t>
  </si>
  <si>
    <t>&lt;a href='http://en.wikipedia.org/wiki/1994_French_Grand_Prix'&gt;1994_French_Grand_Prix&lt;/a&gt;</t>
  </si>
  <si>
    <t>&lt;a href='http://en.wikipedia.org/wiki/1994_British_Grand_Prix'&gt;1994_British_Grand_Prix&lt;/a&gt;</t>
  </si>
  <si>
    <t>&lt;a href='http://en.wikipedia.org/wiki/1994_German_Grand_Prix'&gt;1994_German_Grand_Prix&lt;/a&gt;</t>
  </si>
  <si>
    <t>&lt;a href='http://en.wikipedia.org/wiki/1994_Hungarian_Grand_Prix'&gt;1994_Hungarian_Grand_Prix&lt;/a&gt;</t>
  </si>
  <si>
    <t>&lt;a href='http://en.wikipedia.org/wiki/1994_Belgian_Grand_Prix'&gt;1994_Belgian_Grand_Prix&lt;/a&gt;</t>
  </si>
  <si>
    <t>&lt;a href='http://en.wikipedia.org/wiki/1994_Italian_Grand_Prix'&gt;1994_Italian_Grand_Prix&lt;/a&gt;</t>
  </si>
  <si>
    <t>&lt;a href='http://en.wikipedia.org/wiki/1994_Portuguese_Grand_Prix'&gt;1994_Portuguese_Grand_Prix&lt;/a&gt;</t>
  </si>
  <si>
    <t>&lt;a href='http://en.wikipedia.org/wiki/1994_European_Grand_Prix'&gt;1994_European_Grand_Prix&lt;/a&gt;</t>
  </si>
  <si>
    <t>&lt;a href='http://en.wikipedia.org/wiki/1994_Japanese_Grand_Prix'&gt;1994_Japanese_Grand_Prix&lt;/a&gt;</t>
  </si>
  <si>
    <t>&lt;a href='http://en.wikipedia.org/wiki/1994_Australian_Grand_Prix'&gt;1994_Australian_Grand_Prix&lt;/a&gt;</t>
  </si>
  <si>
    <t>&lt;a href='http://en.wikipedia.org/wiki/1995_Brazilian_Grand_Prix'&gt;1995_Brazilian_Grand_Prix&lt;/a&gt;</t>
  </si>
  <si>
    <t>&lt;a href='http://en.wikipedia.org/wiki/1995_Argentine_Grand_Prix'&gt;1995_Argentine_Grand_Prix&lt;/a&gt;</t>
  </si>
  <si>
    <t>&lt;a href='http://en.wikipedia.org/wiki/1995_San_Marino_Grand_Prix'&gt;1995_San_Marino_Grand_Prix&lt;/a&gt;</t>
  </si>
  <si>
    <t>&lt;a href='http://en.wikipedia.org/wiki/1995_Spanish_Grand_Prix'&gt;1995_Spanish_Grand_Prix&lt;/a&gt;</t>
  </si>
  <si>
    <t>&lt;a href='http://en.wikipedia.org/wiki/1995_Monaco_Grand_Prix'&gt;1995_Monaco_Grand_Prix&lt;/a&gt;</t>
  </si>
  <si>
    <t>&lt;a href='http://en.wikipedia.org/wiki/1995_Canadian_Grand_Prix'&gt;1995_Canadian_Grand_Prix&lt;/a&gt;</t>
  </si>
  <si>
    <t>&lt;a href='http://en.wikipedia.org/wiki/1995_French_Grand_Prix'&gt;1995_French_Grand_Prix&lt;/a&gt;</t>
  </si>
  <si>
    <t>&lt;a href='http://en.wikipedia.org/wiki/1995_British_Grand_Prix'&gt;1995_British_Grand_Prix&lt;/a&gt;</t>
  </si>
  <si>
    <t>&lt;a href='http://en.wikipedia.org/wiki/1995_German_Grand_Prix'&gt;1995_German_Grand_Prix&lt;/a&gt;</t>
  </si>
  <si>
    <t>&lt;a href='http://en.wikipedia.org/wiki/1995_Hungarian_Grand_Prix'&gt;1995_Hungarian_Grand_Prix&lt;/a&gt;</t>
  </si>
  <si>
    <t>&lt;a href='http://en.wikipedia.org/wiki/1995_Belgian_Grand_Prix'&gt;1995_Belgian_Grand_Prix&lt;/a&gt;</t>
  </si>
  <si>
    <t>&lt;a href='http://en.wikipedia.org/wiki/1995_Italian_Grand_Prix'&gt;1995_Italian_Grand_Prix&lt;/a&gt;</t>
  </si>
  <si>
    <t>&lt;a href='http://en.wikipedia.org/wiki/1995_Portuguese_Grand_Prix'&gt;1995_Portuguese_Grand_Prix&lt;/a&gt;</t>
  </si>
  <si>
    <t>&lt;a href='http://en.wikipedia.org/wiki/1995_European_Grand_Prix'&gt;1995_European_Grand_Prix&lt;/a&gt;</t>
  </si>
  <si>
    <t>&lt;a href='http://en.wikipedia.org/wiki/1995_Pacific_Grand_Prix'&gt;1995_Pacific_Grand_Prix&lt;/a&gt;</t>
  </si>
  <si>
    <t>&lt;a href='http://en.wikipedia.org/wiki/1995_Japanese_Grand_Prix'&gt;1995_Japanese_Grand_Prix&lt;/a&gt;</t>
  </si>
  <si>
    <t>&lt;a href='http://en.wikipedia.org/wiki/1995_Australian_Grand_Prix'&gt;1995_Australian_Grand_Prix&lt;/a&gt;</t>
  </si>
  <si>
    <t>&lt;a href='http://en.wikipedia.org/wiki/1996_Australian_Grand_Prix'&gt;1996_Australian_Grand_Prix&lt;/a&gt;</t>
  </si>
  <si>
    <t>&lt;a href='http://en.wikipedia.org/wiki/1996_Brazilian_Grand_Prix'&gt;1996_Brazilian_Grand_Prix&lt;/a&gt;</t>
  </si>
  <si>
    <t>&lt;a href='http://en.wikipedia.org/wiki/1996_Argentine_Grand_Prix'&gt;1996_Argentine_Grand_Prix&lt;/a&gt;</t>
  </si>
  <si>
    <t>&lt;a href='http://en.wikipedia.org/wiki/1996_European_Grand_Prix'&gt;1996_European_Grand_Prix&lt;/a&gt;</t>
  </si>
  <si>
    <t>&lt;a href='http://en.wikipedia.org/wiki/1996_San_Marino_Grand_Prix'&gt;1996_San_Marino_Grand_Prix&lt;/a&gt;</t>
  </si>
  <si>
    <t>&lt;a href='http://en.wikipedia.org/wiki/1996_Monaco_Grand_Prix'&gt;1996_Monaco_Grand_Prix&lt;/a&gt;</t>
  </si>
  <si>
    <t>&lt;a href='http://en.wikipedia.org/wiki/1996_Spanish_Grand_Prix'&gt;1996_Spanish_Grand_Prix&lt;/a&gt;</t>
  </si>
  <si>
    <t>&lt;a href='http://en.wikipedia.org/wiki/1996_Canadian_Grand_Prix'&gt;1996_Canadian_Grand_Prix&lt;/a&gt;</t>
  </si>
  <si>
    <t>&lt;a href='http://en.wikipedia.org/wiki/1996_French_Grand_Prix'&gt;1996_French_Grand_Prix&lt;/a&gt;</t>
  </si>
  <si>
    <t>&lt;a href='http://en.wikipedia.org/wiki/1996_British_Grand_Prix'&gt;1996_British_Grand_Prix&lt;/a&gt;</t>
  </si>
  <si>
    <t>&lt;a href='http://en.wikipedia.org/wiki/1996_German_Grand_Prix'&gt;1996_German_Grand_Prix&lt;/a&gt;</t>
  </si>
  <si>
    <t>&lt;a href='http://en.wikipedia.org/wiki/1996_Hungarian_Grand_Prix'&gt;1996_Hungarian_Grand_Prix&lt;/a&gt;</t>
  </si>
  <si>
    <t>&lt;a href='http://en.wikipedia.org/wiki/1996_Belgian_Grand_Prix'&gt;1996_Belgian_Grand_Prix&lt;/a&gt;</t>
  </si>
  <si>
    <t>&lt;a href='http://en.wikipedia.org/wiki/1996_Italian_Grand_Prix'&gt;1996_Italian_Grand_Prix&lt;/a&gt;</t>
  </si>
  <si>
    <t>&lt;a href='http://en.wikipedia.org/wiki/1996_Portuguese_Grand_Prix'&gt;1996_Portuguese_Grand_Prix&lt;/a&gt;</t>
  </si>
  <si>
    <t>&lt;a href='http://en.wikipedia.org/wiki/1996_Japanese_Grand_Prix'&gt;1996_Japanese_Grand_Prix&lt;/a&gt;</t>
  </si>
  <si>
    <t>&lt;a href='http://en.wikipedia.org/wiki/1997_Australian_Grand_Prix'&gt;1997_Australian_Grand_Prix&lt;/a&gt;</t>
  </si>
  <si>
    <t>&lt;a href='http://en.wikipedia.org/wiki/1997_Brazilian_Grand_Prix'&gt;1997_Brazilian_Grand_Prix&lt;/a&gt;</t>
  </si>
  <si>
    <t>&lt;a href='http://en.wikipedia.org/wiki/1997_Argentine_Grand_Prix'&gt;1997_Argentine_Grand_Prix&lt;/a&gt;</t>
  </si>
  <si>
    <t>&lt;a href='http://en.wikipedia.org/wiki/1997_San_Marino_Grand_Prix'&gt;1997_San_Marino_Grand_Prix&lt;/a&gt;</t>
  </si>
  <si>
    <t>&lt;a href='http://en.wikipedia.org/wiki/1997_Monaco_Grand_Prix'&gt;1997_Monaco_Grand_Prix&lt;/a&gt;</t>
  </si>
  <si>
    <t>&lt;a href='http://en.wikipedia.org/wiki/1997_Spanish_Grand_Prix'&gt;1997_Spanish_Grand_Prix&lt;/a&gt;</t>
  </si>
  <si>
    <t>&lt;a href='http://en.wikipedia.org/wiki/1997_Canadian_Grand_Prix'&gt;1997_Canadian_Grand_Prix&lt;/a&gt;</t>
  </si>
  <si>
    <t>&lt;a href='http://en.wikipedia.org/wiki/1997_French_Grand_Prix'&gt;1997_French_Grand_Prix&lt;/a&gt;</t>
  </si>
  <si>
    <t>&lt;a href='http://en.wikipedia.org/wiki/1997_British_Grand_Prix'&gt;1997_British_Grand_Prix&lt;/a&gt;</t>
  </si>
  <si>
    <t>&lt;a href='http://en.wikipedia.org/wiki/1997_German_Grand_Prix'&gt;1997_German_Grand_Prix&lt;/a&gt;</t>
  </si>
  <si>
    <t>&lt;a href='http://en.wikipedia.org/wiki/1997_Hungarian_Grand_Prix'&gt;1997_Hungarian_Grand_Prix&lt;/a&gt;</t>
  </si>
  <si>
    <t>&lt;a href='http://en.wikipedia.org/wiki/1997_Belgian_Grand_Prix'&gt;1997_Belgian_Grand_Prix&lt;/a&gt;</t>
  </si>
  <si>
    <t>&lt;a href='http://en.wikipedia.org/wiki/1997_Italian_Grand_Prix'&gt;1997_Italian_Grand_Prix&lt;/a&gt;</t>
  </si>
  <si>
    <t>&lt;a href='http://en.wikipedia.org/wiki/1997_Austrian_Grand_Prix'&gt;1997_Austrian_Grand_Prix&lt;/a&gt;</t>
  </si>
  <si>
    <t>&lt;a href='http://en.wikipedia.org/wiki/1997_Luxembourg_Grand_Prix'&gt;1997_Luxembourg_Grand_Prix&lt;/a&gt;</t>
  </si>
  <si>
    <t>&lt;a href='http://en.wikipedia.org/wiki/1997_Japanese_Grand_Prix'&gt;1997_Japanese_Grand_Prix&lt;/a&gt;</t>
  </si>
  <si>
    <t>&lt;a href='http://en.wikipedia.org/wiki/1997_European_Grand_Prix'&gt;1997_European_Grand_Prix&lt;/a&gt;</t>
  </si>
  <si>
    <t>&lt;a href='http://en.wikipedia.org/wiki/1998_Australian_Grand_Prix'&gt;1998_Australian_Grand_Prix&lt;/a&gt;</t>
  </si>
  <si>
    <t>&lt;a href='http://en.wikipedia.org/wiki/1998_Brazilian_Grand_Prix'&gt;1998_Brazilian_Grand_Prix&lt;/a&gt;</t>
  </si>
  <si>
    <t>&lt;a href='http://en.wikipedia.org/wiki/1998_Argentine_Grand_Prix'&gt;1998_Argentine_Grand_Prix&lt;/a&gt;</t>
  </si>
  <si>
    <t>&lt;a href='http://en.wikipedia.org/wiki/1998_San_Marino_Grand_Prix'&gt;1998_San_Marino_Grand_Prix&lt;/a&gt;</t>
  </si>
  <si>
    <t>&lt;a href='http://en.wikipedia.org/wiki/1998_Spanish_Grand_Prix'&gt;1998_Spanish_Grand_Prix&lt;/a&gt;</t>
  </si>
  <si>
    <t>&lt;a href='http://en.wikipedia.org/wiki/1998_Monaco_Grand_Prix'&gt;1998_Monaco_Grand_Prix&lt;/a&gt;</t>
  </si>
  <si>
    <t>&lt;a href='http://en.wikipedia.org/wiki/1998_Canadian_Grand_Prix'&gt;1998_Canadian_Grand_Prix&lt;/a&gt;</t>
  </si>
  <si>
    <t>&lt;a href='http://en.wikipedia.org/wiki/1998_French_Grand_Prix'&gt;1998_French_Grand_Prix&lt;/a&gt;</t>
  </si>
  <si>
    <t>&lt;a href='http://en.wikipedia.org/wiki/1998_British_Grand_Prix'&gt;1998_British_Grand_Prix&lt;/a&gt;</t>
  </si>
  <si>
    <t>&lt;a href='http://en.wikipedia.org/wiki/1998_Austrian_Grand_Prix'&gt;1998_Austrian_Grand_Prix&lt;/a&gt;</t>
  </si>
  <si>
    <t>&lt;a href='http://en.wikipedia.org/wiki/1998_German_Grand_Prix'&gt;1998_German_Grand_Prix&lt;/a&gt;</t>
  </si>
  <si>
    <t>&lt;a href='http://en.wikipedia.org/wiki/1998_Hungarian_Grand_Prix'&gt;1998_Hungarian_Grand_Prix&lt;/a&gt;</t>
  </si>
  <si>
    <t>&lt;a href='http://en.wikipedia.org/wiki/1998_Belgian_Grand_Prix'&gt;1998_Belgian_Grand_Prix&lt;/a&gt;</t>
  </si>
  <si>
    <t>&lt;a href='http://en.wikipedia.org/wiki/1998_Italian_Grand_Prix'&gt;1998_Italian_Grand_Prix&lt;/a&gt;</t>
  </si>
  <si>
    <t>&lt;a href='http://en.wikipedia.org/wiki/1998_Luxembourg_Grand_Prix'&gt;1998_Luxembourg_Grand_Prix&lt;/a&gt;</t>
  </si>
  <si>
    <t>&lt;a href='http://en.wikipedia.org/wiki/1998_Japanese_Grand_Prix'&gt;1998_Japanese_Grand_Prix&lt;/a&gt;</t>
  </si>
  <si>
    <t>&lt;a href='http://en.wikipedia.org/wiki/1999_Australian_Grand_Prix'&gt;1999_Australian_Grand_Prix&lt;/a&gt;</t>
  </si>
  <si>
    <t>&lt;a href='http://en.wikipedia.org/wiki/1999_Brazilian_Grand_Prix'&gt;1999_Brazilian_Grand_Prix&lt;/a&gt;</t>
  </si>
  <si>
    <t>&lt;a href='http://en.wikipedia.org/wiki/1999_San_Marino_Grand_Prix'&gt;1999_San_Marino_Grand_Prix&lt;/a&gt;</t>
  </si>
  <si>
    <t>&lt;a href='http://en.wikipedia.org/wiki/1999_Monaco_Grand_Prix'&gt;1999_Monaco_Grand_Prix&lt;/a&gt;</t>
  </si>
  <si>
    <t>&lt;a href='http://en.wikipedia.org/wiki/1999_Spanish_Grand_Prix'&gt;1999_Spanish_Grand_Prix&lt;/a&gt;</t>
  </si>
  <si>
    <t>&lt;a href='http://en.wikipedia.org/wiki/1999_Canadian_Grand_Prix'&gt;1999_Canadian_Grand_Prix&lt;/a&gt;</t>
  </si>
  <si>
    <t>&lt;a href='http://en.wikipedia.org/wiki/1999_French_Grand_Prix'&gt;1999_French_Grand_Prix&lt;/a&gt;</t>
  </si>
  <si>
    <t>&lt;a href='http://en.wikipedia.org/wiki/1999_British_Grand_Prix'&gt;1999_British_Grand_Prix&lt;/a&gt;</t>
  </si>
  <si>
    <t>&lt;a href='http://en.wikipedia.org/wiki/1999_Austrian_Grand_Prix'&gt;1999_Austrian_Grand_Prix&lt;/a&gt;</t>
  </si>
  <si>
    <t>&lt;a href='http://en.wikipedia.org/wiki/1999_German_Grand_Prix'&gt;1999_German_Grand_Prix&lt;/a&gt;</t>
  </si>
  <si>
    <t>&lt;a href='http://en.wikipedia.org/wiki/1999_Hungarian_Grand_Prix'&gt;1999_Hungarian_Grand_Prix&lt;/a&gt;</t>
  </si>
  <si>
    <t>&lt;a href='http://en.wikipedia.org/wiki/1999_Belgian_Grand_Prix'&gt;1999_Belgian_Grand_Prix&lt;/a&gt;</t>
  </si>
  <si>
    <t>&lt;a href='http://en.wikipedia.org/wiki/1999_Italian_Grand_Prix'&gt;1999_Italian_Grand_Prix&lt;/a&gt;</t>
  </si>
  <si>
    <t>&lt;a href='http://en.wikipedia.org/wiki/1999_European_Grand_Prix'&gt;1999_European_Grand_Prix&lt;/a&gt;</t>
  </si>
  <si>
    <t>&lt;a href='http://en.wikipedia.org/wiki/1999_Malaysian_Grand_Prix'&gt;1999_Malaysian_Grand_Prix&lt;/a&gt;</t>
  </si>
  <si>
    <t>&lt;a href='http://en.wikipedia.org/wiki/1999_Japanese_Grand_Prix'&gt;1999_Japanese_Grand_Prix&lt;/a&gt;</t>
  </si>
  <si>
    <t>&lt;a href='http://en.wikipedia.org/wiki/2000_Australian_Grand_Prix'&gt;2000_Australian_Grand_Prix&lt;/a&gt;</t>
  </si>
  <si>
    <t>&lt;a href='http://en.wikipedia.org/wiki/2000_Brazilian_Grand_Prix'&gt;2000_Brazilian_Grand_Prix&lt;/a&gt;</t>
  </si>
  <si>
    <t>&lt;a href='http://en.wikipedia.org/wiki/2000_San_Marino_Grand_Prix'&gt;2000_San_Marino_Grand_Prix&lt;/a&gt;</t>
  </si>
  <si>
    <t>&lt;a href='http://en.wikipedia.org/wiki/2000_British_Grand_Prix'&gt;2000_British_Grand_Prix&lt;/a&gt;</t>
  </si>
  <si>
    <t>&lt;a href='http://en.wikipedia.org/wiki/2000_Spanish_Grand_Prix'&gt;2000_Spanish_Grand_Prix&lt;/a&gt;</t>
  </si>
  <si>
    <t>&lt;a href='http://en.wikipedia.org/wiki/2000_European_Grand_Prix'&gt;2000_European_Grand_Prix&lt;/a&gt;</t>
  </si>
  <si>
    <t>&lt;a href='http://en.wikipedia.org/wiki/2000_Monaco_Grand_Prix'&gt;2000_Monaco_Grand_Prix&lt;/a&gt;</t>
  </si>
  <si>
    <t>&lt;a href='http://en.wikipedia.org/wiki/2000_Canadian_Grand_Prix'&gt;2000_Canadian_Grand_Prix&lt;/a&gt;</t>
  </si>
  <si>
    <t>&lt;a href='http://en.wikipedia.org/wiki/2000_French_Grand_Prix'&gt;2000_French_Grand_Prix&lt;/a&gt;</t>
  </si>
  <si>
    <t>&lt;a href='http://en.wikipedia.org/wiki/2000_Austrian_Grand_Prix'&gt;2000_Austrian_Grand_Prix&lt;/a&gt;</t>
  </si>
  <si>
    <t>&lt;a href='http://en.wikipedia.org/wiki/2000_German_Grand_Prix'&gt;2000_German_Grand_Prix&lt;/a&gt;</t>
  </si>
  <si>
    <t>&lt;a href='http://en.wikipedia.org/wiki/2000_Hungarian_Grand_Prix'&gt;2000_Hungarian_Grand_Prix&lt;/a&gt;</t>
  </si>
  <si>
    <t>&lt;a href='http://en.wikipedia.org/wiki/2000_Belgian_Grand_Prix'&gt;2000_Belgian_Grand_Prix&lt;/a&gt;</t>
  </si>
  <si>
    <t>&lt;a href='http://en.wikipedia.org/wiki/2000_Italian_Grand_Prix'&gt;2000_Italian_Grand_Prix&lt;/a&gt;</t>
  </si>
  <si>
    <t>&lt;a href='http://en.wikipedia.org/wiki/2000_United_States_Grand_Prix'&gt;2000_United_States_Grand_Prix&lt;/a&gt;</t>
  </si>
  <si>
    <t>&lt;a href='http://en.wikipedia.org/wiki/2000_Japanese_Grand_Prix'&gt;2000_Japanese_Grand_Prix&lt;/a&gt;</t>
  </si>
  <si>
    <t>&lt;a href='http://en.wikipedia.org/wiki/2000_Malaysian_Grand_Prix'&gt;2000_Malaysian_Grand_Prix&lt;/a&gt;</t>
  </si>
  <si>
    <t>&lt;a href='http://en.wikipedia.org/wiki/2001_Australian_Grand_Prix'&gt;2001_Australian_Grand_Prix&lt;/a&gt;</t>
  </si>
  <si>
    <t>&lt;a href='http://en.wikipedia.org/wiki/2001_Malaysian_Grand_Prix'&gt;2001_Malaysian_Grand_Prix&lt;/a&gt;</t>
  </si>
  <si>
    <t>&lt;a href='http://en.wikipedia.org/wiki/2001_Brazilian_Grand_Prix'&gt;2001_Brazilian_Grand_Prix&lt;/a&gt;</t>
  </si>
  <si>
    <t>&lt;a href='http://en.wikipedia.org/wiki/2001_San_Marino_Grand_Prix'&gt;2001_San_Marino_Grand_Prix&lt;/a&gt;</t>
  </si>
  <si>
    <t>&lt;a href='http://en.wikipedia.org/wiki/2001_Spanish_Grand_Prix'&gt;2001_Spanish_Grand_Prix&lt;/a&gt;</t>
  </si>
  <si>
    <t>&lt;a href='http://en.wikipedia.org/wiki/2001_Austrian_Grand_Prix'&gt;2001_Austrian_Grand_Prix&lt;/a&gt;</t>
  </si>
  <si>
    <t>&lt;a href='http://en.wikipedia.org/wiki/2001_Monaco_Grand_Prix'&gt;2001_Monaco_Grand_Prix&lt;/a&gt;</t>
  </si>
  <si>
    <t>&lt;a href='http://en.wikipedia.org/wiki/2001_Canadian_Grand_Prix'&gt;2001_Canadian_Grand_Prix&lt;/a&gt;</t>
  </si>
  <si>
    <t>&lt;a href='http://en.wikipedia.org/wiki/2001_European_Grand_Prix'&gt;2001_European_Grand_Prix&lt;/a&gt;</t>
  </si>
  <si>
    <t>&lt;a href='http://en.wikipedia.org/wiki/2001_French_Grand_Prix'&gt;2001_French_Grand_Prix&lt;/a&gt;</t>
  </si>
  <si>
    <t>&lt;a href='http://en.wikipedia.org/wiki/2001_British_Grand_Prix'&gt;2001_British_Grand_Prix&lt;/a&gt;</t>
  </si>
  <si>
    <t>&lt;a href='http://en.wikipedia.org/wiki/2001_German_Grand_Prix'&gt;2001_German_Grand_Prix&lt;/a&gt;</t>
  </si>
  <si>
    <t>&lt;a href='http://en.wikipedia.org/wiki/2001_Hungarian_Grand_Prix'&gt;2001_Hungarian_Grand_Prix&lt;/a&gt;</t>
  </si>
  <si>
    <t>&lt;a href='http://en.wikipedia.org/wiki/2001_Belgian_Grand_Prix'&gt;2001_Belgian_Grand_Prix&lt;/a&gt;</t>
  </si>
  <si>
    <t>&lt;a href='http://en.wikipedia.org/wiki/2001_Italian_Grand_Prix'&gt;2001_Italian_Grand_Prix&lt;/a&gt;</t>
  </si>
  <si>
    <t>&lt;a href='http://en.wikipedia.org/wiki/2001_United_States_Grand_Prix'&gt;2001_United_States_Grand_Prix&lt;/a&gt;</t>
  </si>
  <si>
    <t>&lt;a href='http://en.wikipedia.org/wiki/2001_Japanese_Grand_Prix'&gt;2001_Japanese_Grand_Prix&lt;/a&gt;</t>
  </si>
  <si>
    <t>&lt;a href='http://en.wikipedia.org/wiki/2002_Australian_Grand_Prix'&gt;2002_Australian_Grand_Prix&lt;/a&gt;</t>
  </si>
  <si>
    <t>&lt;a href='http://en.wikipedia.org/wiki/2002_Malaysian_Grand_Prix'&gt;2002_Malaysian_Grand_Prix&lt;/a&gt;</t>
  </si>
  <si>
    <t>&lt;a href='http://en.wikipedia.org/wiki/2002_Brazilian_Grand_Prix'&gt;2002_Brazilian_Grand_Prix&lt;/a&gt;</t>
  </si>
  <si>
    <t>&lt;a href='http://en.wikipedia.org/wiki/2002_San_Marino_Grand_Prix'&gt;2002_San_Marino_Grand_Prix&lt;/a&gt;</t>
  </si>
  <si>
    <t>&lt;a href='http://en.wikipedia.org/wiki/2002_Spanish_Grand_Prix'&gt;2002_Spanish_Grand_Prix&lt;/a&gt;</t>
  </si>
  <si>
    <t>&lt;a href='http://en.wikipedia.org/wiki/2002_Austrian_Grand_Prix'&gt;2002_Austrian_Grand_Prix&lt;/a&gt;</t>
  </si>
  <si>
    <t>&lt;a href='http://en.wikipedia.org/wiki/2002_Monaco_Grand_Prix'&gt;2002_Monaco_Grand_Prix&lt;/a&gt;</t>
  </si>
  <si>
    <t>&lt;a href='http://en.wikipedia.org/wiki/2002_Canadian_Grand_Prix'&gt;2002_Canadian_Grand_Prix&lt;/a&gt;</t>
  </si>
  <si>
    <t>&lt;a href='http://en.wikipedia.org/wiki/2002_European_Grand_Prix'&gt;2002_European_Grand_Prix&lt;/a&gt;</t>
  </si>
  <si>
    <t>&lt;a href='http://en.wikipedia.org/wiki/2002_British_Grand_Prix'&gt;2002_British_Grand_Prix&lt;/a&gt;</t>
  </si>
  <si>
    <t>&lt;a href='http://en.wikipedia.org/wiki/2002_French_Grand_Prix'&gt;2002_French_Grand_Prix&lt;/a&gt;</t>
  </si>
  <si>
    <t>&lt;a href='http://en.wikipedia.org/wiki/2002_German_Grand_Prix'&gt;2002_German_Grand_Prix&lt;/a&gt;</t>
  </si>
  <si>
    <t>&lt;a href='http://en.wikipedia.org/wiki/2002_Hungarian_Grand_Prix'&gt;2002_Hungarian_Grand_Prix&lt;/a&gt;</t>
  </si>
  <si>
    <t>&lt;a href='http://en.wikipedia.org/wiki/2002_Belgian_Grand_Prix'&gt;2002_Belgian_Grand_Prix&lt;/a&gt;</t>
  </si>
  <si>
    <t>&lt;a href='http://en.wikipedia.org/wiki/2002_Italian_Grand_Prix'&gt;2002_Italian_Grand_Prix&lt;/a&gt;</t>
  </si>
  <si>
    <t>&lt;a href='http://en.wikipedia.org/wiki/2002_United_States_Grand_Prix'&gt;2002_United_States_Grand_Prix&lt;/a&gt;</t>
  </si>
  <si>
    <t>&lt;a href='http://en.wikipedia.org/wiki/2002_Japanese_Grand_Prix'&gt;2002_Japanese_Grand_Prix&lt;/a&gt;</t>
  </si>
  <si>
    <t>&lt;a href='http://en.wikipedia.org/wiki/2003_Australian_Grand_Prix'&gt;2003_Australian_Grand_Prix&lt;/a&gt;</t>
  </si>
  <si>
    <t>&lt;a href='http://en.wikipedia.org/wiki/2003_Malaysian_Grand_Prix'&gt;2003_Malaysian_Grand_Prix&lt;/a&gt;</t>
  </si>
  <si>
    <t>&lt;a href='http://en.wikipedia.org/wiki/2003_Brazilian_Grand_Prix'&gt;2003_Brazilian_Grand_Prix&lt;/a&gt;</t>
  </si>
  <si>
    <t>&lt;a href='http://en.wikipedia.org/wiki/2003_San_Marino_Grand_Prix'&gt;2003_San_Marino_Grand_Prix&lt;/a&gt;</t>
  </si>
  <si>
    <t>&lt;a href='http://en.wikipedia.org/wiki/2003_Spanish_Grand_Prix'&gt;2003_Spanish_Grand_Prix&lt;/a&gt;</t>
  </si>
  <si>
    <t>&lt;a href='http://en.wikipedia.org/wiki/2003_Austrian_Grand_Prix'&gt;2003_Austrian_Grand_Prix&lt;/a&gt;</t>
  </si>
  <si>
    <t>&lt;a href='http://en.wikipedia.org/wiki/2003_Monaco_Grand_Prix'&gt;2003_Monaco_Grand_Prix&lt;/a&gt;</t>
  </si>
  <si>
    <t>&lt;a href='http://en.wikipedia.org/wiki/2003_Canadian_Grand_Prix'&gt;2003_Canadian_Grand_Prix&lt;/a&gt;</t>
  </si>
  <si>
    <t>&lt;a href='http://en.wikipedia.org/wiki/2003_European_Grand_Prix'&gt;2003_European_Grand_Prix&lt;/a&gt;</t>
  </si>
  <si>
    <t>&lt;a href='http://en.wikipedia.org/wiki/2003_French_Grand_Prix'&gt;2003_French_Grand_Prix&lt;/a&gt;</t>
  </si>
  <si>
    <t>&lt;a href='http://en.wikipedia.org/wiki/2003_British_Grand_Prix'&gt;2003_British_Grand_Prix&lt;/a&gt;</t>
  </si>
  <si>
    <t>&lt;a href='http://en.wikipedia.org/wiki/2003_German_Grand_Prix'&gt;2003_German_Grand_Prix&lt;/a&gt;</t>
  </si>
  <si>
    <t>&lt;a href='http://en.wikipedia.org/wiki/2003_Hungarian_Grand_Prix'&gt;2003_Hungarian_Grand_Prix&lt;/a&gt;</t>
  </si>
  <si>
    <t>&lt;a href='http://en.wikipedia.org/wiki/2003_Italian_Grand_Prix'&gt;2003_Italian_Grand_Prix&lt;/a&gt;</t>
  </si>
  <si>
    <t>&lt;a href='http://en.wikipedia.org/wiki/2003_United_States_Grand_Prix'&gt;2003_United_States_Grand_Prix&lt;/a&gt;</t>
  </si>
  <si>
    <t>&lt;a href='http://en.wikipedia.org/wiki/2003_Japanese_Grand_Prix'&gt;2003_Japanese_Grand_Prix&lt;/a&gt;</t>
  </si>
  <si>
    <t>&lt;a href='http://en.wikipedia.org/wiki/2004_Australian_Grand_Prix'&gt;2004_Australian_Grand_Prix&lt;/a&gt;</t>
  </si>
  <si>
    <t>&lt;a href='http://en.wikipedia.org/wiki/2004_Malaysian_Grand_Prix'&gt;2004_Malaysian_Grand_Prix&lt;/a&gt;</t>
  </si>
  <si>
    <t>&lt;a href='http://en.wikipedia.org/wiki/2004_Bahrain_Grand_Prix'&gt;2004_Bahrain_Grand_Prix&lt;/a&gt;</t>
  </si>
  <si>
    <t>&lt;a href='http://en.wikipedia.org/wiki/2004_San_Marino_Grand_Prix'&gt;2004_San_Marino_Grand_Prix&lt;/a&gt;</t>
  </si>
  <si>
    <t>&lt;a href='http://en.wikipedia.org/wiki/2004_Spanish_Grand_Prix'&gt;2004_Spanish_Grand_Prix&lt;/a&gt;</t>
  </si>
  <si>
    <t>&lt;a href='http://en.wikipedia.org/wiki/2004_Monaco_Grand_Prix'&gt;2004_Monaco_Grand_Prix&lt;/a&gt;</t>
  </si>
  <si>
    <t>&lt;a href='http://en.wikipedia.org/wiki/2004_European_Grand_Prix'&gt;2004_European_Grand_Prix&lt;/a&gt;</t>
  </si>
  <si>
    <t>&lt;a href='http://en.wikipedia.org/wiki/2004_Canadian_Grand_Prix'&gt;2004_Canadian_Grand_Prix&lt;/a&gt;</t>
  </si>
  <si>
    <t>&lt;a href='http://en.wikipedia.org/wiki/2004_United_States_Grand_Prix'&gt;2004_United_States_Grand_Prix&lt;/a&gt;</t>
  </si>
  <si>
    <t>&lt;a href='http://en.wikipedia.org/wiki/2004_French_Grand_Prix'&gt;2004_French_Grand_Prix&lt;/a&gt;</t>
  </si>
  <si>
    <t>&lt;a href='http://en.wikipedia.org/wiki/2004_British_Grand_Prix'&gt;2004_British_Grand_Prix&lt;/a&gt;</t>
  </si>
  <si>
    <t>&lt;a href='http://en.wikipedia.org/wiki/2004_German_Grand_Prix'&gt;2004_German_Grand_Prix&lt;/a&gt;</t>
  </si>
  <si>
    <t>&lt;a href='http://en.wikipedia.org/wiki/2004_Hungarian_Grand_Prix'&gt;2004_Hungarian_Grand_Prix&lt;/a&gt;</t>
  </si>
  <si>
    <t>&lt;a href='http://en.wikipedia.org/wiki/2004_Belgian_Grand_Prix'&gt;2004_Belgian_Grand_Prix&lt;/a&gt;</t>
  </si>
  <si>
    <t>&lt;a href='http://en.wikipedia.org/wiki/2004_Italian_Grand_Prix'&gt;2004_Italian_Grand_Prix&lt;/a&gt;</t>
  </si>
  <si>
    <t>&lt;a href='http://en.wikipedia.org/wiki/2004_Chinese_Grand_Prix'&gt;2004_Chinese_Grand_Prix&lt;/a&gt;</t>
  </si>
  <si>
    <t>&lt;a href='http://en.wikipedia.org/wiki/2004_Japanese_Grand_Prix'&gt;2004_Japanese_Grand_Prix&lt;/a&gt;</t>
  </si>
  <si>
    <t>&lt;a href='http://en.wikipedia.org/wiki/2004_Brazilian_Grand_Prix'&gt;2004_Brazilian_Grand_Prix&lt;/a&gt;</t>
  </si>
  <si>
    <t>&lt;a href='http://en.wikipedia.org/wiki/2005_Australian_Grand_Prix'&gt;2005_Australian_Grand_Prix&lt;/a&gt;</t>
  </si>
  <si>
    <t>&lt;a href='http://en.wikipedia.org/wiki/2005_Malaysian_Grand_Prix'&gt;2005_Malaysian_Grand_Prix&lt;/a&gt;</t>
  </si>
  <si>
    <t>&lt;a href='http://en.wikipedia.org/wiki/2005_Bahrain_Grand_Prix'&gt;2005_Bahrain_Grand_Prix&lt;/a&gt;</t>
  </si>
  <si>
    <t>&lt;a href='http://en.wikipedia.org/wiki/2005_San_Marino_Grand_Prix'&gt;2005_San_Marino_Grand_Prix&lt;/a&gt;</t>
  </si>
  <si>
    <t>&lt;a href='http://en.wikipedia.org/wiki/2005_Spanish_Grand_Prix'&gt;2005_Spanish_Grand_Prix&lt;/a&gt;</t>
  </si>
  <si>
    <t>&lt;a href='http://en.wikipedia.org/wiki/2005_Monaco_Grand_Prix'&gt;2005_Monaco_Grand_Prix&lt;/a&gt;</t>
  </si>
  <si>
    <t>&lt;a href='http://en.wikipedia.org/wiki/2005_European_Grand_Prix'&gt;2005_European_Grand_Prix&lt;/a&gt;</t>
  </si>
  <si>
    <t>&lt;a href='http://en.wikipedia.org/wiki/2005_Canadian_Grand_Prix'&gt;2005_Canadian_Grand_Prix&lt;/a&gt;</t>
  </si>
  <si>
    <t>&lt;a href='http://en.wikipedia.org/wiki/2005_United_States_Grand_Prix'&gt;2005_United_States_Grand_Prix&lt;/a&gt;</t>
  </si>
  <si>
    <t>&lt;a href='http://en.wikipedia.org/wiki/2005_French_Grand_Prix'&gt;2005_French_Grand_Prix&lt;/a&gt;</t>
  </si>
  <si>
    <t>&lt;a href='http://en.wikipedia.org/wiki/2005_British_Grand_Prix'&gt;2005_British_Grand_Prix&lt;/a&gt;</t>
  </si>
  <si>
    <t>&lt;a href='http://en.wikipedia.org/wiki/2005_German_Grand_Prix'&gt;2005_German_Grand_Prix&lt;/a&gt;</t>
  </si>
  <si>
    <t>&lt;a href='http://en.wikipedia.org/wiki/2005_Hungarian_Grand_Prix'&gt;2005_Hungarian_Grand_Prix&lt;/a&gt;</t>
  </si>
  <si>
    <t>&lt;a href='http://en.wikipedia.org/wiki/2005_Turkish_Grand_Prix'&gt;2005_Turkish_Grand_Prix&lt;/a&gt;</t>
  </si>
  <si>
    <t>&lt;a href='http://en.wikipedia.org/wiki/2005_Italian_Grand_Prix'&gt;2005_Italian_Grand_Prix&lt;/a&gt;</t>
  </si>
  <si>
    <t>&lt;a href='http://en.wikipedia.org/wiki/2005_Belgian_Grand_Prix'&gt;2005_Belgian_Grand_Prix&lt;/a&gt;</t>
  </si>
  <si>
    <t>&lt;a href='http://en.wikipedia.org/wiki/2005_Brazilian_Grand_Prix'&gt;2005_Brazilian_Grand_Prix&lt;/a&gt;</t>
  </si>
  <si>
    <t>&lt;a href='http://en.wikipedia.org/wiki/2005_Japanese_Grand_Prix'&gt;2005_Japanese_Grand_Prix&lt;/a&gt;</t>
  </si>
  <si>
    <t>&lt;a href='http://en.wikipedia.org/wiki/2005_Chinese_Grand_Prix'&gt;2005_Chinese_Grand_Prix&lt;/a&gt;</t>
  </si>
  <si>
    <t>&lt;a href='http://en.wikipedia.org/wiki/2006_Bahrain_Grand_Prix'&gt;2006_Bahrain_Grand_Prix&lt;/a&gt;</t>
  </si>
  <si>
    <t>&lt;a href='http://en.wikipedia.org/wiki/2006_Malaysian_Grand_Prix'&gt;2006_Malaysian_Grand_Prix&lt;/a&gt;</t>
  </si>
  <si>
    <t>&lt;a href='http://en.wikipedia.org/wiki/2006_Australian_Grand_Prix'&gt;2006_Australian_Grand_Prix&lt;/a&gt;</t>
  </si>
  <si>
    <t>&lt;a href='http://en.wikipedia.org/wiki/2006_San_Marino_Grand_Prix'&gt;2006_San_Marino_Grand_Prix&lt;/a&gt;</t>
  </si>
  <si>
    <t>&lt;a href='http://en.wikipedia.org/wiki/2006_European_Grand_Prix'&gt;2006_European_Grand_Prix&lt;/a&gt;</t>
  </si>
  <si>
    <t>&lt;a href='http://en.wikipedia.org/wiki/2006_Spanish_Grand_Prix'&gt;2006_Spanish_Grand_Prix&lt;/a&gt;</t>
  </si>
  <si>
    <t>&lt;a href='http://en.wikipedia.org/wiki/2006_Monaco_Grand_Prix'&gt;2006_Monaco_Grand_Prix&lt;/a&gt;</t>
  </si>
  <si>
    <t>&lt;a href='http://en.wikipedia.org/wiki/2006_British_Grand_Prix'&gt;2006_British_Grand_Prix&lt;/a&gt;</t>
  </si>
  <si>
    <t>&lt;a href='http://en.wikipedia.org/wiki/2006_Canadian_Grand_Prix'&gt;2006_Canadian_Grand_Prix&lt;/a&gt;</t>
  </si>
  <si>
    <t>&lt;a href='http://en.wikipedia.org/wiki/2006_United_States_Grand_Prix'&gt;2006_United_States_Grand_Prix&lt;/a&gt;</t>
  </si>
  <si>
    <t>&lt;a href='http://en.wikipedia.org/wiki/2006_French_Grand_Prix'&gt;2006_French_Grand_Prix&lt;/a&gt;</t>
  </si>
  <si>
    <t>&lt;a href='http://en.wikipedia.org/wiki/2006_German_Grand_Prix'&gt;2006_German_Grand_Prix&lt;/a&gt;</t>
  </si>
  <si>
    <t>&lt;a href='http://en.wikipedia.org/wiki/2006_Hungarian_Grand_Prix'&gt;2006_Hungarian_Grand_Prix&lt;/a&gt;</t>
  </si>
  <si>
    <t>&lt;a href='http://en.wikipedia.org/wiki/2006_Turkish_Grand_Prix'&gt;2006_Turkish_Grand_Prix&lt;/a&gt;</t>
  </si>
  <si>
    <t>&lt;a href='http://en.wikipedia.org/wiki/2006_Italian_Grand_Prix'&gt;2006_Italian_Grand_Prix&lt;/a&gt;</t>
  </si>
  <si>
    <t>&lt;a href='http://en.wikipedia.org/wiki/2006_Chinese_Grand_Prix'&gt;2006_Chinese_Grand_Prix&lt;/a&gt;</t>
  </si>
  <si>
    <t>&lt;a href='http://en.wikipedia.org/wiki/2006_Japanese_Grand_Prix'&gt;2006_Japanese_Grand_Prix&lt;/a&gt;</t>
  </si>
  <si>
    <t>&lt;a href='http://en.wikipedia.org/wiki/2006_Brazilian_Grand_Prix'&gt;2006_Brazilian_Grand_Prix&lt;/a&gt;</t>
  </si>
  <si>
    <t>&lt;a href='http://en.wikipedia.org/wiki/2007_Australian_Grand_Prix'&gt;2007_Australian_Grand_Prix&lt;/a&gt;</t>
  </si>
  <si>
    <t>&lt;a href='http://en.wikipedia.org/wiki/2007_Malaysian_Grand_Prix'&gt;2007_Malaysian_Grand_Prix&lt;/a&gt;</t>
  </si>
  <si>
    <t>&lt;a href='http://en.wikipedia.org/wiki/2007_Bahrain_Grand_Prix'&gt;2007_Bahrain_Grand_Prix&lt;/a&gt;</t>
  </si>
  <si>
    <t>&lt;a href='http://en.wikipedia.org/wiki/2007_Spanish_Grand_Prix'&gt;2007_Spanish_Grand_Prix&lt;/a&gt;</t>
  </si>
  <si>
    <t>&lt;a href='http://en.wikipedia.org/wiki/2007_Monaco_Grand_Prix'&gt;2007_Monaco_Grand_Prix&lt;/a&gt;</t>
  </si>
  <si>
    <t>&lt;a href='http://en.wikipedia.org/wiki/2007_Canadian_Grand_Prix'&gt;2007_Canadian_Grand_Prix&lt;/a&gt;</t>
  </si>
  <si>
    <t>&lt;a href='http://en.wikipedia.org/wiki/2007_United_States_Grand_Prix'&gt;2007_United_States_Grand_Prix&lt;/a&gt;</t>
  </si>
  <si>
    <t>&lt;a href='http://en.wikipedia.org/wiki/2007_French_Grand_Prix'&gt;2007_French_Grand_Prix&lt;/a&gt;</t>
  </si>
  <si>
    <t>&lt;a href='http://en.wikipedia.org/wiki/2007_British_Grand_Prix'&gt;2007_British_Grand_Prix&lt;/a&gt;</t>
  </si>
  <si>
    <t>&lt;a href='http://en.wikipedia.org/wiki/2007_European_Grand_Prix'&gt;2007_European_Grand_Prix&lt;/a&gt;</t>
  </si>
  <si>
    <t>&lt;a href='http://en.wikipedia.org/wiki/2007_Hungarian_Grand_Prix'&gt;2007_Hungarian_Grand_Prix&lt;/a&gt;</t>
  </si>
  <si>
    <t>&lt;a href='http://en.wikipedia.org/wiki/2007_Turkish_Grand_Prix'&gt;2007_Turkish_Grand_Prix&lt;/a&gt;</t>
  </si>
  <si>
    <t>&lt;a href='http://en.wikipedia.org/wiki/2007_Italian_Grand_Prix'&gt;2007_Italian_Grand_Prix&lt;/a&gt;</t>
  </si>
  <si>
    <t>&lt;a href='http://en.wikipedia.org/wiki/2007_Belgian_Grand_Prix'&gt;2007_Belgian_Grand_Prix&lt;/a&gt;</t>
  </si>
  <si>
    <t>&lt;a href='http://en.wikipedia.org/wiki/2007_Japanese_Grand_Prix'&gt;2007_Japanese_Grand_Prix&lt;/a&gt;</t>
  </si>
  <si>
    <t>&lt;a href='http://en.wikipedia.org/wiki/2007_Chinese_Grand_Prix'&gt;2007_Chinese_Grand_Prix&lt;/a&gt;</t>
  </si>
  <si>
    <t>&lt;a href='http://en.wikipedia.org/wiki/2007_Brazilian_Grand_Prix'&gt;2007_Brazilian_Grand_Prix&lt;/a&gt;</t>
  </si>
  <si>
    <t>&lt;a href='http://en.wikipedia.org/wiki/2008_Australian_Grand_Prix'&gt;2008_Australian_Grand_Prix&lt;/a&gt;</t>
  </si>
  <si>
    <t>&lt;a href='http://en.wikipedia.org/wiki/2008_Malaysian_Grand_Prix'&gt;2008_Malaysian_Grand_Prix&lt;/a&gt;</t>
  </si>
  <si>
    <t>&lt;a href='http://en.wikipedia.org/wiki/2008_Bahrain_Grand_Prix'&gt;2008_Bahrain_Grand_Prix&lt;/a&gt;</t>
  </si>
  <si>
    <t>&lt;a href='http://en.wikipedia.org/wiki/2008_Spanish_Grand_Prix'&gt;2008_Spanish_Grand_Prix&lt;/a&gt;</t>
  </si>
  <si>
    <t>&lt;a href='http://en.wikipedia.org/wiki/2008_Turkish_Grand_Prix'&gt;2008_Turkish_Grand_Prix&lt;/a&gt;</t>
  </si>
  <si>
    <t>&lt;a href='http://en.wikipedia.org/wiki/2008_Monaco_Grand_Prix'&gt;2008_Monaco_Grand_Prix&lt;/a&gt;</t>
  </si>
  <si>
    <t>&lt;a href='http://en.wikipedia.org/wiki/2008_Canadian_Grand_Prix'&gt;2008_Canadian_Grand_Prix&lt;/a&gt;</t>
  </si>
  <si>
    <t>&lt;a href='http://en.wikipedia.org/wiki/2008_French_Grand_Prix'&gt;2008_French_Grand_Prix&lt;/a&gt;</t>
  </si>
  <si>
    <t>&lt;a href='http://en.wikipedia.org/wiki/2008_British_Grand_Prix'&gt;2008_British_Grand_Prix&lt;/a&gt;</t>
  </si>
  <si>
    <t>&lt;a href='http://en.wikipedia.org/wiki/2008_German_Grand_Prix'&gt;2008_German_Grand_Prix&lt;/a&gt;</t>
  </si>
  <si>
    <t>&lt;a href='http://en.wikipedia.org/wiki/2008_Hungarian_Grand_Prix'&gt;2008_Hungarian_Grand_Prix&lt;/a&gt;</t>
  </si>
  <si>
    <t>&lt;a href='http://en.wikipedia.org/wiki/2008_European_Grand_Prix'&gt;2008_European_Grand_Prix&lt;/a&gt;</t>
  </si>
  <si>
    <t>&lt;a href='http://en.wikipedia.org/wiki/2008_Belgian_Grand_Prix'&gt;2008_Belgian_Grand_Prix&lt;/a&gt;</t>
  </si>
  <si>
    <t>&lt;a href='http://en.wikipedia.org/wiki/2008_Italian_Grand_Prix'&gt;2008_Italian_Grand_Prix&lt;/a&gt;</t>
  </si>
  <si>
    <t>&lt;a href='http://en.wikipedia.org/wiki/2008_Singapore_Grand_Prix'&gt;2008_Singapore_Grand_Prix&lt;/a&gt;</t>
  </si>
  <si>
    <t>&lt;a href='http://en.wikipedia.org/wiki/2008_Japanese_Grand_Prix'&gt;2008_Japanese_Grand_Prix&lt;/a&gt;</t>
  </si>
  <si>
    <t>&lt;a href='http://en.wikipedia.org/wiki/2008_Chinese_Grand_Prix'&gt;2008_Chinese_Grand_Prix&lt;/a&gt;</t>
  </si>
  <si>
    <t>&lt;a href='http://en.wikipedia.org/wiki/2008_Brazilian_Grand_Prix'&gt;2008_Brazilian_Grand_Prix&lt;/a&gt;</t>
  </si>
  <si>
    <t>&lt;a href='http://en.wikipedia.org/wiki/2009_Australian_Grand_Prix'&gt;2009_Australian_Grand_Prix&lt;/a&gt;</t>
  </si>
  <si>
    <t>&lt;a href='http://en.wikipedia.org/wiki/2009_Malaysian_Grand_Prix'&gt;2009_Malaysian_Grand_Prix&lt;/a&gt;</t>
  </si>
  <si>
    <t>&lt;a href='http://en.wikipedia.org/wiki/2009_Chinese_Grand_Prix'&gt;2009_Chinese_Grand_Prix&lt;/a&gt;</t>
  </si>
  <si>
    <t>&lt;a href='http://en.wikipedia.org/wiki/2009_Bahrain_Grand_Prix'&gt;2009_Bahrain_Grand_Prix&lt;/a&gt;</t>
  </si>
  <si>
    <t>&lt;a href='http://en.wikipedia.org/wiki/2009_Spanish_Grand_Prix'&gt;2009_Spanish_Grand_Prix&lt;/a&gt;</t>
  </si>
  <si>
    <t>&lt;a href='http://en.wikipedia.org/wiki/2009_Monaco_Grand_Prix'&gt;2009_Monaco_Grand_Prix&lt;/a&gt;</t>
  </si>
  <si>
    <t>&lt;a href='http://en.wikipedia.org/wiki/2009_Turkish_Grand_Prix'&gt;2009_Turkish_Grand_Prix&lt;/a&gt;</t>
  </si>
  <si>
    <t>&lt;a href='http://en.wikipedia.org/wiki/2009_British_Grand_Prix'&gt;2009_British_Grand_Prix&lt;/a&gt;</t>
  </si>
  <si>
    <t>&lt;a href='http://en.wikipedia.org/wiki/2009_German_Grand_Prix'&gt;2009_German_Grand_Prix&lt;/a&gt;</t>
  </si>
  <si>
    <t>&lt;a href='http://en.wikipedia.org/wiki/2009_Hungarian_Grand_Prix'&gt;2009_Hungarian_Grand_Prix&lt;/a&gt;</t>
  </si>
  <si>
    <t>&lt;a href='http://en.wikipedia.org/wiki/2009_European_Grand_Prix'&gt;2009_European_Grand_Prix&lt;/a&gt;</t>
  </si>
  <si>
    <t>&lt;a href='http://en.wikipedia.org/wiki/2009_Belgian_Grand_Prix'&gt;2009_Belgian_Grand_Prix&lt;/a&gt;</t>
  </si>
  <si>
    <t>&lt;a href='http://en.wikipedia.org/wiki/2009_Italian_Grand_Prix'&gt;2009_Italian_Grand_Prix&lt;/a&gt;</t>
  </si>
  <si>
    <t>&lt;a href='http://en.wikipedia.org/wiki/2009_Singapore_Grand_Prix'&gt;2009_Singapore_Grand_Prix&lt;/a&gt;</t>
  </si>
  <si>
    <t>&lt;a href='http://en.wikipedia.org/wiki/2009_Japanese_Grand_Prix'&gt;2009_Japanese_Grand_Prix&lt;/a&gt;</t>
  </si>
  <si>
    <t>&lt;a href='http://en.wikipedia.org/wiki/2009_Brazilian_Grand_Prix'&gt;2009_Brazilian_Grand_Prix&lt;/a&gt;</t>
  </si>
  <si>
    <t>&lt;a href='http://en.wikipedia.org/wiki/2009_Abu_Dhabi_Grand_Prix'&gt;2009_Abu_Dhabi_Grand_Prix&lt;/a&gt;</t>
  </si>
  <si>
    <t>&lt;a href='http://en.wikipedia.org/wiki/2010_Bahrain_Grand_Prix'&gt;2010_Bahrain_Grand_Prix&lt;/a&gt;</t>
  </si>
  <si>
    <t>&lt;a href='http://en.wikipedia.org/wiki/2010_Australian_Grand_Prix'&gt;2010_Australian_Grand_Prix&lt;/a&gt;</t>
  </si>
  <si>
    <t>&lt;a href='http://en.wikipedia.org/wiki/2010_Malaysian_Grand_Prix'&gt;2010_Malaysian_Grand_Prix&lt;/a&gt;</t>
  </si>
  <si>
    <t>&lt;a href='http://en.wikipedia.org/wiki/2010_Chinese_Grand_Prix'&gt;2010_Chinese_Grand_Prix&lt;/a&gt;</t>
  </si>
  <si>
    <t>&lt;a href='http://en.wikipedia.org/wiki/2010_Spanish_Grand_Prix'&gt;2010_Spanish_Grand_Prix&lt;/a&gt;</t>
  </si>
  <si>
    <t>&lt;a href='http://en.wikipedia.org/wiki/2010_Monaco_Grand_Prix'&gt;2010_Monaco_Grand_Prix&lt;/a&gt;</t>
  </si>
  <si>
    <t>&lt;a href='http://en.wikipedia.org/wiki/2010_Turkish_Grand_Prix'&gt;2010_Turkish_Grand_Prix&lt;/a&gt;</t>
  </si>
  <si>
    <t>&lt;a href='http://en.wikipedia.org/wiki/2010_Canadian_Grand_Prix'&gt;2010_Canadian_Grand_Prix&lt;/a&gt;</t>
  </si>
  <si>
    <t>&lt;a href='http://en.wikipedia.org/wiki/2010_European_Grand_Prix'&gt;2010_European_Grand_Prix&lt;/a&gt;</t>
  </si>
  <si>
    <t>&lt;a href='http://en.wikipedia.org/wiki/2010_British_Grand_Prix'&gt;2010_British_Grand_Prix&lt;/a&gt;</t>
  </si>
  <si>
    <t>&lt;a href='http://en.wikipedia.org/wiki/2010_German_Grand_Prix'&gt;2010_German_Grand_Prix&lt;/a&gt;</t>
  </si>
  <si>
    <t>&lt;a href='http://en.wikipedia.org/wiki/2010_Hungarian_Grand_Prix'&gt;2010_Hungarian_Grand_Prix&lt;/a&gt;</t>
  </si>
  <si>
    <t>&lt;a href='http://en.wikipedia.org/wiki/2010_Belgian_Grand_Prix'&gt;2010_Belgian_Grand_Prix&lt;/a&gt;</t>
  </si>
  <si>
    <t>&lt;a href='http://en.wikipedia.org/wiki/2010_Italian_Grand_Prix'&gt;2010_Italian_Grand_Prix&lt;/a&gt;</t>
  </si>
  <si>
    <t>&lt;a href='http://en.wikipedia.org/wiki/2010_Singapore_Grand_Prix'&gt;2010_Singapore_Grand_Prix&lt;/a&gt;</t>
  </si>
  <si>
    <t>&lt;a href='http://en.wikipedia.org/wiki/2010_Japanese_Grand_Prix'&gt;2010_Japanese_Grand_Prix&lt;/a&gt;</t>
  </si>
  <si>
    <t>&lt;a href='http://en.wikipedia.org/wiki/2010_Korean_Grand_Prix'&gt;2010_Korean_Grand_Prix&lt;/a&gt;</t>
  </si>
  <si>
    <t>&lt;a href='http://en.wikipedia.org/wiki/2010_Brazilian_Grand_Prix'&gt;2010_Brazilian_Grand_Prix&lt;/a&gt;</t>
  </si>
  <si>
    <t>&lt;a href='http://en.wikipedia.org/wiki/2010_Abu_Dhabi_Grand_Prix'&gt;2010_Abu_Dhabi_Grand_Prix&lt;/a&gt;</t>
  </si>
  <si>
    <t>&lt;a href='http://en.wikipedia.org/wiki/2011_Australian_Grand_Prix'&gt;2011_Australian_Grand_Prix&lt;/a&gt;</t>
  </si>
  <si>
    <t>&lt;a href='http://en.wikipedia.org/wiki/2011_Malaysian_Grand_Prix'&gt;2011_Malaysian_Grand_Prix&lt;/a&gt;</t>
  </si>
  <si>
    <t>&lt;a href='http://en.wikipedia.org/wiki/2011_Chinese_Grand_Prix'&gt;2011_Chinese_Grand_Prix&lt;/a&gt;</t>
  </si>
  <si>
    <t>&lt;a href='http://en.wikipedia.org/wiki/2011_Turkish_Grand_Prix'&gt;2011_Turkish_Grand_Prix&lt;/a&gt;</t>
  </si>
  <si>
    <t>&lt;a href='http://en.wikipedia.org/wiki/2011_Spanish_Grand_Prix'&gt;2011_Spanish_Grand_Prix&lt;/a&gt;</t>
  </si>
  <si>
    <t>&lt;a href='http://en.wikipedia.org/wiki/2011_Monaco_Grand_Prix'&gt;2011_Monaco_Grand_Prix&lt;/a&gt;</t>
  </si>
  <si>
    <t>&lt;a href='http://en.wikipedia.org/wiki/2011_Canadian_Grand_Prix'&gt;2011_Canadian_Grand_Prix&lt;/a&gt;</t>
  </si>
  <si>
    <t>&lt;a href='http://en.wikipedia.org/wiki/2011_European_Grand_Prix'&gt;2011_European_Grand_Prix&lt;/a&gt;</t>
  </si>
  <si>
    <t>&lt;a href='http://en.wikipedia.org/wiki/2011_British_Grand_Prix'&gt;2011_British_Grand_Prix&lt;/a&gt;</t>
  </si>
  <si>
    <t>&lt;a href='http://en.wikipedia.org/wiki/2011_German_Grand_Prix'&gt;2011_German_Grand_Prix&lt;/a&gt;</t>
  </si>
  <si>
    <t>&lt;a href='http://en.wikipedia.org/wiki/2011_Hungarian_Grand_Prix'&gt;2011_Hungarian_Grand_Prix&lt;/a&gt;</t>
  </si>
  <si>
    <t>&lt;a href='http://en.wikipedia.org/wiki/2011_Belgian_Grand_Prix'&gt;2011_Belgian_Grand_Prix&lt;/a&gt;</t>
  </si>
  <si>
    <t>&lt;a href='http://en.wikipedia.org/wiki/2011_Italian_Grand_Prix'&gt;2011_Italian_Grand_Prix&lt;/a&gt;</t>
  </si>
  <si>
    <t>&lt;a href='http://en.wikipedia.org/wiki/2011_Singapore_Grand_Prix'&gt;2011_Singapore_Grand_Prix&lt;/a&gt;</t>
  </si>
  <si>
    <t>&lt;a href='http://en.wikipedia.org/wiki/2011_Japanese_Grand_Prix'&gt;2011_Japanese_Grand_Prix&lt;/a&gt;</t>
  </si>
  <si>
    <t>&lt;a href='http://en.wikipedia.org/wiki/2011_Korean_Grand_Prix'&gt;2011_Korean_Grand_Prix&lt;/a&gt;</t>
  </si>
  <si>
    <t>&lt;a href='http://en.wikipedia.org/wiki/2011_Indian_Grand_Prix'&gt;2011_Indian_Grand_Prix&lt;/a&gt;</t>
  </si>
  <si>
    <t>&lt;a href='http://en.wikipedia.org/wiki/2011_Abu_Dhabi_Grand_Prix'&gt;2011_Abu_Dhabi_Grand_Prix&lt;/a&gt;</t>
  </si>
  <si>
    <t>&lt;a href='http://en.wikipedia.org/wiki/2011_Brazilian_Grand_Prix'&gt;2011_Brazilian_Grand_Prix&lt;/a&gt;</t>
  </si>
  <si>
    <t>&lt;a href='http://en.wikipedia.org/wiki/2012_Australian_Grand_Prix'&gt;2012_Australian_Grand_Prix&lt;/a&gt;</t>
  </si>
  <si>
    <t>&lt;a href='http://en.wikipedia.org/wiki/2012_Malaysian_Grand_Prix'&gt;2012_Malaysian_Grand_Prix&lt;/a&gt;</t>
  </si>
  <si>
    <t>&lt;a href='http://en.wikipedia.org/wiki/2012_Chinese_Grand_Prix'&gt;2012_Chinese_Grand_Prix&lt;/a&gt;</t>
  </si>
  <si>
    <t>&lt;a href='http://en.wikipedia.org/wiki/2012_Bahrain_Grand_Prix'&gt;2012_Bahrain_Grand_Prix&lt;/a&gt;</t>
  </si>
  <si>
    <t>&lt;a href='http://en.wikipedia.org/wiki/2012_Spanish_Grand_Prix'&gt;2012_Spanish_Grand_Prix&lt;/a&gt;</t>
  </si>
  <si>
    <t>&lt;a href='http://en.wikipedia.org/wiki/2012_Monaco_Grand_Prix'&gt;2012_Monaco_Grand_Prix&lt;/a&gt;</t>
  </si>
  <si>
    <t>&lt;a href='http://en.wikipedia.org/wiki/2012_Canadian_Grand_Prix'&gt;2012_Canadian_Grand_Prix&lt;/a&gt;</t>
  </si>
  <si>
    <t>&lt;a href='http://en.wikipedia.org/wiki/2012_European_Grand_Prix'&gt;2012_European_Grand_Prix&lt;/a&gt;</t>
  </si>
  <si>
    <t>&lt;a href='http://en.wikipedia.org/wiki/2012_British_Grand_Prix'&gt;2012_British_Grand_Prix&lt;/a&gt;</t>
  </si>
  <si>
    <t>&lt;a href='http://en.wikipedia.org/wiki/2012_German_Grand_Prix'&gt;2012_German_Grand_Prix&lt;/a&gt;</t>
  </si>
  <si>
    <t>&lt;a href='http://en.wikipedia.org/wiki/2012_Hungarian_Grand_Prix'&gt;2012_Hungarian_Grand_Prix&lt;/a&gt;</t>
  </si>
  <si>
    <t>&lt;a href='http://en.wikipedia.org/wiki/2012_Belgian_Grand_Prix'&gt;2012_Belgian_Grand_Prix&lt;/a&gt;</t>
  </si>
  <si>
    <t>&lt;a href='http://en.wikipedia.org/wiki/2012_Italian_Grand_Prix'&gt;2012_Italian_Grand_Prix&lt;/a&gt;</t>
  </si>
  <si>
    <t>&lt;a href='http://en.wikipedia.org/wiki/2012_Singapore_Grand_Prix'&gt;2012_Singapore_Grand_Prix&lt;/a&gt;</t>
  </si>
  <si>
    <t>&lt;a href='http://en.wikipedia.org/wiki/2012_Japanese_Grand_Prix'&gt;2012_Japanese_Grand_Prix&lt;/a&gt;</t>
  </si>
  <si>
    <t>&lt;a href='http://en.wikipedia.org/wiki/2012_Korean_Grand_Prix'&gt;2012_Korean_Grand_Prix&lt;/a&gt;</t>
  </si>
  <si>
    <t>&lt;a href='http://en.wikipedia.org/wiki/2012_Indian_Grand_Prix'&gt;2012_Indian_Grand_Prix&lt;/a&gt;</t>
  </si>
  <si>
    <t>&lt;a href='http://en.wikipedia.org/wiki/2012_Abu_Dhabi_Grand_Prix'&gt;2012_Abu_Dhabi_Grand_Prix&lt;/a&gt;</t>
  </si>
  <si>
    <t>&lt;a href='http://en.wikipedia.org/wiki/2012_United_States_Grand_Prix'&gt;2012_United_States_Grand_Prix&lt;/a&gt;</t>
  </si>
  <si>
    <t>&lt;a href='http://en.wikipedia.org/wiki/2012_Brazilian_Grand_Prix'&gt;2012_Brazilian_Grand_Prix&lt;/a&gt;</t>
  </si>
  <si>
    <t>capacity</t>
  </si>
  <si>
    <t>Des Plaines</t>
  </si>
  <si>
    <t>North River Road</t>
  </si>
  <si>
    <t>5400 North River Road, Des Plaines, IL 60018, USA</t>
  </si>
  <si>
    <t>Franklin Avenue</t>
  </si>
  <si>
    <t>6801 Franklin Avenue, New Orleans, LA 70122, USA</t>
  </si>
  <si>
    <t>138-050</t>
  </si>
  <si>
    <t>Olympic Park, Bangi-dong, Seoul, South Korea</t>
  </si>
  <si>
    <t>ZA</t>
  </si>
  <si>
    <t>Port Elizabeth</t>
  </si>
  <si>
    <t>Ibhayi</t>
  </si>
  <si>
    <t>Moscow Street</t>
  </si>
  <si>
    <t>Soweto On Sea</t>
  </si>
  <si>
    <t>Moscow Street, Ibhayi 6201, South Africa</t>
  </si>
  <si>
    <t>Amsterdam-Zuidoost</t>
  </si>
  <si>
    <t>Arena Transferium, 1101 Amsterdam-Zuidoost, The Netherlands</t>
  </si>
  <si>
    <t>&lt;b&gt;Rosemount theatre&lt;/b&gt;&lt;br&gt;5400 North River Road&lt;br&gt; Des Plaines&lt;br&gt; IL 60018&lt;br&gt; USA&lt;br&gt;</t>
  </si>
  <si>
    <t>&lt;b&gt;UNO Lakefront Arena&lt;/b&gt;&lt;br&gt;6801 Franklin Avenue&lt;br&gt; New Orleans&lt;br&gt; LA 70122&lt;br&gt; USA&lt;br&gt;</t>
  </si>
  <si>
    <t>#00728D</t>
  </si>
  <si>
    <t>&lt;b&gt;olympic park&lt;/b&gt;&lt;br&gt;Olympic Park&lt;br&gt; Bangi-dong&lt;br&gt; Seoul&lt;br&gt; South Korea&lt;br&gt;</t>
  </si>
  <si>
    <t>#FF5C00</t>
  </si>
  <si>
    <t>#00936C</t>
  </si>
  <si>
    <t>&lt;b&gt;red square&lt;/b&gt;&lt;br&gt;Moscow Street&lt;br&gt; Ibhayi 6201&lt;br&gt; South Africa&lt;br&gt;</t>
  </si>
  <si>
    <t>&lt;b&gt;heineken hall&lt;/b&gt;&lt;br&gt;Arena Transferium&lt;br&gt; 1101 Amsterdam-Zuidoost&lt;br&gt; The Netherlands&lt;br&gt;</t>
  </si>
  <si>
    <t>#001BE4</t>
  </si>
  <si>
    <t>West 44th Street</t>
  </si>
  <si>
    <t>45 West 44th Street, New York, NY 10036, USA</t>
  </si>
  <si>
    <t>Mitte</t>
  </si>
  <si>
    <t>Park Avenue</t>
  </si>
  <si>
    <t>399 Park Avenue, New York, NY 10022, USA</t>
  </si>
  <si>
    <t>East Whatley Road</t>
  </si>
  <si>
    <t>1507 East Whatley Road, Oakdale, LA 71463, USA</t>
  </si>
  <si>
    <t>Avenue of the Americas</t>
  </si>
  <si>
    <t>1290 Avenue of the Americas, New York, NY 10019, USA</t>
  </si>
  <si>
    <t>Old 75 Highway</t>
  </si>
  <si>
    <t>1000 Old 75 Highway, Butner, NC 27509, USA</t>
  </si>
  <si>
    <t>SW1A 1AA</t>
  </si>
  <si>
    <t>Buckingham Palace, London, Greater London SW1A 1AA, UK</t>
  </si>
  <si>
    <t>Kensington Palace Gardens</t>
  </si>
  <si>
    <t>W8 4PX</t>
  </si>
  <si>
    <t>Kensington Palace, Kensington Palace Gardens, London, Greater London W8 4PX, UK</t>
  </si>
  <si>
    <t>Ballater</t>
  </si>
  <si>
    <t>Balmoral Castle, Balmoral Estates, Ballater, Aberdeenshire AB35 5TB, UK</t>
  </si>
  <si>
    <t>SL4 1NJ</t>
  </si>
  <si>
    <t>&lt;b&gt;Balmoral Castle&lt;/b&gt;&lt;br&gt;Ballater&lt;br&gt;United Kingdom</t>
  </si>
  <si>
    <t>&lt;b&gt;Windsor Castle&lt;/b&gt;&lt;br&gt;Windsor&lt;br&gt;United Kingdom</t>
  </si>
  <si>
    <t>Amphitheatre Parkway</t>
  </si>
  <si>
    <t>1600 Amphitheatre Parkway, Mountain View, CA 94043, USA</t>
  </si>
  <si>
    <t>City of Brussels</t>
  </si>
  <si>
    <t>Attica</t>
  </si>
  <si>
    <t>g. Moskva</t>
  </si>
  <si>
    <t>ulitsa Balchug</t>
  </si>
  <si>
    <t>ulitsa Balchug, 7, Moscow, Russian Federation, 115035</t>
  </si>
  <si>
    <t>Independence Avenue</t>
  </si>
  <si>
    <t>Independence Avenue, Accra, Ghana</t>
  </si>
  <si>
    <t>HR</t>
  </si>
  <si>
    <t>Buenos Aires, Argentina</t>
  </si>
  <si>
    <t>Tianhe, Guangzhou, Guangdong, China, 510620</t>
  </si>
  <si>
    <t>Cairo Governorate</t>
  </si>
  <si>
    <t>Al Maza, Cairo Governorate, Egypt</t>
  </si>
  <si>
    <t>&lt;b&gt;Google&lt;/b&gt;&lt;br&gt;1600 Amphitheatre Parkway&lt;br&gt; Mountain View&lt;br&gt; CA 94043&lt;br&gt; USA&lt;br&gt;</t>
  </si>
  <si>
    <t>&lt;b&gt;google ghana&lt;/b&gt;&lt;br&gt;Independence Avenue&lt;br&gt; Accra&lt;br&gt; Ghana&lt;br&gt;</t>
  </si>
  <si>
    <t>&lt;b&gt;google russia&lt;/b&gt;&lt;br&gt;ulitsa Balchug&lt;br&gt; 7&lt;br&gt; Moscow&lt;br&gt; Russian Federation&lt;br&gt; 115035&lt;br&gt;</t>
  </si>
  <si>
    <t>Brunei-Muara</t>
  </si>
  <si>
    <t>kmlMarkerGenerated.kml</t>
  </si>
  <si>
    <t>current_condition</t>
  </si>
  <si>
    <t>type_of_closure</t>
  </si>
  <si>
    <t>coordinates</t>
  </si>
  <si>
    <t>station</t>
  </si>
  <si>
    <t>details</t>
  </si>
  <si>
    <t>closed</t>
  </si>
  <si>
    <t>line</t>
  </si>
  <si>
    <t>Demolished</t>
  </si>
  <si>
    <t>Station resited</t>
  </si>
  <si>
    <t>[-0.0722, 51.5152]</t>
  </si>
  <si>
    <t>Aldgate East</t>
  </si>
  <si>
    <t>Closed when the current station was opened a short distance to the east to enable the Aldgate junction to be rebuilt</t>
  </si>
  <si>
    <t>30 October 1938</t>
  </si>
  <si>
    <t>District</t>
  </si>
  <si>
    <t>Building remains and platforms sometimes used for cinematic purposes</t>
  </si>
  <si>
    <t>Station and route closed</t>
  </si>
  <si>
    <t>[-0.11595, 51.51215]</t>
  </si>
  <si>
    <t>Aldwych</t>
  </si>
  <si>
    <t>Terminus of Piccadilly line branch line from Holborn; closed due to low passenger numbers and cost of replacing lifts</t>
  </si>
  <si>
    <t>30 September 1994</t>
  </si>
  <si>
    <t>Piccadilly</t>
  </si>
  <si>
    <t>Building remains as private residence</t>
  </si>
  <si>
    <t>[0.20444, 51.71134]</t>
  </si>
  <si>
    <t>Blake Hall</t>
  </si>
  <si>
    <t>Closed due to low passenger numbers</t>
  </si>
  <si>
    <t>31 October 1981</t>
  </si>
  <si>
    <t>Central</t>
  </si>
  <si>
    <t>Station closed</t>
  </si>
  <si>
    <t>[-0.12278, 51.5175]</t>
  </si>
  <si>
    <t>British Museum</t>
  </si>
  <si>
    <t>Closed when Central line platforms were opened at Holborn</t>
  </si>
  <si>
    <t>24 September 1933</t>
  </si>
  <si>
    <t>Mostly demolished, side elevation remains</t>
  </si>
  <si>
    <t>[-0.1689, 51.4971]</t>
  </si>
  <si>
    <t>Brompton Road</t>
  </si>
  <si>
    <t>Closed due to low passenger numbers and creation of a new entrance to Knightsbridge station</t>
  </si>
  <si>
    <t>29 July 1934</t>
  </si>
  <si>
    <t>Mostly demolished, ventilation tower remains</t>
  </si>
  <si>
    <t>[-0.0975, 51.52972]</t>
  </si>
  <si>
    <t>City Road</t>
  </si>
  <si>
    <t>8 August 1922</t>
  </si>
  <si>
    <t>Northern</t>
  </si>
  <si>
    <t>Building remains</t>
  </si>
  <si>
    <t>[-0.1475, 51.50444]</t>
  </si>
  <si>
    <t>Down Street</t>
  </si>
  <si>
    <t>Closed due to low passenger numbers when entrances to Green Park and Hyde Park Corner were moved closer to its location</t>
  </si>
  <si>
    <t>21 May 1932</t>
  </si>
  <si>
    <t>[-0.1947, 51.4913]</t>
  </si>
  <si>
    <t>Earl's Court</t>
  </si>
  <si>
    <t>Original station closed when the current station opened to the west</t>
  </si>
  <si>
    <t>31 January 1878</t>
  </si>
  <si>
    <t>[-0.45, 51.5538]</t>
  </si>
  <si>
    <t>Hillingdon</t>
  </si>
  <si>
    <t>The original station was to the east of the current station and was closed to allow widening of the A40 road.</t>
  </si>
  <si>
    <t>5 December 1992</t>
  </si>
  <si>
    <t>Metropolitan, Piccadilly</t>
  </si>
  <si>
    <t>Station and route closed, station resited</t>
  </si>
  <si>
    <t>[-0.35444, 51.47167]</t>
  </si>
  <si>
    <t>Hounslow Town</t>
  </si>
  <si>
    <t>On a now-closed branch of the Metropolitan District Railway, from what is now the Piccadilly line near Hounslow East, it was closed when Hounslow East station was opened.</t>
  </si>
  <si>
    <t>1 May 1909</t>
  </si>
  <si>
    <t>[-0.1241, 51.5302]</t>
  </si>
  <si>
    <t>King's Cross St. Pancras</t>
  </si>
  <si>
    <t>The original platforms were to the east of the current ones; the station was moved to make interchange with main line station easier.</t>
  </si>
  <si>
    <t>9 March 1941</t>
  </si>
  <si>
    <t>Metropolitan</t>
  </si>
  <si>
    <t>Demolished but underground platforms remain</t>
  </si>
  <si>
    <t>[-0.08694, 51.51028]</t>
  </si>
  <si>
    <t>King William Street</t>
  </si>
  <si>
    <t>The original terminus of the City &amp;amp; South London Railway, which was closed when the line was extended on a new alignment to Bank</t>
  </si>
  <si>
    <t>24 February 1900</t>
  </si>
  <si>
    <t>[-0.16917, 51.53]</t>
  </si>
  <si>
    <t>Lord's</t>
  </si>
  <si>
    <t>Closed to increase capacity on Metropolitan line, following opening of nearby St John's Wood station on the Bakerloo line (now the Jubilee line).</t>
  </si>
  <si>
    <t>19 November 1939</t>
  </si>
  <si>
    <t>[-0.08, 51.51056]</t>
  </si>
  <si>
    <t>Mark Lane</t>
  </si>
  <si>
    <t>Closed when current Tower Hill station to the east was built to a provide better interchange with mainline services at Fenchurch Street</t>
  </si>
  <si>
    <t>4 February 1967</t>
  </si>
  <si>
    <t>District, Circle</t>
  </si>
  <si>
    <t>[-0.17667, 51.53611]</t>
  </si>
  <si>
    <t>Marlborough Road</t>
  </si>
  <si>
    <t>Closed to increase capacity on Metropolitan line, following opening of nearby St John's Wood station on the Bakerloo line (now the Jubilee line)</t>
  </si>
  <si>
    <t>[-0.3142, 51.4994]</t>
  </si>
  <si>
    <t>Northfields &amp;amp; Little Ealing</t>
  </si>
  <si>
    <t>Moved to allow access into new depot at Northfields built for Piccadilly line trains; when open, this station was served by the District line.</t>
  </si>
  <si>
    <t>18 May 1932</t>
  </si>
  <si>
    <t>[0.1617, 51.7117]</t>
  </si>
  <si>
    <t>North Weald</t>
  </si>
  <si>
    <t>Closed due to low passenger numbers;</t>
  </si>
  <si>
    <t>[0.2428, 51.7089]</t>
  </si>
  <si>
    <t>Ongar</t>
  </si>
  <si>
    <t>Building remains as retail unit; platforms partially remain</t>
  </si>
  <si>
    <t>[-0.3522, 51.4814]</t>
  </si>
  <si>
    <t xml:space="preserve">Closed when new </t>
  </si>
  <si>
    <t>24 March 1934</t>
  </si>
  <si>
    <t>[-0.28944, 51.53139]</t>
  </si>
  <si>
    <t>Closed when station was relocated to Park Royal to provide more convenient access from Western Avenue;</t>
  </si>
  <si>
    <t>5 July 1931</t>
  </si>
  <si>
    <t>[-0.2953, 51.5722]</t>
  </si>
  <si>
    <t>Preston Road</t>
  </si>
  <si>
    <t>A small halt station was reconstructed to the west when the number of tracks through the station was increased from two to four.</t>
  </si>
  <si>
    <t>2 January 1932</t>
  </si>
  <si>
    <t>Operated by National Rail</t>
  </si>
  <si>
    <t>Service withdrawn, transferred to National Rail</t>
  </si>
  <si>
    <t>[-0.0522, 51.5008]</t>
  </si>
  <si>
    <t>Rotherhithe</t>
  </si>
  <si>
    <t>Now operated by London Overground</t>
  </si>
  <si>
    <t>22 December 2007</t>
  </si>
  <si>
    <t>East London</t>
  </si>
  <si>
    <t>Demolished !Bombed in World War II; demolished</t>
  </si>
  <si>
    <t>[-0.064583, 51.51778]</t>
  </si>
  <si>
    <t>St Mary's (Whitechapel Road)</t>
  </si>
  <si>
    <t>Closed when Aldgate East was rebuilt closer to its location; converted for use as an air-raid shelter during the war</t>
  </si>
  <si>
    <t>30 April 1938</t>
  </si>
  <si>
    <t>[-0.0569, 51.5112]</t>
  </si>
  <si>
    <t>Shadwell</t>
  </si>
  <si>
    <t>[-0.2264, 51.5058]</t>
  </si>
  <si>
    <t>Shepherd's Bush</t>
  </si>
  <si>
    <t xml:space="preserve">Station replaced by </t>
  </si>
  <si>
    <t>31 March 1914</t>
  </si>
  <si>
    <t>[-0.07083, 51.52278]</t>
  </si>
  <si>
    <t>Shoreditch</t>
  </si>
  <si>
    <t>Closed to allow extension of East London Line on new alignment across site</t>
  </si>
  <si>
    <t>9 June 2006</t>
  </si>
  <si>
    <t>[-0.3522, 51.5647]</t>
  </si>
  <si>
    <t>South Harrow</t>
  </si>
  <si>
    <t>Closed when station was relocated a short distance to the north</t>
  </si>
  <si>
    <t>4 July 1935</t>
  </si>
  <si>
    <t>[-0.14167, 51.54528]</t>
  </si>
  <si>
    <t>South Kentish Town</t>
  </si>
  <si>
    <t>Closed due to a strike at the Underground's Lots Road Power Station and never reopened due to low passenger numbers</t>
  </si>
  <si>
    <t>5 June 1924</t>
  </si>
  <si>
    <t>[-0.04717, 51.49358]</t>
  </si>
  <si>
    <t>Surrey Quays</t>
  </si>
  <si>
    <t>[-0.17667, 51.54361]</t>
  </si>
  <si>
    <t>Swiss Cottage</t>
  </si>
  <si>
    <t>Closed as a wartime measure and not reopened; the adjacent Bakerloo line (now Jubilee line) station briefly operated as an interchange</t>
  </si>
  <si>
    <t>17 August 1940</t>
  </si>
  <si>
    <t>[-0.07667, 51.51]</t>
  </si>
  <si>
    <t>Tower of London</t>
  </si>
  <si>
    <t>A short-lived station on the site of the present Tower Hill station, which was closed when Mark Lane (also now closed) was opened</t>
  </si>
  <si>
    <t>12 October 1884</t>
  </si>
  <si>
    <t>[-0.4783, 51.5459]</t>
  </si>
  <si>
    <t>Uxbridge</t>
  </si>
  <si>
    <t>Closed when the current station was opened on a new alignment closer to Uxbridge town centre</t>
  </si>
  <si>
    <t>3 December 1938</t>
  </si>
  <si>
    <t>[-0.21694, 51.50537]</t>
  </si>
  <si>
    <t>Uxbridge Road</t>
  </si>
  <si>
    <t>Closed after bombing of the line during World War II, due to low passenger numbers;</t>
  </si>
  <si>
    <t>19 October 1940</t>
  </si>
  <si>
    <t>[-0.0558, 51.5044]</t>
  </si>
  <si>
    <t>Wapping</t>
  </si>
  <si>
    <t>[-0.2011, 51.5211]</t>
  </si>
  <si>
    <t>Westbourne Park</t>
  </si>
  <si>
    <t>Closed when current station was opened in 1871</t>
  </si>
  <si>
    <t>31 October 1871</t>
  </si>
  <si>
    <t>[-0.2250306, 51.5089917]</t>
  </si>
  <si>
    <t>White City</t>
  </si>
  <si>
    <t>This station closed following a fire.</t>
  </si>
  <si>
    <t>24 October 1959</t>
  </si>
  <si>
    <t>Wood Lane</t>
  </si>
  <si>
    <t>[-0.224361, 51.5091139]</t>
  </si>
  <si>
    <t>This awkwardly arranged station was closed when its replacement, White City, opened to the north.</t>
  </si>
  <si>
    <t>22 November 1947</t>
  </si>
  <si>
    <t>Building remains and platforms visible between King's Cross and Caledonian Road</t>
  </si>
  <si>
    <t>[-0.1225, 51.53833]</t>
  </si>
  <si>
    <t>York Road</t>
  </si>
  <si>
    <t>17 September 1932</t>
  </si>
  <si>
    <t>blue</t>
  </si>
  <si>
    <t>green</t>
  </si>
  <si>
    <t>red</t>
  </si>
  <si>
    <t>black</t>
  </si>
  <si>
    <t>purple</t>
  </si>
  <si>
    <t>brown</t>
  </si>
  <si>
    <t>skyblue</t>
  </si>
  <si>
    <t>cyan</t>
  </si>
  <si>
    <t>venue</t>
  </si>
  <si>
    <t>input address</t>
  </si>
  <si>
    <t>Hammersmith and City</t>
  </si>
  <si>
    <t>Osterley and  Spring Grove</t>
  </si>
  <si>
    <t>Park Royal and Twyford Abbey</t>
  </si>
  <si>
    <t>Hammersmith and  City</t>
  </si>
  <si>
    <t>startCategory</t>
  </si>
  <si>
    <t>top of infobox</t>
  </si>
  <si>
    <t>body of info box</t>
  </si>
  <si>
    <t>lar coord</t>
  </si>
  <si>
    <t>lng coord</t>
  </si>
  <si>
    <t>comments the columns named provide</t>
  </si>
  <si>
    <t>color of blob round place - leave blank if no blob</t>
  </si>
  <si>
    <t>size of blob round place - leave blank if no blob</t>
  </si>
  <si>
    <t>image to use - leave blank if default image</t>
  </si>
  <si>
    <t>if flight path is needed what color?</t>
  </si>
  <si>
    <t>if flight path is needed name things to be joined the same</t>
  </si>
  <si>
    <t>will startup in this category- first one in the data is the name used - all others ignired</t>
  </si>
  <si>
    <t>filters  - leave blank if none</t>
  </si>
  <si>
    <t>venue size</t>
  </si>
  <si>
    <t>big</t>
  </si>
  <si>
    <t>medium</t>
  </si>
  <si>
    <t>small</t>
  </si>
  <si>
    <t>array</t>
  </si>
  <si>
    <t xml:space="preserve">           function initialize() {
                mcpherData = mcpherDataPopulate();
                if (mcpherData.cJobject.length &gt; 0) {
                    mcpherData.cJobject.sort(function(a, b) {
                        return a.title.toLowerCase() &lt; b.title.toLowerCase() ? -1 : (a.title.toLowerCase() &gt; b.title.toLowerCase() ? 1 : 0);
                    });
                    var myOptions = {
                        center: new google.maps.LatLng(mcpherData.cJobject[0].lat, mcpherData.cJobject[0].lng),
                        mapTypeId: google.maps.MapTypeId.ROADMAP
                    };
                    // get parameters if any
                    var qparams = mcpherGetqparams();
                    var cj = mcpherData.cJobject;
                    var bounds = new google.maps.LatLngBounds();
                    for (var i = 0; i &lt; cj.length; i++) {
                        bounds.extend(new google.maps.LatLng(cj[i].lat, cj[i].lng));
                    }
                    if (!qparams['zoom']) qparams['zoom'] = 2;
                    myOptions['zoom'] = parseInt(qparams['zoom']);
                    // create the map
                    gMap = new google.maps.Map(document.getElementById("map_canvas"), myOptions);
                    gMap.fitBounds(bounds);
                    // add the excel data
                    for (var i = 0; i &lt; cj.length; i++) {
                        mcpherAddMarker(cj[i]);
                    }
                    // Set up combox
                    category();
                    quickLink(-1);
                    makeFlightGroups();
                    initialCategory();
                }
            }
</t>
  </si>
  <si>
    <t xml:space="preserve">&lt;body onload="initialize()"&gt;
 &lt;div id="comboquicklink" class = "mcquicklink"&gt;Quick Links&lt;/div&gt;
 &lt;div id="combocategory" class = "mccategory"&gt;&lt;/div&gt;
 &lt;div id="heading" class ="mcheading"&gt;Excel and Google Mapping Integration&lt;/b&gt;
 &lt;a href="http://rambings.mcpher.com"&gt;
  ramblings.mcpher.com&lt;/a&gt;&lt;/div&gt;
 &lt;div id="map_canvas" style="width: 100%; height: 90%"&gt;&lt;/div&gt;
&lt;/body&gt;
</t>
  </si>
  <si>
    <t>Berkshire</t>
  </si>
  <si>
    <t>SL4 2HT</t>
  </si>
  <si>
    <t>Windsor Great Park, The Crown Estate Office, The Great Park, Windsor, Berkshire SL4 2HT, UK</t>
  </si>
  <si>
    <t>West Berkshire</t>
  </si>
  <si>
    <t>Windsor Castle, Windsor, West Berkshire SL4 1NJ, UK</t>
  </si>
  <si>
    <t>Sunninghill Park, Ascot, Bracknell Forest SL5, UK</t>
  </si>
  <si>
    <t>&lt;b&gt;Royal Lodge&lt;/b&gt;&lt;br&gt;Windsor&lt;br&gt;United Kingdom</t>
  </si>
  <si>
    <t>&lt;b&gt;Sunninghill Park&lt;/b&gt;&lt;br&gt;&lt;br&gt;United Kingdom</t>
  </si>
  <si>
    <t>Central Administrative Okrug</t>
  </si>
  <si>
    <t>DLF Building No 8 Tower B, DLF City II, Sector 24, Gurgaon, Haryana 122008, India</t>
  </si>
  <si>
    <t>Istana Nurul Iman, Bandar Seri Begawan, Brunei</t>
  </si>
  <si>
    <t>Riyadh</t>
  </si>
  <si>
    <t>Riyadh Saudi Arabia</t>
  </si>
  <si>
    <t>&lt;b&gt;Kings Palace&lt;/b&gt;&lt;br&gt;Riyadh&lt;br&gt;Saudi Arabia</t>
  </si>
  <si>
    <t>&lt;b&gt;Istana Nurul Iman&lt;/b&gt;&lt;br&gt;Bandar Seri Begawan&lt;br&gt;Brunei</t>
  </si>
  <si>
    <t>city,country</t>
  </si>
  <si>
    <t>catfunctions</t>
  </si>
  <si>
    <t xml:space="preserve"> function mcpherAddEvent (o,e,f,b,complain){
  // because IE is different
  if(o.addEventListener) 
   return(o.addEventListener(e, f, b));
  else 
   if (o.attachEvent) 
    return(o.attachEvent('on' + e, f));
   else 
    if (complain) 
     alert ('browser doesnt support events');
  return(null);
 }
 function mcpherIsNumber(x){
  return (!isNaN(parseFloat(x))); 
 }
 function mcpherToNumber(x) {
  if (mcpherIsNumber(x))
   return (parseFloat(x));
  else
   return (null);
 }
 function mcpherToDate(x) {
  if (mcpherIsDate(x))
   return (new Date(Date.parse(x)));
  else
   return (null);
 }
 function mcpherIsImage(url) {
  return ((/http:\/\/.+?\.jpg|jpeg|png|gif/).test (url.toLowerCase()) );
 }
 function mcpherSize(o) {
  var s=0;
  for (var key in o) if (o.hasOwnProperty(key))s++;
  return (s);
 }
 function mcpherIsDate(s){
  return (!isNaN(Date.parse(s))); 
 }
 function mcpherGetqparams(){
  // this is just a utility to pick up command line params
  var qparams = new Array();
  var htmlquery = window.location.search.substring(1);
  var htmlparams = htmlquery.split('&amp;');
  for ( var i=0; i &lt; htmlparams.length;i++) {
   var k = htmlparams[i].indexOf('=');
   if (k &gt; 0) {
    qparams[ htmlparams[i].substring(0,k) ] = 
     decodeURI(htmlparams [i].substring(k+1));
   }
  }
  return qparams;
 } 
 function mcpherGag(x){
  switch (x) {
  case 'average':
   return (google.visualization.data.avg);
  case 'count':
   return (google.visualization.data.count);
  case 'sum':
   return (google.visualization.data.sum);
  case 'min':
   return (google.visualization.data.min);
  case 'max':
   return (google.visualization.data.max);
  default:
   alert('Unknown google aggregation request ' + x);
  return (null);
  }
 }
 function oShow (x,o) {
  var s =x+'(object)';
  for (var key in o) s += key + ",";
  s+='(array)';
  for (var i=0; i &lt; o.length; i++) s += o[i] + ',';
  s+='(size)' + mcpherSize(o) + '(length)' + o.length;
  alert (s);
 }
};
&lt;/script&gt;&lt;/head&gt;
</t>
  </si>
  <si>
    <t>red square,moscow,russia</t>
  </si>
  <si>
    <t>Rosemont</t>
  </si>
  <si>
    <t>Rosemont, IL, USA</t>
  </si>
  <si>
    <t>6801 Franklin Avenue, University of New Orleans-East Campus, New Orleans, LA 70122, USA</t>
  </si>
  <si>
    <t>Bang Yai, Nonthaburi, Thailand</t>
  </si>
  <si>
    <t>Russia</t>
  </si>
  <si>
    <t>Moscow, Russia</t>
  </si>
  <si>
    <t>Arena Boulevard</t>
  </si>
  <si>
    <t>1101 DS</t>
  </si>
  <si>
    <t>Arena Boulevard 590, Bullewijk, 1101 DS Amsterdam-Zuidoost, The Netherlands</t>
  </si>
  <si>
    <t>&lt;b&gt;Rosemount theatre&lt;/b&gt;&lt;br&gt;Rosemont&lt;br&gt; IL&lt;br&gt; USA&lt;br&gt;</t>
  </si>
  <si>
    <t>&lt;b&gt;UNO Lakefront Arena&lt;/b&gt;&lt;br&gt;6801 Franklin Avenue&lt;br&gt; University of New Orleans-East Campus&lt;br&gt; New Orleans&lt;br&gt; LA 70122&lt;br&gt; USA&lt;br&gt;</t>
  </si>
  <si>
    <t>&lt;b&gt;aktiv square&lt;/b&gt;&lt;br&gt;Bang Yai&lt;br&gt; Nonthaburi&lt;br&gt; Thailand&lt;br&gt;</t>
  </si>
  <si>
    <t>&lt;b&gt;red square&lt;/b&gt;&lt;br&gt;Moscow&lt;br&gt; Russia&lt;br&gt;</t>
  </si>
  <si>
    <t>&lt;b&gt;heineken hall&lt;/b&gt;&lt;br&gt;Arena Boulevard 590&lt;br&gt; Bullewijk&lt;br&gt; 1101 DS Amsterdam-Zuidoost&lt;br&gt; The Netherlands&lt;br&gt;</t>
  </si>
  <si>
    <t xml:space="preserve">
            function mcpherAddEvent(o, e, f, b, complain) {
                // because IE is different
                if (o.addEventListener) return (o.addEventListener(e, f, b));
                else if (o.attachEvent) return (o.attachEvent('on' + e, f));
                else if (complain) alert('browser doesnt support events');
                return (null);
            }
            var mcpherData;
            var gMap;
            var vMap;
        &lt;/script&gt;
    &lt;/head&gt;
</t>
  </si>
  <si>
    <t xml:space="preserve">//---ramblings.mcpher.com
// Start of mcpherVizMap
 var mcpherVizMap = function  () { 
  this.cssBusy = 'mcstatus mcbusy';
  this.cssReady = 'mcstatus mcready';
  this.cssInfoWindow = 'mcinfo';
  this.cssLi = 'mcli';
  this.cssTab = this.cssLi + ' mchover';
  this.cssTabSelected = this.cssTab + ' mctabselected';
  this.cssSelected = 'mcselected';
  this.cssHide = 'mchide';
  this.cssShow = 'mcshow';
  this.cssChart = 'mchart';
  this.cssTableOptions =  { 
    alternatingRowStyle: true, 
    showRowNumber: false, 
    allowHtml: true, 
    cssClassNames: { 
     headerCell: 'mctableheader',
     tableCell:  'mctable' 
    }
  };
 };
 mcpherVizMap.prototype.populate = function() {
  //some setup we can do while waiting for the google modules to load
  // get the jSon  for the tabular data
  this.data = mcpherData = mcpherGetData().data;
  this.framework = mcpherGetFramework().framework;
  // these are all the fields that are known
  if (!(this.dictionary = this.framework.dictionary)) {
   alert('no data dictionary found');
   return (null);
  }
  // various control information
  if (!(this.control = this.framework.control)) {
   alert('no control found');
   return (null);
  }
  // various control information
  if (!(this.spotControl = this.framework.spots)) {
   alert('no spot control found');
   return (null);
  }
  // the element containing the data
  if (!(this.cJobject = this.data.cJobject)) {
   alert('no data found');
   return (null);
  }
  // get the names of the tabs
  if (!(this.cTabs = this.framework.tabs )) {
   alert('no tab definitions found');
   return (null);
  }
  // and the measures 
  if (!(this.cMeasures = this.framework.measures )) {
   alert('no measure definitions found');
   return (null);
  }
  // and the elements 
  if (!(this.cElements = this.framework.elements )) {
   alert('no element definitions found');
   return (null);
  }
  // check we have minimum mapping fields
  for (var key in {'Latitude':0,'Longtitude':0,'Content':0,'Title':0,'SpotID':0}) {
   if (!this.dictionary[key]) {
    alert ('Missing required dictionary field ' + key);
    return (null);
   }
  }
  // find out if we are doing maps or earth
  if (this.control.provider){
   this.provider = providers[this.control.provider];
  }
  if (!this.provider){
   alert('unknown provider ' + this.control.provider);
   return (null);
  }
  // these are the things that will be used in the summary and the chart
  this.measures = new Array ();
  for (var mkey in this.cMeasures) {
   this.measures.push(mkey);
  }
  // this is for positioning each of the tables &amp; charts etc
  this.elements = new Array();
  for (var ekey in this.cElements) {
   this.elements.push(ekey);
  }
  // these are the tabs that will be shown  
  this.tabs = new Array ();
  for (var tkey in this.cTabs) {
   this.tabs.push(tkey);
  }
  return(this);
 };
 mcpherVizMap.prototype.create = function() {
  this.statusDiv = document.getElementById('status_div');
  this.statusUpdate('..loading data and map',true);
  this.tempDiv = document.body.appendChild(document.createElement('div'));
  this.tempDiv.className = this.cssHide;
  // create a set of markers
  this.items = new Array (this.cJobject.length);
  this.mTable = this.masterTable();
  // get the unique spots
  this.spots = new Array();
  for ( var i = 0 ; i &lt; this.cJobject.length;i++) {
   for (var j=0; j &lt; this.spots.length ;j++) {
    if (this.spots[j].spotId == this.cJobject[i].SpotID) {
     break;
    }
   }
   if (j &gt;= this.spots.length) { 
    this.spots.push(new mcpherSpot(this,this.spots.length,i));
   }
  } 
  return (this);
 };
 mcpherVizMap.prototype.createProvider = function() { 
  // get parameters if any
  var qparams = mcpherGetqparams();
  var cj = this.cJobject;
  this.mapDiv = document.getElementById('map_canvas');
  switch (this.provider) {
  case 'maps':
   var bounds = new google.maps.LatLngBounds();
   // create a bounding box
   for ( var i = 0; i &lt; cj.length; i++ ) {
    bounds.extend (new google.maps.LatLng(cj[i].Latitude, 
      cj[i].Longtitude));
   }
   var myOptions = {
     mapTypeId: google.maps.MapTypeId.ROADMAP
   };
   if (!qparams['zoom']) {
    qparams['zoom'] = 2;
   }
   myOptions['zoom'] = parseInt(qparams['zoom']);
   // create the map and show an info window
   this.map = new google.maps.Map(this.mapDiv, myOptions);
   this.map.fitBounds(bounds);
   break;
  case 'earth':
   this.vEarth = new mcpherEarth(this,'google');
   this.vEarth.createInstance(this.mapDiv);
   break;
  default:
   alert ('lost the provider');
  break;
  }
 };
 mcpherVizMap.prototype.spotEverything = function() {
  var vm=this;
  for ( var i = 0 ; i &lt; vm.spots.length;i++) {
   vm.spots[i].createSpot ();
  }
  // add the spots to each item
  vm.spotItems();
  vm.statusUpdate('..Good to go!',false,null);
 };
 mcpherVizMap.prototype.gotoAnotherSpot = function (spot,newSpot) {  
  var vm = this;
  if (spot ?  newSpot.spotIndex != spot.spotIndex : true ){
   vm.statusUpdate('change spot from '+
       (spot ? spot.title : 'nowhere') + ' to '+   newSpot.title,true,null); 
    switch (vm.provider){
     case 'maps':
       if (spot) spot.infoWindow.close();
       break;
     case 'earth':
       var ve = vm.vEarth;
       ve.ge.setBalloon(null);
       ve.showLookAt(newSpot);
       break;
     default:
       alert('dealwithinsanity');
      break;
   }
   vm.statusUpdate('changed spot from '+
     (spot ? spot.title : 'nowhere') + ' to '+  newSpot.title,false,null); 
  }
 };
 mcpherVizMap.prototype.statusUpdate = function(s,isbusy,a) {
  if (this.statusDiv){ 
   this.statusDiv.innerHTML = (new Date()).toTimeString() + '-' + s;
   if (isbusy) {
    this.statusDiv.className = this.cssBusy;
   }
   else {
    this.statusDiv.className = this.cssReady;
   }
  }
  if (a) {
   alert(a);
  }
 };
 mcpherVizMap.prototype.isMeasure = function(key) {
  for ( var i= 0; i &lt; mcpherSize(this.measures) ; i++) {
   if (this.measures[i] == key ) {
    return (true);
   }
  }
  return(false);
 };
 mcpherVizMap.prototype.columnType = function(key) {
  return (this.dictionary[key]); 
 };
 mcpherVizMap.prototype.columnValue = function(key,value) {
  // given a key, set the type for a table (it will probably be string in the incoming json
  var x;
  switch (  this.columnType(key)  ){
  case 'number':
   if (!(mcpherIsNumber(value))){
    alert (key + ' has invalid value ' + value + 
      ' for type' + this.columnType(key) );
   }
   else {
    x = mcpherToNumber(value);
   }
   break;
  case 'date':
   if (!(x=mcpherToDate(value))){
    alert (key + ' has invalid value ' + value + 
      ' for type' + this.columnType(key) );
   }
   break;
  default:
   x=value;
  break;
  }  
  return (x);
 };
 mcpherVizMap.prototype.masterTable = function() {
  // create a master google viz table
  gTable = new google.visualization.DataTable();
  for ( key in this.dictionary)  {
   gTable.addColumn (this.columnType(key), key);
  }
  var currentCol;
  for (var i = 0 ; i &lt; this.cJobject.length ; i++){
   var currentRow = gTable.addRow();
   for ( var key in this.cJobject[i]){
    if ( (currentCol = this.columnIndex (gTable,key)) &gt;= 0){
     gTable.setCell(currentRow,currentCol,this.columnValue(key,this.cJobject[i][key]));
    }
    else { 
     alert ("Unknown column name " + key + " at row " + currentRow + " in cJobject data");       
    }
   }
  }
  return (gTable);
 };
 mcpherVizMap.prototype.spotItems = function () {
  for (var i=0; i&lt;this.items.length;i++) { 
   // find matching spot;
   var spot = null;
   for (var j=0; j &lt; this.spots.length ;j++){ 
    if (this.spots[j].spotId == this.items[i].spotId) {
     spot = this.spots[j];
     break;
    }
   }
   if (spot){
    this.items[i].spot = this.spots[j];
   }
   else {
    alert('couldnt find spot for item ' + i);
   }
    }
 };
 mcpherVizMap.prototype.createItems = function () {
  //  create the infotab contents for each plottable item
  for (var i=0; i&lt;this.cJobject.length;i++) {
   this.items[i] = new mcpherItem();
   this.items[i].create (this, i);
  }
 };
 mcpherVizMap.prototype.columnIndex = function (gTab,label) {
  for (var i=0; i &lt; gTab.getNumberOfColumns() ;i++) {
   if (gTab.getColumnLabel(i) == label) {
    return (i);
   }
  }
  return (-1);
 };
 mcpherVizMap.prototype.nextSpot = function (spot) {
  var vm=this;
  return (vm.spots[(spot.spotIndex +1) % vm.spots.length]);
 };
// END OF mcpherVizMap
</t>
  </si>
  <si>
    <t>categories</t>
  </si>
  <si>
    <t>Artist,Country</t>
  </si>
  <si>
    <t>&lt;body style="font-family: sans-serif;"&gt;
&lt;div id="status_div" class ="mcstatus"&gt;&lt;/div&gt;
 &lt;div id="comboquicklink" class = "mcquicklink"&gt;Quick Links&lt;/div&gt;
 &lt;div id="combocategory" class = "mccategory"&gt;&lt;/div&gt;
 &lt;div id="heading" class ="mcheading"&gt;Excel and Google Mapping Integration - VizMap&lt;/b&gt;
 &lt;a href="http://rambings.mcpher.com"&gt;
  ramblings.mcpher.com&lt;/a&gt;&lt;/div&gt;
 &lt;div id="map_canvas" style="width: 100%; height: 90%"&gt;&lt;/div&gt;
&lt;/body&gt;
&lt;/html&gt;</t>
  </si>
  <si>
    <t xml:space="preserve">&lt;SCRIPT type='text/javascript'
 src='http://maps.googleapis.com/maps/api/js?sensor=false'&gt;&lt;/SCRIPT&gt;&lt;script type="text/javascript" src="http://jqueryjs.googlecode.com/files/jquery-1.3.2.min.js"&gt;&lt;/script&gt;
&lt;SCRIPT type='text/javascript' src='https://www.google.com/jsapi'&gt;&lt;/SCRIPT&gt;&lt;SCRIPT type="text/javascript"&gt;var mcpher = new function() {
// ---ramblings.mcpher.com
// ---insert functions to provide data just before here
// mcpherVizMap
// you may use this code as you wish
// but please acknowledge in code, and in postings as below
// Bruce Mcpherson
// ramblings.mcpher.com
// Any feedback or questions - http://groups.google.com/group/excel-ramblings 
// ---
 var vMap, mcpherData;
 var providers  = {'google earth':'earth','google maps':'maps'};
 mcpherInitialize();
// --get the included packages and draw everything when done
 function mcpherInitialize() {
  google.load('earth', '1');
  google.load('visualization', '1', 
    {packages:['table','imagebarchart','orgchart']});
  google.setOnLoadCallback(mcpherDrawEverything);
 }
 //-- prepare all the content
 function mcpherDrawEverything() {
  vMap = new mcpherVizMap();
  // get the data and framework
  if ( vMap.populate()) {
   // assuming there is some data
   if (vMap.cJobject.length &gt; 0) {
    // set up all the spots
    if (vMap.create()) {
     //maps or earth?
     vMap.createProvider();
     //create map items for each data item
     vMap.createItems();
     // add spots to map 
     switch (vMap.provider) {
     case 'maps':
      vMap.spotEverything();   debugger;                                   
        category();
        quickLink(-1);
        makeFlightGroups();
         initialCategory();
      break;
     case 'earth':
      quickLink(-1);
      // will be called asynchronously when earth is ready
      break;
     default:
      alert ('draweverythinginsanity');
     }
    }
   }
   else {
    this.statusUpdate('..nothing to do',true,'there was no data');
   } 
  }
 }
</t>
  </si>
  <si>
    <t xml:space="preserve">// flightpath stuff
                    function toType(obj) {
                        return ({}).toString.call(obj).match(/\s([a-zA-Z]+)/)[1].toLowerCase()
                    }
                    function isArray(arg) {
                        return toType(arg) == 'array';
                    }
                    function createFlightGroups() {
                        var flightGroups = [];
                        var cj = mcpherData.cJobject;
                        var fg;
                        for (var i = 0; i &lt; cj.length; i++) {
                            if (fg = cj[i].flightGroup) {
                                if (flightGroups.indexOf(fg) == -1) {
                                    flightGroups.push(fg);
                                }
                                cj[i].flightGroupIndex = flightGroups.indexOf(fg);
                            } else cj[i].flightGroupIndex = -1;
                        }
                        return flightGroups;
                    }
                    function initialCategory() {
                        // sets initial category using the first select element
                        var cj = mcpherData.cJobject;
                        var c, p;
                        var combos = getAllCombos();
                        if (combos.length &gt; 0) {
                            var cats = createCategories(combos[0]);
                            for (var i = 0; i &lt; cj.length; i++) {
                                if (c = cj[i].startCategory) {
                                    if ((p = cats.indexOf(c)) != -1) {
                                        var elem = document.getElementById('selectcategory0');
                                        elem.value = p;
                                        dealWithCategories(elem);
                                        return p;
                                    }
                                }
                            }
                        }
                        return -1;
                    }
                    // this is because IE doesnt have indexOf...
                    if (!Array.indexOf) {
                        Array.prototype.indexOf = function(obj, start) {
                            for (var i = (start || 0); i &lt; this.length; i++) {
                                if (this[i] == obj) {
                                    return i;
                                }
                            }
                            return -1;
                        }
                    }
                    function makeFlightGroups() {
                        var flightGroups = createFlightGroups();
                        var cj = mcpherData.cJobject;
                        for (var j = 0; j &lt; flightGroups.length; j++) {
                            var flightCoords = [];
                            var color = "#FF0000";
                            for (var i = 0; i &lt; cj.length; i++) {
                                if (j == cj[i].flightGroupIndex) {
                                    flightCoords.push(cj[i].marker.position);
                                    if (cj[i].flightColor) color = cj[i].flightColor;
                                }
                            }
                            if (flightCoords.length) {
                                flightGroups[j].flightPath = new google.maps.Polyline({
                                    path: flightCoords,
                                    strokeColor: color,
                                    strokeOpacity: 1.0,
                                    strokeWeight: 2,
                                    map: gMap
                                });
                            }
                        }
                        return flightGroups;
                    }
                    function mcpherAddMarker(cj) {
                        var p = new google.maps.LatLng(cj.lat, cj.lng);
                        cj.circle = null;
                        if (cj.size) {
                            var circle = {
                                strokeColor: cj.color,
                                strokeOpacity: 0.8,
                                strokeWeight: 1,
                                fillColor: cj.color,
                                fillOpacity: 0.20,
                                map: gMap,
                                center: p,
                                radius: parseFloat(cj.size),
                            };
                            var drawCirle = new google.maps.Circle(circle);
                            cj.circle = drawCirle;
                        }
                        var marker = new google.maps.Marker({
                            position: p,
                            map: gMap,
                            title: cj.title
                        });
                        cj.marker = marker;
                        cj.infowindow = null;
                        if (cj.image) marker.setIcon(cj.image);
                        if (cj.content) {
                            cj.infowindow = new google.maps.InfoWindow({
                                content: cj.content
                            });
                            google.maps.event.addListener(cj.marker, 'click', function() {
                                cj.infowindow.open(gMap, cj.marker);
                            });
                        }
                        return cj.marker;
                    }
                    function mcpherGetqparams() {
                        var qparams = new Array();
                        var htmlquery = window.location.search.substring(1);
                        var htmlparams = htmlquery.split('&amp;');
                        for (var i = 0; i &lt; htmlparams.length; i++) {
                            var k = htmlparams[i].indexOf('=');
                            if (k &gt; 0) qparams[htmlparams[i].substring(0, k)] = decodeURI(htmlparams[i].substring(k + 1));
                            return qparams;
                        }
                    }
                    function dealWithQuickLink(selValue) {
                        if (vMap) {
                            var nextSpot = vMap.spots[selValue]; 
                            vMap.gotoAnotherSpot(vMap.currentSpot,nextSpot);
                            if (vMap.provider=='maps') nextSpot.createInfoWindow(0);
                        }
                        else {
                            var cj = mcpherData.cJobject[selValue];
                            if (cj.infowindow) {
                                cj.infowindow.open(gMap, cj.marker);
                            }
                            return cj.infowindow;
                        }
                    }
                    function findMySpot(cj) {
                        // return the spot to which this cj belongs
                        if(vMap) {
                            for (var i=0; i &lt; vMap.spots.length ; i++ ) {
                                if ( cj.SpotID === vMap.spots[i].spotId) return (vMap.spots[i]);
                            }
                            return null;
                        }
                        else
                            return cj;
                    }
                    function dealWithCategories() {
                        var combos = getAllCombos();
                        // start by not showing anything, except where theres no categories
                        var cj = mcpherData.cJobject;
                        for (var j = 0; j &lt; cj.length; j++) {
                            var mySpot = findMySpot(cj[j]);
                            mySpot.marker.setVisible(combos.length == 0);
                            if (mySpot.circle) {
                                    mySpot.circle.setVisible(combos.length == 0);
                                }
                        }
                        // need appear in each category
                        for (var j = 0; j &lt; cj.length  &amp;&amp; combos.length &gt; 0; j++) {
                            var show = [];
                            for (var i = 0; i &lt; combos.length ; i++) {
                                var selElem = document.getElementById('selectcategory' + i);
                                if (selElem.value != 0) {
                                    // we have a filter operating
                                    var cats = createCategories(combos[i]);
                                    var target = cats[selElem.value];
                                    if (vMap) {
                                        var c = cj[j];
                                        if (c.hasOwnProperty(combos[i])) {
                                            if(c[combos[i]] == target) show[i]=true ;
                                        }
                                    }
                                    else {
                                        for (var k = 0; k &lt; cj[j].category.length ; k++) {
                                            for (m in cj[j].category[k]) {
                                                if (m == combos[i]) {
                                                    if(cj[j].category[k][m] == target)show[i]=true;
                                                }
                                            }
                                        }
                                    }
                                }
                                else {
                                    show[i]= true;
                                }
                            }
                            // show it?
                            var x=0;
                            for (var k=0; k &lt; combos.length; k++ ) {
                                if (show[k] === true) x++;
                            }
                            if (x == combos.length) {
                                var mySpot = findMySpot(cj[j]);
                                mySpot.marker.setVisible(true);
                                if (mySpot.circle) {
                                    mySpot.circle.setVisible(true);
                                }
                            }
                        }
                        // reset to show only filtered spots
                        quickLink();
                    }
                function quickLink(selCategory) {
                        var comboElem = document.getElementById('comboquicklink');
                        if (comboElem) {
                            if (selCategory == -1) { //first time in
                                var selElem = document.createElement('select');
                                selElem.id = "quickLinks";
                            } else {
                                var selElem = document.getElementById('quickLinks');
                                selElem.options.length = 0;
                            }
                            // depends on type of app
                            var cj = vMap ? vMap.spots :  mcpherData.cJobject ;
                            mcpherAddEvent(selElem, "change", function() {
                                dealWithQuickLink(selElem.value);
                            }, false, true);
                            for (var i = 0; i &lt; cj.length; i++) {
                                // only show visible spots
                                var workit = true;
                                if (cj[i].marker) workit = cj[i].marker.visible;
                                if (workit) { 
                                    var o = document.createElement('option');
                                    o.text = cj[i].title;
                                    o.value = i;
                                    selElem.value = o.value;
                                    try {
                                        selElem.add(o, null);
                                    } catch (error) {
                                        selElem.add(o);
                                    }
                                }
                            }
                            comboElem.appendChild(selElem);
                        }
                    }
                    function createCategories(categoryName) {
                        var cats = [];
                        var cj = mcpherData.cJobject;
                        for (var i = 0; i &lt; cj.length; i++) {
                            // find the matching object
                            if (vMap) {
                                if(cj[i].hasOwnProperty(categoryName)) {
                                    if (cats.indexOf(cj[i][categoryName]) == -1) cats.push(cj[i][categoryName]);
                                }
                            } 
                            else {
                                for (var j = 0; j &lt; cj[i].category.length; j++) {
                                    if (cj[i].category[j].hasOwnProperty(categoryName)) {
                                        if (cats.indexOf(cj[i].category[j][categoryName]) == -1) cats.push(cj[i].category[j][categoryName]);
                                    }
                                }
                            }
                        }
                        cats.sort().splice(0, 0, 'all categories');
                        return cats;
                    }
                    function category() {
                        var comboElem = document.getElementById('combocategory');
                        if (comboElem) {
                            var combos = getAllCombos();
                            for (var j = 0; j &lt; combos.length; j++) {
                                var selElem = document.createElement('select');
                                selElem.id = "selectcategory" + j;
                                var cats = createCategories(combos[j]);
                                mcpherAddEvent(selElem, "change", function() {
                                    dealWithCategories(selElem);
                                }, false, true);
                                for (var i = 0; i &lt; cats.length; i++) {
                                    var o = document.createElement('option');
                                    o.text = cats[i];
                                    o.value = i;
                                    try {
                                        selElem.add(o, null);
                                    } catch (error) {
                                        selElem.add(o);
                                    }
                                }
                                var d = document.createElement('span');
                                var t = document.createTextNode(combos[j]);
                                d.appendChild(t);
                                d.appendChild(selElem);
                                comboElem.appendChild(d);
                            }
                        }
                    }
                    function getAllCombos() {
                        var combos = [];
                        if (vMap) {
                            for (var i = 0; vMap.framework.spots.categories &amp;&amp; i &lt; vMap.framework.spots.categories.length; i++)
                                combos.push(vMap.framework.spots.categories[i]);
                        }
                        else {
                            var cj = mcpherData.cJobject;
                            for (var i = 0; i &lt; cj.length; i++) {
                                if (isArray(cj[i].category)) {
                                    for (var j = 0; j &lt; cj[i].category.length; j++) {
                                        for (k in cj[i].category[j])
                                        if (combos.indexOf(k) == -1) {
                                            combos.push(k);
                                        }
                                    }
                                }
                            }
                        }
                        return combos;
                    }
</t>
  </si>
  <si>
    <t>season,country</t>
  </si>
</sst>
</file>

<file path=xl/styles.xml><?xml version="1.0" encoding="utf-8"?>
<styleSheet xmlns="http://schemas.openxmlformats.org/spreadsheetml/2006/main">
  <numFmts count="2">
    <numFmt numFmtId="164" formatCode="dd\-mmm\-yy\ hh:mm:ss\ "/>
    <numFmt numFmtId="165" formatCode="[$-409]d\-mmm\-yy;@"/>
  </numFmts>
  <fonts count="22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595959"/>
      <name val="Verdana"/>
      <family val="2"/>
    </font>
    <font>
      <sz val="10"/>
      <color rgb="FF666666"/>
      <name val="Arial"/>
      <family val="2"/>
    </font>
    <font>
      <sz val="8"/>
      <color theme="0"/>
      <name val="Calibri"/>
      <family val="2"/>
      <scheme val="minor"/>
    </font>
    <font>
      <b/>
      <sz val="8"/>
      <color rgb="FFFF0000"/>
      <name val="Calibri"/>
      <family val="2"/>
      <scheme val="minor"/>
    </font>
    <font>
      <u/>
      <sz val="11"/>
      <color theme="10"/>
      <name val="Calibri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8"/>
      <color rgb="FF000000"/>
      <name val="Arial"/>
      <family val="2"/>
    </font>
    <font>
      <sz val="9"/>
      <color rgb="FF545454"/>
      <name val="Verdana"/>
      <family val="2"/>
    </font>
    <font>
      <sz val="8"/>
      <color rgb="FF000000"/>
      <name val="Arial"/>
      <family val="2"/>
    </font>
    <font>
      <u/>
      <sz val="8"/>
      <color theme="10"/>
      <name val="Calibri"/>
      <family val="2"/>
    </font>
    <font>
      <sz val="8"/>
      <color rgb="FF545454"/>
      <name val="Verdana"/>
      <family val="2"/>
    </font>
    <font>
      <sz val="8"/>
      <color rgb="FF000000"/>
      <name val="Inherit"/>
    </font>
    <font>
      <sz val="10"/>
      <color rgb="FF000000"/>
      <name val="Verdana"/>
      <family val="2"/>
    </font>
    <font>
      <b/>
      <sz val="9"/>
      <color rgb="FF000000"/>
      <name val="Verdana"/>
      <family val="2"/>
    </font>
    <font>
      <sz val="10"/>
      <color rgb="FF454545"/>
      <name val="Verdana"/>
      <family val="2"/>
    </font>
    <font>
      <sz val="8"/>
      <color rgb="FF404040"/>
      <name val="Arial"/>
      <family val="2"/>
    </font>
    <font>
      <sz val="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93">
    <xf numFmtId="0" fontId="0" fillId="0" borderId="0" xfId="0"/>
    <xf numFmtId="0" fontId="1" fillId="0" borderId="0" xfId="0" applyFont="1"/>
    <xf numFmtId="0" fontId="1" fillId="2" borderId="0" xfId="0" applyFont="1" applyFill="1"/>
    <xf numFmtId="9" fontId="1" fillId="0" borderId="0" xfId="0" applyNumberFormat="1" applyFont="1"/>
    <xf numFmtId="164" fontId="1" fillId="2" borderId="0" xfId="0" applyNumberFormat="1" applyFont="1" applyFill="1"/>
    <xf numFmtId="164" fontId="1" fillId="0" borderId="0" xfId="0" applyNumberFormat="1" applyFont="1"/>
    <xf numFmtId="0" fontId="0" fillId="3" borderId="0" xfId="0" applyFill="1"/>
    <xf numFmtId="0" fontId="1" fillId="3" borderId="0" xfId="0" applyFont="1" applyFill="1"/>
    <xf numFmtId="0" fontId="0" fillId="3" borderId="0" xfId="0" applyFill="1" applyAlignment="1"/>
    <xf numFmtId="0" fontId="0" fillId="0" borderId="0" xfId="0" applyAlignment="1"/>
    <xf numFmtId="0" fontId="2" fillId="0" borderId="0" xfId="0" applyFont="1"/>
    <xf numFmtId="0" fontId="3" fillId="0" borderId="0" xfId="0" applyFont="1"/>
    <xf numFmtId="0" fontId="1" fillId="3" borderId="0" xfId="0" applyFont="1" applyFill="1" applyAlignment="1">
      <alignment wrapText="1"/>
    </xf>
    <xf numFmtId="49" fontId="1" fillId="3" borderId="0" xfId="0" applyNumberFormat="1" applyFont="1" applyFill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horizontal="left" vertical="top" wrapText="1"/>
    </xf>
    <xf numFmtId="49" fontId="1" fillId="0" borderId="0" xfId="0" applyNumberFormat="1" applyFont="1" applyAlignment="1">
      <alignment wrapText="1"/>
    </xf>
    <xf numFmtId="0" fontId="4" fillId="4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5" fillId="0" borderId="0" xfId="0" applyFont="1" applyAlignment="1"/>
    <xf numFmtId="0" fontId="1" fillId="0" borderId="0" xfId="0" quotePrefix="1" applyNumberFormat="1" applyFont="1"/>
    <xf numFmtId="0" fontId="6" fillId="0" borderId="0" xfId="1" applyAlignment="1" applyProtection="1"/>
    <xf numFmtId="0" fontId="4" fillId="6" borderId="0" xfId="0" applyFont="1" applyFill="1" applyAlignment="1">
      <alignment wrapText="1"/>
    </xf>
    <xf numFmtId="0" fontId="4" fillId="6" borderId="0" xfId="0" applyFont="1" applyFill="1"/>
    <xf numFmtId="0" fontId="4" fillId="5" borderId="0" xfId="0" applyFont="1" applyFill="1" applyAlignment="1">
      <alignment wrapText="1"/>
    </xf>
    <xf numFmtId="0" fontId="1" fillId="7" borderId="0" xfId="0" applyFont="1" applyFill="1"/>
    <xf numFmtId="0" fontId="4" fillId="7" borderId="0" xfId="0" applyFon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7" fillId="0" borderId="0" xfId="0" applyFont="1" applyFill="1"/>
    <xf numFmtId="0" fontId="4" fillId="8" borderId="0" xfId="0" applyFont="1" applyFill="1"/>
    <xf numFmtId="0" fontId="1" fillId="0" borderId="0" xfId="0" applyFont="1" applyFill="1"/>
    <xf numFmtId="15" fontId="0" fillId="0" borderId="0" xfId="0" applyNumberFormat="1"/>
    <xf numFmtId="0" fontId="1" fillId="6" borderId="0" xfId="0" applyFont="1" applyFill="1"/>
    <xf numFmtId="0" fontId="6" fillId="0" borderId="0" xfId="1" applyAlignment="1" applyProtection="1">
      <alignment wrapText="1"/>
    </xf>
    <xf numFmtId="0" fontId="4" fillId="9" borderId="0" xfId="0" applyFont="1" applyFill="1"/>
    <xf numFmtId="0" fontId="4" fillId="9" borderId="0" xfId="0" applyFont="1" applyFill="1" applyAlignment="1">
      <alignment wrapText="1"/>
    </xf>
    <xf numFmtId="0" fontId="0" fillId="0" borderId="0" xfId="0" applyNumberFormat="1"/>
    <xf numFmtId="0" fontId="0" fillId="3" borderId="0" xfId="0" applyNumberFormat="1" applyFill="1"/>
    <xf numFmtId="0" fontId="9" fillId="0" borderId="0" xfId="0" applyFont="1"/>
    <xf numFmtId="15" fontId="8" fillId="0" borderId="0" xfId="0" applyNumberFormat="1" applyFont="1"/>
    <xf numFmtId="0" fontId="8" fillId="0" borderId="0" xfId="0" applyFont="1"/>
    <xf numFmtId="0" fontId="0" fillId="9" borderId="0" xfId="0" applyFill="1"/>
    <xf numFmtId="0" fontId="1" fillId="9" borderId="0" xfId="0" applyFont="1" applyFill="1"/>
    <xf numFmtId="164" fontId="1" fillId="9" borderId="0" xfId="0" applyNumberFormat="1" applyFont="1" applyFill="1"/>
    <xf numFmtId="0" fontId="11" fillId="0" borderId="0" xfId="0" applyFont="1"/>
    <xf numFmtId="1" fontId="10" fillId="0" borderId="0" xfId="0" applyNumberFormat="1" applyFont="1"/>
    <xf numFmtId="1" fontId="1" fillId="0" borderId="0" xfId="0" applyNumberFormat="1" applyFont="1" applyAlignment="1">
      <alignment wrapText="1"/>
    </xf>
    <xf numFmtId="0" fontId="1" fillId="3" borderId="0" xfId="0" applyFont="1" applyFill="1" applyAlignment="1"/>
    <xf numFmtId="0" fontId="1" fillId="0" borderId="0" xfId="0" applyFont="1" applyAlignment="1"/>
    <xf numFmtId="14" fontId="1" fillId="0" borderId="0" xfId="0" applyNumberFormat="1" applyFont="1" applyAlignment="1"/>
    <xf numFmtId="0" fontId="13" fillId="0" borderId="0" xfId="1" applyFont="1" applyAlignment="1" applyProtection="1"/>
    <xf numFmtId="0" fontId="1" fillId="3" borderId="0" xfId="0" applyNumberFormat="1" applyFont="1" applyFill="1" applyAlignment="1"/>
    <xf numFmtId="49" fontId="1" fillId="3" borderId="0" xfId="0" applyNumberFormat="1" applyFont="1" applyFill="1" applyAlignment="1"/>
    <xf numFmtId="0" fontId="4" fillId="4" borderId="0" xfId="0" applyFont="1" applyFill="1" applyAlignment="1"/>
    <xf numFmtId="0" fontId="1" fillId="5" borderId="0" xfId="0" applyFont="1" applyFill="1" applyAlignment="1"/>
    <xf numFmtId="0" fontId="1" fillId="0" borderId="0" xfId="0" applyNumberFormat="1" applyFont="1" applyAlignment="1"/>
    <xf numFmtId="0" fontId="12" fillId="0" borderId="0" xfId="0" applyFont="1" applyAlignment="1"/>
    <xf numFmtId="15" fontId="12" fillId="0" borderId="0" xfId="0" applyNumberFormat="1" applyFont="1" applyAlignment="1"/>
    <xf numFmtId="49" fontId="1" fillId="0" borderId="0" xfId="0" applyNumberFormat="1" applyFont="1" applyAlignment="1"/>
    <xf numFmtId="0" fontId="15" fillId="0" borderId="0" xfId="0" applyFont="1" applyAlignment="1"/>
    <xf numFmtId="0" fontId="0" fillId="3" borderId="0" xfId="0" applyNumberFormat="1" applyFill="1" applyAlignment="1">
      <alignment wrapText="1"/>
    </xf>
    <xf numFmtId="0" fontId="0" fillId="0" borderId="0" xfId="0" applyNumberFormat="1" applyAlignment="1">
      <alignment wrapText="1"/>
    </xf>
    <xf numFmtId="0" fontId="16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wrapText="1"/>
    </xf>
    <xf numFmtId="0" fontId="17" fillId="0" borderId="0" xfId="0" applyFont="1"/>
    <xf numFmtId="0" fontId="1" fillId="0" borderId="1" xfId="0" applyFont="1" applyBorder="1" applyAlignment="1">
      <alignment horizontal="center" vertical="center"/>
    </xf>
    <xf numFmtId="0" fontId="18" fillId="0" borderId="0" xfId="0" applyFont="1"/>
    <xf numFmtId="0" fontId="12" fillId="0" borderId="0" xfId="0" applyFont="1"/>
    <xf numFmtId="0" fontId="12" fillId="0" borderId="0" xfId="0" applyFont="1" applyAlignment="1">
      <alignment wrapText="1"/>
    </xf>
    <xf numFmtId="14" fontId="1" fillId="0" borderId="0" xfId="0" applyNumberFormat="1" applyFont="1" applyAlignment="1">
      <alignment wrapText="1"/>
    </xf>
    <xf numFmtId="0" fontId="1" fillId="0" borderId="1" xfId="0" applyFont="1" applyBorder="1" applyAlignment="1">
      <alignment horizontal="center" vertical="center"/>
    </xf>
    <xf numFmtId="0" fontId="19" fillId="0" borderId="0" xfId="0" applyFont="1"/>
    <xf numFmtId="0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10" borderId="0" xfId="0" applyNumberFormat="1" applyFont="1" applyFill="1" applyAlignment="1">
      <alignment wrapText="1"/>
    </xf>
    <xf numFmtId="49" fontId="1" fillId="11" borderId="0" xfId="0" applyNumberFormat="1" applyFont="1" applyFill="1" applyAlignment="1">
      <alignment wrapText="1"/>
    </xf>
    <xf numFmtId="49" fontId="7" fillId="12" borderId="0" xfId="0" applyNumberFormat="1" applyFont="1" applyFill="1" applyAlignment="1">
      <alignment wrapText="1"/>
    </xf>
    <xf numFmtId="0" fontId="1" fillId="0" borderId="1" xfId="0" applyFont="1" applyBorder="1" applyAlignment="1">
      <alignment horizontal="center" vertical="center"/>
    </xf>
    <xf numFmtId="14" fontId="1" fillId="0" borderId="0" xfId="0" applyNumberFormat="1" applyFont="1"/>
    <xf numFmtId="14" fontId="0" fillId="0" borderId="0" xfId="0" applyNumberFormat="1"/>
    <xf numFmtId="49" fontId="4" fillId="13" borderId="0" xfId="0" applyNumberFormat="1" applyFont="1" applyFill="1" applyAlignment="1">
      <alignment vertical="center" wrapText="1"/>
    </xf>
    <xf numFmtId="49" fontId="1" fillId="0" borderId="0" xfId="0" applyNumberFormat="1" applyFont="1" applyAlignment="1">
      <alignment vertical="center" wrapText="1"/>
    </xf>
    <xf numFmtId="49" fontId="1" fillId="0" borderId="0" xfId="0" quotePrefix="1" applyNumberFormat="1" applyFont="1" applyAlignment="1">
      <alignment vertical="center" wrapText="1"/>
    </xf>
    <xf numFmtId="0" fontId="1" fillId="0" borderId="0" xfId="0" applyNumberFormat="1" applyFont="1" applyAlignment="1">
      <alignment vertical="center" wrapText="1"/>
    </xf>
    <xf numFmtId="165" fontId="1" fillId="3" borderId="0" xfId="0" applyNumberFormat="1" applyFont="1" applyFill="1" applyAlignment="1"/>
    <xf numFmtId="165" fontId="1" fillId="0" borderId="0" xfId="0" applyNumberFormat="1" applyFont="1" applyAlignment="1"/>
    <xf numFmtId="0" fontId="1" fillId="0" borderId="1" xfId="0" applyFont="1" applyBorder="1" applyAlignment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://ramblings.mcpher.com/images/pic240.png" TargetMode="External"/><Relationship Id="rId12" Type="http://schemas.openxmlformats.org/officeDocument/2006/relationships/ctrlProp" Target="../ctrlProps/ctrlProp5.xml"/><Relationship Id="rId2" Type="http://schemas.openxmlformats.org/officeDocument/2006/relationships/hyperlink" Target="http://ramblings.mcpher.com/images/pic239.png" TargetMode="External"/><Relationship Id="rId1" Type="http://schemas.openxmlformats.org/officeDocument/2006/relationships/hyperlink" Target="http://ramblings.mcpher.com/images/pic238.png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://ramblings.mcpher.com/Home/excelquirks/getmap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ramblings.mcpher.com/Home/excelquirks/getmaps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://ramblings.mcpher.com/images/pic239.png" TargetMode="External"/><Relationship Id="rId2" Type="http://schemas.openxmlformats.org/officeDocument/2006/relationships/hyperlink" Target="http://ramblings.mcpher.com/images/pic238.png" TargetMode="External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3.bin"/><Relationship Id="rId10" Type="http://schemas.openxmlformats.org/officeDocument/2006/relationships/ctrlProp" Target="../ctrlProps/ctrlProp11.xml"/><Relationship Id="rId4" Type="http://schemas.openxmlformats.org/officeDocument/2006/relationships/hyperlink" Target="http://ramblings.mcpher.com/images/pic240.png" TargetMode="Externa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ramblings.mcpher.com/Home/excelquirks/getmap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ramblings.mcpher.com/Home/excelquirks/getmaps" TargetMode="External"/><Relationship Id="rId5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5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8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ramblings.mcpher.com/Home/excelquirks/getmaps" TargetMode="External"/><Relationship Id="rId5" Type="http://schemas.openxmlformats.org/officeDocument/2006/relationships/ctrlProp" Target="../ctrlProps/ctrlProp3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ramblings.mcpher.com/images/pic243.png" TargetMode="External"/><Relationship Id="rId2" Type="http://schemas.openxmlformats.org/officeDocument/2006/relationships/hyperlink" Target="http://ramblings.mcpher.com/images/pic242.png" TargetMode="External"/><Relationship Id="rId1" Type="http://schemas.openxmlformats.org/officeDocument/2006/relationships/hyperlink" Target="http://ramblings.mcpher.com/images/pic241.png" TargetMode="External"/><Relationship Id="rId6" Type="http://schemas.openxmlformats.org/officeDocument/2006/relationships/printerSettings" Target="../printerSettings/printerSettings12.bin"/><Relationship Id="rId5" Type="http://schemas.openxmlformats.org/officeDocument/2006/relationships/hyperlink" Target="http://ramblings.mcpher.com/Home/excelquirks/getmaps" TargetMode="External"/><Relationship Id="rId4" Type="http://schemas.openxmlformats.org/officeDocument/2006/relationships/hyperlink" Target="http://ramblings.mcpher.com/images/pic244.png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ramblings.mcpher.com/Home/excelquirks/getmaps" TargetMode="External"/><Relationship Id="rId5" Type="http://schemas.openxmlformats.org/officeDocument/2006/relationships/ctrlProp" Target="../ctrlProps/ctrlProp33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ramblings.mcpher.com/Home/excelquirks/getmaps" TargetMode="Externa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9" Type="http://schemas.openxmlformats.org/officeDocument/2006/relationships/ctrlProp" Target="../ctrlProps/ctrlProp3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://ramblings.mcpher.com/images/pic250.png" TargetMode="External"/><Relationship Id="rId7" Type="http://schemas.openxmlformats.org/officeDocument/2006/relationships/vmlDrawing" Target="../drawings/vmlDrawing17.vml"/><Relationship Id="rId2" Type="http://schemas.openxmlformats.org/officeDocument/2006/relationships/hyperlink" Target="http://ramblings.mcpher.com/images/pic245.png" TargetMode="External"/><Relationship Id="rId1" Type="http://schemas.openxmlformats.org/officeDocument/2006/relationships/hyperlink" Target="http://en.wikipedia.org/wiki/Istana_Nurul_Iman" TargetMode="External"/><Relationship Id="rId6" Type="http://schemas.openxmlformats.org/officeDocument/2006/relationships/printerSettings" Target="../printerSettings/printerSettings15.bin"/><Relationship Id="rId11" Type="http://schemas.openxmlformats.org/officeDocument/2006/relationships/ctrlProp" Target="../ctrlProps/ctrlProp44.xml"/><Relationship Id="rId5" Type="http://schemas.openxmlformats.org/officeDocument/2006/relationships/hyperlink" Target="http://ramblings.mcpher.com/Home/excelquirks/getmaps" TargetMode="External"/><Relationship Id="rId10" Type="http://schemas.openxmlformats.org/officeDocument/2006/relationships/ctrlProp" Target="../ctrlProps/ctrlProp43.xml"/><Relationship Id="rId4" Type="http://schemas.openxmlformats.org/officeDocument/2006/relationships/hyperlink" Target="http://ramblings.mcpher.com/images/pic249.png" TargetMode="External"/><Relationship Id="rId9" Type="http://schemas.openxmlformats.org/officeDocument/2006/relationships/ctrlProp" Target="../ctrlProps/ctrlProp4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ramblings.mcpher.com/images/pic246.png" TargetMode="External"/><Relationship Id="rId2" Type="http://schemas.openxmlformats.org/officeDocument/2006/relationships/hyperlink" Target="http://en.wikipedia.org/wiki/Haji_Hassanal_Bolkiah" TargetMode="External"/><Relationship Id="rId1" Type="http://schemas.openxmlformats.org/officeDocument/2006/relationships/hyperlink" Target="http://en.wikipedia.org/wiki/Abdullah_of_Saudi_Arabia" TargetMode="External"/><Relationship Id="rId6" Type="http://schemas.openxmlformats.org/officeDocument/2006/relationships/printerSettings" Target="../printerSettings/printerSettings16.bin"/><Relationship Id="rId5" Type="http://schemas.openxmlformats.org/officeDocument/2006/relationships/hyperlink" Target="http://ramblings.mcpher.com/Home/excelquirks/getmaps" TargetMode="External"/><Relationship Id="rId4" Type="http://schemas.openxmlformats.org/officeDocument/2006/relationships/hyperlink" Target="http://ramblings.mcpher.com/images/pic247.png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ramblings.mcpher.com/Home/excelquirks/getmaps" TargetMode="External"/><Relationship Id="rId5" Type="http://schemas.openxmlformats.org/officeDocument/2006/relationships/ctrlProp" Target="../ctrlProps/ctrlProp4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1" Type="http://schemas.openxmlformats.org/officeDocument/2006/relationships/vmlDrawing" Target="../drawings/vmlDrawing19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://ramblings.mcpher.com/Home/excelquirks/getmaps" TargetMode="External"/><Relationship Id="rId5" Type="http://schemas.openxmlformats.org/officeDocument/2006/relationships/ctrlProp" Target="../ctrlProps/ctrlProp4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://ramblings.mcpher.com/Home/excelquirks/getmaps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http://ramblings.mcpher.com/Home/excelquirks/getmaps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://ramblings.mcpher.com/Home/excelquirks/getmaps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://ramblings.mcpher.com/Home/excelquirks/getmaps" TargetMode="External"/><Relationship Id="rId1" Type="http://schemas.openxmlformats.org/officeDocument/2006/relationships/hyperlink" Target="http://www1.pictures.zimbio.com/mp/AHT2geJE1jFc.jpg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ramblings.mcpher.com/Home/excelquirks/getmap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://ramblings.mcpher.com/Home/excelquirks/getmap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://www.businessweek.com/bw50/2007/image/LEH.jpg" TargetMode="External"/><Relationship Id="rId1" Type="http://schemas.openxmlformats.org/officeDocument/2006/relationships/hyperlink" Target="http://ramblings.mcpher.com/Home/excelquirks/getmaps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ramblings.mcpher.com/Home/excelquirks/getmaps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http://ramblings.mcpher.com/Home/excelquirks/getmaps" TargetMode="Externa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http://ramblings.mcpher.com/Home/excelquirks/getmap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hyperlink" Target="http://ramblings.mcpher.com/Home/excelquirks/getmaps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://ramblings.mcpher.com/Home/excelquirks/getmaps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1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W15"/>
  <sheetViews>
    <sheetView tabSelected="1" workbookViewId="0">
      <selection activeCell="C22" sqref="C22"/>
    </sheetView>
  </sheetViews>
  <sheetFormatPr defaultColWidth="8.28515625" defaultRowHeight="25.5" customHeight="1"/>
  <cols>
    <col min="1" max="1" width="6.28515625" style="14" customWidth="1"/>
    <col min="2" max="2" width="8.28515625" style="14"/>
    <col min="3" max="3" width="26.42578125" style="16" customWidth="1"/>
    <col min="4" max="4" width="9.42578125" style="16" customWidth="1"/>
    <col min="5" max="5" width="10.7109375" style="16" customWidth="1"/>
    <col min="6" max="6" width="8.140625" style="16" customWidth="1"/>
    <col min="7" max="7" width="10.140625" style="16" customWidth="1"/>
    <col min="8" max="8" width="15.85546875" style="16" customWidth="1"/>
    <col min="9" max="9" width="9.85546875" style="16" customWidth="1"/>
    <col min="10" max="11" width="8.28515625" style="14"/>
    <col min="12" max="12" width="10.85546875" style="14" customWidth="1"/>
    <col min="13" max="13" width="8.28515625" style="14"/>
    <col min="14" max="14" width="11.85546875" style="14" customWidth="1"/>
    <col min="15" max="15" width="8.28515625" style="14"/>
    <col min="16" max="16" width="12" style="14" customWidth="1"/>
    <col min="17" max="17" width="7" style="14" customWidth="1"/>
    <col min="18" max="18" width="18.85546875" style="14" customWidth="1"/>
    <col min="19" max="20" width="8.28515625" style="14"/>
    <col min="21" max="21" width="28.5703125" style="14" customWidth="1"/>
    <col min="22" max="22" width="23" style="14" customWidth="1"/>
    <col min="23" max="16384" width="8.28515625" style="14"/>
  </cols>
  <sheetData>
    <row r="1" spans="1:23" ht="25.5" customHeight="1">
      <c r="A1" s="12" t="s">
        <v>349</v>
      </c>
      <c r="B1" s="12" t="s">
        <v>346</v>
      </c>
      <c r="C1" s="13" t="s">
        <v>87</v>
      </c>
      <c r="D1" s="13" t="s">
        <v>499</v>
      </c>
      <c r="E1" s="13" t="s">
        <v>807</v>
      </c>
      <c r="F1" s="13" t="s">
        <v>806</v>
      </c>
      <c r="G1" s="13" t="s">
        <v>3224</v>
      </c>
      <c r="H1" s="13" t="s">
        <v>821</v>
      </c>
      <c r="I1" s="13" t="s">
        <v>3237</v>
      </c>
      <c r="J1" s="17" t="s">
        <v>10</v>
      </c>
      <c r="K1" s="17" t="s">
        <v>134</v>
      </c>
      <c r="L1" s="17" t="s">
        <v>86</v>
      </c>
      <c r="M1" s="17" t="s">
        <v>97</v>
      </c>
      <c r="N1" s="17" t="s">
        <v>89</v>
      </c>
      <c r="O1" s="17" t="s">
        <v>133</v>
      </c>
      <c r="P1" s="17" t="s">
        <v>90</v>
      </c>
      <c r="Q1" s="17" t="s">
        <v>107</v>
      </c>
      <c r="R1" s="17" t="s">
        <v>20</v>
      </c>
      <c r="S1" s="17" t="s">
        <v>143</v>
      </c>
      <c r="T1" s="17" t="s">
        <v>144</v>
      </c>
      <c r="U1" s="18" t="s">
        <v>242</v>
      </c>
      <c r="V1" s="12" t="s">
        <v>316</v>
      </c>
      <c r="W1" s="14" t="s">
        <v>398</v>
      </c>
    </row>
    <row r="2" spans="1:23" ht="25.5" customHeight="1">
      <c r="A2" s="14">
        <v>101</v>
      </c>
      <c r="B2" s="14" t="s">
        <v>348</v>
      </c>
      <c r="C2" s="16" t="s">
        <v>347</v>
      </c>
      <c r="D2" s="14" t="str">
        <f>B2</f>
        <v>Rosemount theatre</v>
      </c>
      <c r="E2" s="14" t="str">
        <f>rgbToHTMLHex(rampLibraryRGB("heatmap",MIN($F$2:$F$8),MAX($F$2:$F$8),F2))</f>
        <v>#20FF00</v>
      </c>
      <c r="F2" s="14">
        <v>500000</v>
      </c>
      <c r="G2" s="1"/>
      <c r="H2" s="1" t="s">
        <v>822</v>
      </c>
      <c r="I2" s="1" t="str">
        <f>IF(F2&lt;AVERAGE($F$2:$F$8),"small","big")</f>
        <v>big</v>
      </c>
      <c r="J2" s="14" t="s">
        <v>82</v>
      </c>
      <c r="K2" s="14" t="s">
        <v>9</v>
      </c>
      <c r="L2" s="14" t="s">
        <v>351</v>
      </c>
      <c r="M2" s="14" t="s">
        <v>2977</v>
      </c>
      <c r="N2" s="14" t="s">
        <v>2978</v>
      </c>
      <c r="P2" s="14">
        <v>5400</v>
      </c>
      <c r="Q2" s="14">
        <v>60018</v>
      </c>
      <c r="R2" s="14" t="s">
        <v>2979</v>
      </c>
      <c r="S2" s="14">
        <v>41.976641000000001</v>
      </c>
      <c r="T2" s="14">
        <v>-87.863689999999991</v>
      </c>
      <c r="U2" s="14" t="str">
        <f t="shared" ref="U2:U8" si="0">"&lt;b&gt;" &amp; B2 &amp; "&lt;/b&gt;&lt;br&gt;" &amp; SUBSTITUTE(R2,",","&lt;br&gt;") &amp; "&lt;br&gt;"</f>
        <v>&lt;b&gt;Rosemount theatre&lt;/b&gt;&lt;br&gt;5400 North River Road&lt;br&gt; Des Plaines&lt;br&gt; IL 60018&lt;br&gt; USA&lt;br&gt;</v>
      </c>
      <c r="V2" s="34" t="s">
        <v>394</v>
      </c>
      <c r="W2" s="14" t="str">
        <f>B2</f>
        <v>Rosemount theatre</v>
      </c>
    </row>
    <row r="3" spans="1:23" ht="25.5" customHeight="1">
      <c r="A3" s="14">
        <v>102</v>
      </c>
      <c r="B3" s="14" t="s">
        <v>353</v>
      </c>
      <c r="C3" s="16" t="s">
        <v>352</v>
      </c>
      <c r="D3" s="14" t="str">
        <f t="shared" ref="D3:D8" si="1">B3</f>
        <v>UNO Lakefront Arena</v>
      </c>
      <c r="E3" s="14" t="str">
        <f>rgbToHTMLHex(rampLibraryRGB("heatmap",MIN($F$2:$F$8),MAX($F$2:$F$8),F3))</f>
        <v>#0000FF</v>
      </c>
      <c r="F3" s="14">
        <v>200000</v>
      </c>
      <c r="G3" s="1"/>
      <c r="H3" s="21"/>
      <c r="I3" s="1" t="str">
        <f t="shared" ref="I3:I8" si="2">IF(F3&lt;AVERAGE($F$2:$F$8),"small","big")</f>
        <v>small</v>
      </c>
      <c r="J3" s="14" t="s">
        <v>82</v>
      </c>
      <c r="K3" s="14" t="s">
        <v>9</v>
      </c>
      <c r="L3" s="14" t="s">
        <v>366</v>
      </c>
      <c r="M3" s="14" t="s">
        <v>367</v>
      </c>
      <c r="N3" s="14" t="s">
        <v>2980</v>
      </c>
      <c r="P3" s="14">
        <v>6801</v>
      </c>
      <c r="Q3" s="14">
        <v>70122</v>
      </c>
      <c r="R3" s="14" t="s">
        <v>2981</v>
      </c>
      <c r="S3" s="14">
        <v>30.029015600000001</v>
      </c>
      <c r="T3" s="14">
        <v>-90.052273299999996</v>
      </c>
      <c r="U3" s="14" t="str">
        <f t="shared" si="0"/>
        <v>&lt;b&gt;UNO Lakefront Arena&lt;/b&gt;&lt;br&gt;6801 Franklin Avenue&lt;br&gt; New Orleans&lt;br&gt; LA 70122&lt;br&gt; USA&lt;br&gt;</v>
      </c>
      <c r="V3" s="34" t="s">
        <v>393</v>
      </c>
      <c r="W3" s="14" t="str">
        <f t="shared" ref="W3:W8" si="3">B3</f>
        <v>UNO Lakefront Arena</v>
      </c>
    </row>
    <row r="4" spans="1:23" ht="25.5" customHeight="1">
      <c r="A4" s="14">
        <v>103</v>
      </c>
      <c r="B4" s="14" t="s">
        <v>355</v>
      </c>
      <c r="C4" s="16" t="s">
        <v>378</v>
      </c>
      <c r="D4" s="14" t="str">
        <f t="shared" si="1"/>
        <v>Intex</v>
      </c>
      <c r="E4" s="14" t="str">
        <f>rgbToHTMLHex(rampLibraryRGB("heatmap",MIN($F$2:$F$8),MAX($F$2:$F$8),F4))</f>
        <v>#00609F</v>
      </c>
      <c r="F4" s="14">
        <v>300000</v>
      </c>
      <c r="G4" s="1"/>
      <c r="H4" s="14"/>
      <c r="I4" s="1" t="str">
        <f t="shared" si="2"/>
        <v>small</v>
      </c>
      <c r="J4" s="14" t="s">
        <v>375</v>
      </c>
      <c r="K4" s="14" t="s">
        <v>374</v>
      </c>
      <c r="M4" s="14" t="s">
        <v>379</v>
      </c>
      <c r="O4" s="14" t="s">
        <v>663</v>
      </c>
      <c r="Q4" s="14" t="s">
        <v>380</v>
      </c>
      <c r="R4" s="14" t="s">
        <v>664</v>
      </c>
      <c r="S4" s="14">
        <v>34.637648899999988</v>
      </c>
      <c r="T4" s="14">
        <v>135.41451040000001</v>
      </c>
      <c r="U4" s="14" t="str">
        <f t="shared" si="0"/>
        <v>&lt;b&gt;Intex&lt;/b&gt;&lt;br&gt;Nankokita&lt;br&gt; Suminoe Ward&lt;br&gt; Osaka&lt;br&gt; Osaka Prefecture 559-0034&lt;br&gt; Japan&lt;br&gt;</v>
      </c>
      <c r="V4" s="34" t="s">
        <v>395</v>
      </c>
      <c r="W4" s="14" t="str">
        <f t="shared" si="3"/>
        <v>Intex</v>
      </c>
    </row>
    <row r="5" spans="1:23" ht="25.5" customHeight="1">
      <c r="A5" s="14">
        <v>104</v>
      </c>
      <c r="B5" s="14" t="s">
        <v>356</v>
      </c>
      <c r="C5" s="16" t="s">
        <v>357</v>
      </c>
      <c r="D5" s="14" t="str">
        <f t="shared" si="1"/>
        <v>olympic park</v>
      </c>
      <c r="E5" s="14" t="str">
        <f>rgbToHTMLHex(rampLibraryRGB("heatmap",MIN($F$2:$F$8),MAX($F$2:$F$8),F5))</f>
        <v>#80FF00</v>
      </c>
      <c r="F5" s="14">
        <v>600000</v>
      </c>
      <c r="G5" s="1"/>
      <c r="H5" s="1" t="s">
        <v>822</v>
      </c>
      <c r="I5" s="1" t="str">
        <f t="shared" si="2"/>
        <v>big</v>
      </c>
      <c r="J5" s="14" t="s">
        <v>369</v>
      </c>
      <c r="K5" s="14" t="s">
        <v>368</v>
      </c>
      <c r="M5" s="14" t="s">
        <v>370</v>
      </c>
      <c r="O5" s="14" t="s">
        <v>371</v>
      </c>
      <c r="Q5" s="14" t="s">
        <v>2982</v>
      </c>
      <c r="R5" s="14" t="s">
        <v>2983</v>
      </c>
      <c r="S5" s="14">
        <v>37.519820899999999</v>
      </c>
      <c r="T5" s="14">
        <v>127.1227901</v>
      </c>
      <c r="U5" s="14" t="str">
        <f t="shared" si="0"/>
        <v>&lt;b&gt;olympic park&lt;/b&gt;&lt;br&gt;Olympic Park&lt;br&gt; Bangi-dong&lt;br&gt; Seoul&lt;br&gt; South Korea&lt;br&gt;</v>
      </c>
      <c r="W5" s="14" t="str">
        <f t="shared" si="3"/>
        <v>olympic park</v>
      </c>
    </row>
    <row r="6" spans="1:23" ht="25.5" customHeight="1">
      <c r="A6" s="14">
        <v>105</v>
      </c>
      <c r="B6" s="14" t="s">
        <v>392</v>
      </c>
      <c r="C6" s="16" t="s">
        <v>388</v>
      </c>
      <c r="D6" s="14" t="str">
        <f t="shared" si="1"/>
        <v>aktiv square</v>
      </c>
      <c r="E6" s="14" t="str">
        <f>rgbToHTMLHex(rampLibraryRGB("heatmap",MIN($F$2:$F$8),MAX($F$2:$F$8),F6))</f>
        <v>#FF0000</v>
      </c>
      <c r="F6" s="14">
        <v>1000000</v>
      </c>
      <c r="G6" s="1"/>
      <c r="H6" s="1" t="s">
        <v>822</v>
      </c>
      <c r="I6" s="1" t="str">
        <f t="shared" si="2"/>
        <v>big</v>
      </c>
      <c r="J6" s="14" t="s">
        <v>373</v>
      </c>
      <c r="K6" s="14" t="s">
        <v>372</v>
      </c>
      <c r="M6" s="14" t="s">
        <v>389</v>
      </c>
      <c r="O6" s="14" t="s">
        <v>390</v>
      </c>
      <c r="Q6" s="14">
        <v>11140</v>
      </c>
      <c r="R6" s="14" t="s">
        <v>391</v>
      </c>
      <c r="S6" s="14">
        <v>13.8448335</v>
      </c>
      <c r="T6" s="14">
        <v>100.36101789999999</v>
      </c>
      <c r="U6" s="14" t="str">
        <f t="shared" si="0"/>
        <v>&lt;b&gt;aktiv square&lt;/b&gt;&lt;br&gt;Ban Mai&lt;br&gt; Bang Yai&lt;br&gt; Nonthaburi 11140&lt;br&gt; Thailand&lt;br&gt;</v>
      </c>
      <c r="W6" s="14" t="str">
        <f t="shared" si="3"/>
        <v>aktiv square</v>
      </c>
    </row>
    <row r="7" spans="1:23" ht="25.5" customHeight="1">
      <c r="A7" s="14">
        <v>106</v>
      </c>
      <c r="B7" s="14" t="s">
        <v>358</v>
      </c>
      <c r="C7" s="16" t="s">
        <v>359</v>
      </c>
      <c r="D7" s="14" t="str">
        <f t="shared" si="1"/>
        <v>red square</v>
      </c>
      <c r="E7" s="14" t="str">
        <f>rgbToHTMLHex(rampLibraryRGB("heatmap",MIN($F$2:$F$8),MAX($F$2:$F$8),F7))</f>
        <v>#0000FF</v>
      </c>
      <c r="F7" s="14">
        <v>200000</v>
      </c>
      <c r="G7" s="1"/>
      <c r="H7" s="14"/>
      <c r="I7" s="1" t="str">
        <f t="shared" si="2"/>
        <v>small</v>
      </c>
      <c r="J7" s="14" t="s">
        <v>1046</v>
      </c>
      <c r="K7" s="14" t="s">
        <v>2984</v>
      </c>
      <c r="L7" s="14" t="s">
        <v>2985</v>
      </c>
      <c r="M7" s="14" t="s">
        <v>2986</v>
      </c>
      <c r="N7" s="14" t="s">
        <v>2987</v>
      </c>
      <c r="O7" s="14" t="s">
        <v>2988</v>
      </c>
      <c r="Q7" s="14">
        <v>6201</v>
      </c>
      <c r="R7" s="14" t="s">
        <v>2989</v>
      </c>
      <c r="S7" s="14">
        <v>-33.855778899999997</v>
      </c>
      <c r="T7" s="14">
        <v>25.5731146</v>
      </c>
      <c r="U7" s="14" t="str">
        <f t="shared" si="0"/>
        <v>&lt;b&gt;red square&lt;/b&gt;&lt;br&gt;Moscow Street&lt;br&gt; Ibhayi 6201&lt;br&gt; South Africa&lt;br&gt;</v>
      </c>
      <c r="W7" s="14" t="str">
        <f t="shared" si="3"/>
        <v>red square</v>
      </c>
    </row>
    <row r="8" spans="1:23" ht="25.5" customHeight="1">
      <c r="A8" s="14">
        <v>107</v>
      </c>
      <c r="B8" s="14" t="s">
        <v>360</v>
      </c>
      <c r="C8" s="16" t="s">
        <v>381</v>
      </c>
      <c r="D8" s="14" t="str">
        <f t="shared" si="1"/>
        <v>heineken hall</v>
      </c>
      <c r="E8" s="14" t="str">
        <f>rgbToHTMLHex(rampLibraryRGB("heatmap",MIN($F$2:$F$8),MAX($F$2:$F$8),F8))</f>
        <v>#00609F</v>
      </c>
      <c r="F8" s="14">
        <v>300000</v>
      </c>
      <c r="G8" s="1"/>
      <c r="H8" s="14"/>
      <c r="I8" s="1" t="str">
        <f t="shared" si="2"/>
        <v>small</v>
      </c>
      <c r="J8" s="14" t="s">
        <v>377</v>
      </c>
      <c r="K8" s="14" t="s">
        <v>376</v>
      </c>
      <c r="L8" s="14" t="s">
        <v>382</v>
      </c>
      <c r="M8" s="14" t="s">
        <v>2990</v>
      </c>
      <c r="O8" s="14" t="s">
        <v>383</v>
      </c>
      <c r="Q8" s="14">
        <v>1101</v>
      </c>
      <c r="R8" s="14" t="s">
        <v>2991</v>
      </c>
      <c r="S8" s="14">
        <v>52.313125900000003</v>
      </c>
      <c r="T8" s="14">
        <v>4.9405650999999997</v>
      </c>
      <c r="U8" s="14" t="str">
        <f t="shared" si="0"/>
        <v>&lt;b&gt;heineken hall&lt;/b&gt;&lt;br&gt;Arena Transferium&lt;br&gt; 1101 Amsterdam-Zuidoost&lt;br&gt; The Netherlands&lt;br&gt;</v>
      </c>
      <c r="W8" s="14" t="str">
        <f t="shared" si="3"/>
        <v>heineken hall</v>
      </c>
    </row>
    <row r="9" spans="1:23" ht="25.5" customHeight="1">
      <c r="D9" s="14"/>
      <c r="E9" s="14"/>
      <c r="F9" s="14"/>
      <c r="G9" s="14"/>
      <c r="H9" s="14"/>
      <c r="I9" s="14"/>
    </row>
    <row r="10" spans="1:23" ht="25.5" customHeight="1">
      <c r="D10" s="14"/>
      <c r="E10" s="14"/>
      <c r="F10" s="14"/>
      <c r="G10" s="14"/>
      <c r="H10" s="14"/>
      <c r="I10" s="14"/>
    </row>
    <row r="11" spans="1:23" ht="25.5" customHeight="1">
      <c r="D11" s="14"/>
      <c r="E11" s="14"/>
      <c r="F11" s="14"/>
      <c r="G11" s="14"/>
      <c r="H11" s="14"/>
      <c r="I11" s="14"/>
    </row>
    <row r="12" spans="1:23" ht="25.5" customHeight="1">
      <c r="D12" s="14"/>
      <c r="E12" s="14"/>
      <c r="F12" s="14"/>
      <c r="G12" s="14"/>
      <c r="H12" s="14"/>
      <c r="I12" s="14"/>
    </row>
    <row r="14" spans="1:23" ht="25.5" customHeight="1">
      <c r="Q14" s="1" t="s">
        <v>662</v>
      </c>
    </row>
    <row r="15" spans="1:23" ht="25.5" customHeight="1">
      <c r="Q15" s="21" t="s">
        <v>661</v>
      </c>
    </row>
  </sheetData>
  <hyperlinks>
    <hyperlink ref="V3" r:id="rId1"/>
    <hyperlink ref="V2" r:id="rId2"/>
    <hyperlink ref="V4" r:id="rId3"/>
    <hyperlink ref="Q15" r:id="rId4"/>
  </hyperlinks>
  <pageMargins left="0.7" right="0.7" top="0.75" bottom="0.75" header="0.3" footer="0.3"/>
  <pageSetup orientation="portrait" horizontalDpi="1200" verticalDpi="1200"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K82"/>
  <sheetViews>
    <sheetView topLeftCell="A20" zoomScale="102" zoomScaleNormal="102" workbookViewId="0">
      <selection activeCell="F40" sqref="F40"/>
    </sheetView>
  </sheetViews>
  <sheetFormatPr defaultColWidth="9.140625" defaultRowHeight="11.25"/>
  <cols>
    <col min="1" max="1" width="14.85546875" style="1" customWidth="1"/>
    <col min="2" max="3" width="20.5703125" style="1" customWidth="1"/>
    <col min="4" max="4" width="16" style="1" customWidth="1"/>
    <col min="5" max="5" width="5.85546875" style="1" customWidth="1"/>
    <col min="6" max="6" width="29.140625" style="1" customWidth="1"/>
    <col min="7" max="7" width="48" style="3" customWidth="1"/>
    <col min="8" max="8" width="8.42578125" style="1" customWidth="1"/>
    <col min="9" max="9" width="36.85546875" style="5" customWidth="1"/>
    <col min="10" max="10" width="11.85546875" style="1" customWidth="1"/>
    <col min="11" max="11" width="14.42578125" style="5" bestFit="1" customWidth="1"/>
    <col min="12" max="16384" width="9.140625" style="1"/>
  </cols>
  <sheetData>
    <row r="1" spans="1:11">
      <c r="A1" s="2" t="s">
        <v>496</v>
      </c>
      <c r="B1" s="2" t="s">
        <v>498</v>
      </c>
      <c r="C1" s="2" t="s">
        <v>497</v>
      </c>
      <c r="D1" s="2"/>
      <c r="E1" s="2"/>
      <c r="F1" s="2"/>
      <c r="G1" s="4"/>
      <c r="H1" s="2"/>
      <c r="I1" s="4"/>
      <c r="J1" s="2"/>
      <c r="K1" s="4"/>
    </row>
    <row r="2" spans="1:11">
      <c r="A2" s="31" t="s">
        <v>323</v>
      </c>
      <c r="B2" s="31" t="s">
        <v>362</v>
      </c>
      <c r="C2" s="29"/>
    </row>
    <row r="4" spans="1:11">
      <c r="A4" s="2" t="s">
        <v>113</v>
      </c>
      <c r="B4" s="2" t="s">
        <v>92</v>
      </c>
      <c r="C4" s="2" t="s">
        <v>88</v>
      </c>
      <c r="D4" s="2" t="s">
        <v>91</v>
      </c>
      <c r="E4" s="2" t="s">
        <v>98</v>
      </c>
      <c r="F4" s="2" t="s">
        <v>139</v>
      </c>
      <c r="G4" s="4" t="s">
        <v>193</v>
      </c>
      <c r="H4" s="2" t="s">
        <v>195</v>
      </c>
      <c r="I4" s="4" t="s">
        <v>199</v>
      </c>
      <c r="J4" s="2" t="s">
        <v>200</v>
      </c>
      <c r="K4" s="4" t="s">
        <v>237</v>
      </c>
    </row>
    <row r="5" spans="1:11">
      <c r="A5" s="1" t="s">
        <v>10</v>
      </c>
      <c r="B5" s="1" t="s">
        <v>60</v>
      </c>
      <c r="C5" s="1" t="s">
        <v>67</v>
      </c>
      <c r="D5" s="1" t="s">
        <v>61</v>
      </c>
      <c r="G5" s="1" t="s">
        <v>185</v>
      </c>
      <c r="H5" s="1" t="s">
        <v>93</v>
      </c>
      <c r="I5" s="1" t="s">
        <v>228</v>
      </c>
      <c r="J5" s="1" t="s">
        <v>93</v>
      </c>
      <c r="K5" s="5" t="str">
        <f>A5</f>
        <v>Country</v>
      </c>
    </row>
    <row r="6" spans="1:11">
      <c r="A6" s="1" t="s">
        <v>134</v>
      </c>
      <c r="B6" s="1" t="s">
        <v>60</v>
      </c>
      <c r="C6" s="1" t="s">
        <v>67</v>
      </c>
      <c r="D6" s="1" t="s">
        <v>62</v>
      </c>
      <c r="H6" s="1" t="s">
        <v>93</v>
      </c>
      <c r="I6" s="1" t="s">
        <v>229</v>
      </c>
      <c r="J6" s="1" t="s">
        <v>93</v>
      </c>
      <c r="K6" s="5" t="str">
        <f t="shared" ref="K6:K15" si="0">A6</f>
        <v>Country Code</v>
      </c>
    </row>
    <row r="7" spans="1:11">
      <c r="A7" s="1" t="s">
        <v>97</v>
      </c>
      <c r="B7" s="1" t="s">
        <v>60</v>
      </c>
      <c r="C7" s="1" t="s">
        <v>65</v>
      </c>
      <c r="D7" s="1" t="s">
        <v>61</v>
      </c>
      <c r="G7" s="1" t="s">
        <v>187</v>
      </c>
      <c r="H7" s="1" t="s">
        <v>93</v>
      </c>
      <c r="I7" s="1" t="s">
        <v>224</v>
      </c>
      <c r="J7" s="1" t="s">
        <v>93</v>
      </c>
      <c r="K7" s="5" t="str">
        <f t="shared" si="0"/>
        <v>City</v>
      </c>
    </row>
    <row r="8" spans="1:11">
      <c r="A8" s="1" t="s">
        <v>133</v>
      </c>
      <c r="B8" s="1" t="s">
        <v>60</v>
      </c>
      <c r="C8" s="1" t="s">
        <v>133</v>
      </c>
      <c r="D8" s="1" t="s">
        <v>61</v>
      </c>
      <c r="G8" s="1" t="s">
        <v>183</v>
      </c>
      <c r="H8" s="1" t="s">
        <v>93</v>
      </c>
      <c r="I8" s="1" t="s">
        <v>225</v>
      </c>
      <c r="J8" s="1" t="s">
        <v>93</v>
      </c>
      <c r="K8" s="5" t="str">
        <f t="shared" si="0"/>
        <v>Sublocality</v>
      </c>
    </row>
    <row r="9" spans="1:11">
      <c r="A9" s="1" t="s">
        <v>86</v>
      </c>
      <c r="B9" s="1" t="s">
        <v>60</v>
      </c>
      <c r="C9" s="1" t="s">
        <v>99</v>
      </c>
      <c r="D9" s="1" t="s">
        <v>62</v>
      </c>
      <c r="E9" s="1" t="s">
        <v>108</v>
      </c>
      <c r="F9" s="1" t="s">
        <v>138</v>
      </c>
      <c r="G9" s="1" t="s">
        <v>182</v>
      </c>
      <c r="H9" s="1" t="s">
        <v>93</v>
      </c>
      <c r="I9" s="1" t="s">
        <v>227</v>
      </c>
      <c r="J9" s="1" t="s">
        <v>93</v>
      </c>
      <c r="K9" s="5" t="str">
        <f t="shared" si="0"/>
        <v>State</v>
      </c>
    </row>
    <row r="10" spans="1:11">
      <c r="A10" s="1" t="s">
        <v>107</v>
      </c>
      <c r="B10" s="1" t="s">
        <v>60</v>
      </c>
      <c r="C10" s="1" t="s">
        <v>63</v>
      </c>
      <c r="D10" s="1" t="s">
        <v>61</v>
      </c>
      <c r="G10" s="1" t="s">
        <v>188</v>
      </c>
      <c r="H10" s="1" t="s">
        <v>93</v>
      </c>
      <c r="I10" s="1" t="s">
        <v>222</v>
      </c>
      <c r="J10" s="1" t="s">
        <v>93</v>
      </c>
      <c r="K10" s="5" t="str">
        <f t="shared" si="0"/>
        <v>Postal Code</v>
      </c>
    </row>
    <row r="11" spans="1:11">
      <c r="A11" s="1" t="s">
        <v>89</v>
      </c>
      <c r="B11" s="1" t="s">
        <v>60</v>
      </c>
      <c r="C11" s="1" t="s">
        <v>72</v>
      </c>
      <c r="D11" s="1" t="s">
        <v>61</v>
      </c>
      <c r="G11" s="1" t="s">
        <v>180</v>
      </c>
      <c r="H11" s="1" t="s">
        <v>93</v>
      </c>
      <c r="I11" s="1" t="s">
        <v>217</v>
      </c>
      <c r="J11" s="1" t="s">
        <v>93</v>
      </c>
      <c r="K11" s="5" t="str">
        <f t="shared" si="0"/>
        <v>Street</v>
      </c>
    </row>
    <row r="12" spans="1:11">
      <c r="A12" s="1" t="s">
        <v>90</v>
      </c>
      <c r="B12" s="1" t="s">
        <v>60</v>
      </c>
      <c r="C12" s="1" t="s">
        <v>70</v>
      </c>
      <c r="D12" s="1" t="s">
        <v>62</v>
      </c>
      <c r="G12" s="1" t="s">
        <v>180</v>
      </c>
      <c r="H12" s="1" t="s">
        <v>93</v>
      </c>
      <c r="I12" s="1" t="s">
        <v>216</v>
      </c>
      <c r="J12" s="1" t="s">
        <v>93</v>
      </c>
      <c r="K12" s="5" t="str">
        <f t="shared" si="0"/>
        <v>Street Number</v>
      </c>
    </row>
    <row r="13" spans="1:11">
      <c r="A13" s="1" t="s">
        <v>94</v>
      </c>
      <c r="B13" s="1" t="s">
        <v>58</v>
      </c>
      <c r="E13" s="1" t="s">
        <v>93</v>
      </c>
      <c r="G13" s="1" t="s">
        <v>177</v>
      </c>
      <c r="H13" s="1" t="s">
        <v>93</v>
      </c>
      <c r="I13" s="1" t="s">
        <v>204</v>
      </c>
      <c r="J13" s="1" t="s">
        <v>93</v>
      </c>
      <c r="K13" s="5" t="str">
        <f t="shared" si="0"/>
        <v>Latitude</v>
      </c>
    </row>
    <row r="14" spans="1:11">
      <c r="A14" s="1" t="s">
        <v>95</v>
      </c>
      <c r="B14" s="1" t="s">
        <v>59</v>
      </c>
      <c r="E14" s="1" t="s">
        <v>93</v>
      </c>
      <c r="G14" s="1" t="s">
        <v>178</v>
      </c>
      <c r="H14" s="1" t="s">
        <v>93</v>
      </c>
      <c r="I14" s="1" t="s">
        <v>205</v>
      </c>
      <c r="J14" s="1" t="s">
        <v>93</v>
      </c>
      <c r="K14" s="5" t="str">
        <f t="shared" si="0"/>
        <v>Longtitude</v>
      </c>
    </row>
    <row r="15" spans="1:11">
      <c r="A15" s="1" t="s">
        <v>20</v>
      </c>
      <c r="B15" s="1" t="s">
        <v>19</v>
      </c>
      <c r="E15" s="1" t="s">
        <v>93</v>
      </c>
      <c r="G15" s="1" t="s">
        <v>186</v>
      </c>
      <c r="H15" s="1" t="s">
        <v>93</v>
      </c>
      <c r="I15" s="1" t="s">
        <v>210</v>
      </c>
      <c r="J15" s="1" t="s">
        <v>93</v>
      </c>
      <c r="K15" s="5" t="str">
        <f t="shared" si="0"/>
        <v>Clean Address</v>
      </c>
    </row>
    <row r="17" spans="1:5">
      <c r="A17" s="2" t="s">
        <v>157</v>
      </c>
      <c r="B17" s="2" t="s">
        <v>160</v>
      </c>
      <c r="C17" s="2" t="s">
        <v>11</v>
      </c>
    </row>
    <row r="18" spans="1:5">
      <c r="A18" s="1" t="s">
        <v>158</v>
      </c>
      <c r="B18" s="10" t="s">
        <v>159</v>
      </c>
      <c r="C18" s="1" t="s">
        <v>196</v>
      </c>
    </row>
    <row r="20" spans="1:5">
      <c r="A20" s="2" t="s">
        <v>197</v>
      </c>
      <c r="B20" s="2" t="s">
        <v>160</v>
      </c>
      <c r="C20" s="2" t="s">
        <v>11</v>
      </c>
    </row>
    <row r="21" spans="1:5" ht="12.75">
      <c r="A21" s="1" t="s">
        <v>158</v>
      </c>
      <c r="B21" s="11" t="s">
        <v>198</v>
      </c>
      <c r="C21" s="1" t="s">
        <v>196</v>
      </c>
    </row>
    <row r="23" spans="1:5">
      <c r="A23" s="2" t="s">
        <v>260</v>
      </c>
      <c r="B23" s="2" t="s">
        <v>113</v>
      </c>
      <c r="C23" s="2" t="s">
        <v>818</v>
      </c>
      <c r="D23" s="2" t="s">
        <v>3241</v>
      </c>
      <c r="E23" s="7" t="s">
        <v>3229</v>
      </c>
    </row>
    <row r="24" spans="1:5">
      <c r="A24" s="23" t="s">
        <v>241</v>
      </c>
      <c r="B24" s="1" t="s">
        <v>499</v>
      </c>
      <c r="C24" s="1" t="s">
        <v>333</v>
      </c>
      <c r="D24" s="1" t="s">
        <v>322</v>
      </c>
      <c r="E24" s="1" t="s">
        <v>3225</v>
      </c>
    </row>
    <row r="25" spans="1:5">
      <c r="A25" s="23" t="s">
        <v>242</v>
      </c>
      <c r="B25" s="1" t="s">
        <v>243</v>
      </c>
      <c r="C25" s="1" t="s">
        <v>333</v>
      </c>
      <c r="D25" s="1" t="s">
        <v>322</v>
      </c>
      <c r="E25" s="1" t="s">
        <v>3226</v>
      </c>
    </row>
    <row r="26" spans="1:5">
      <c r="A26" s="23" t="s">
        <v>239</v>
      </c>
      <c r="B26" s="1" t="s">
        <v>94</v>
      </c>
      <c r="C26" s="1" t="s">
        <v>333</v>
      </c>
      <c r="D26" s="1" t="s">
        <v>322</v>
      </c>
      <c r="E26" s="1" t="s">
        <v>3227</v>
      </c>
    </row>
    <row r="27" spans="1:5">
      <c r="A27" s="23" t="s">
        <v>240</v>
      </c>
      <c r="B27" s="1" t="s">
        <v>95</v>
      </c>
      <c r="C27" s="1" t="s">
        <v>333</v>
      </c>
      <c r="D27" s="1" t="s">
        <v>322</v>
      </c>
      <c r="E27" s="1" t="s">
        <v>3228</v>
      </c>
    </row>
    <row r="28" spans="1:5">
      <c r="A28" s="23" t="s">
        <v>808</v>
      </c>
      <c r="B28" s="1" t="s">
        <v>807</v>
      </c>
      <c r="C28" s="1" t="s">
        <v>322</v>
      </c>
      <c r="D28" s="1" t="s">
        <v>322</v>
      </c>
      <c r="E28" s="1" t="s">
        <v>3230</v>
      </c>
    </row>
    <row r="29" spans="1:5">
      <c r="A29" s="23" t="s">
        <v>809</v>
      </c>
      <c r="B29" s="1" t="s">
        <v>806</v>
      </c>
      <c r="C29" s="1" t="s">
        <v>322</v>
      </c>
      <c r="D29" s="1" t="s">
        <v>322</v>
      </c>
      <c r="E29" s="1" t="s">
        <v>3231</v>
      </c>
    </row>
    <row r="30" spans="1:5">
      <c r="A30" s="23" t="s">
        <v>824</v>
      </c>
      <c r="B30" s="1" t="s">
        <v>3259</v>
      </c>
      <c r="C30" s="1" t="s">
        <v>322</v>
      </c>
      <c r="D30" s="1" t="s">
        <v>333</v>
      </c>
      <c r="E30" s="1" t="s">
        <v>3236</v>
      </c>
    </row>
    <row r="31" spans="1:5">
      <c r="A31" s="23" t="s">
        <v>335</v>
      </c>
      <c r="B31" s="1" t="s">
        <v>821</v>
      </c>
      <c r="C31" s="1" t="s">
        <v>322</v>
      </c>
      <c r="D31" s="1" t="s">
        <v>322</v>
      </c>
      <c r="E31" s="1" t="s">
        <v>3232</v>
      </c>
    </row>
    <row r="32" spans="1:5">
      <c r="A32" s="23" t="s">
        <v>838</v>
      </c>
      <c r="C32" s="1" t="s">
        <v>322</v>
      </c>
      <c r="D32" s="1" t="s">
        <v>322</v>
      </c>
      <c r="E32" s="1" t="s">
        <v>3233</v>
      </c>
    </row>
    <row r="33" spans="1:11">
      <c r="A33" s="23" t="s">
        <v>837</v>
      </c>
      <c r="C33" s="1" t="s">
        <v>322</v>
      </c>
      <c r="D33" s="1" t="s">
        <v>322</v>
      </c>
      <c r="E33" s="1" t="s">
        <v>3234</v>
      </c>
      <c r="G33" s="1"/>
      <c r="I33" s="1"/>
      <c r="K33" s="1"/>
    </row>
    <row r="34" spans="1:11">
      <c r="A34" s="23" t="s">
        <v>3224</v>
      </c>
      <c r="B34" s="1" t="s">
        <v>3224</v>
      </c>
      <c r="C34" s="1" t="s">
        <v>322</v>
      </c>
      <c r="D34" s="1" t="s">
        <v>322</v>
      </c>
      <c r="E34" s="1" t="s">
        <v>3235</v>
      </c>
      <c r="G34" s="1"/>
      <c r="I34" s="1"/>
      <c r="K34" s="1"/>
    </row>
    <row r="35" spans="1:11">
      <c r="D35" s="1" t="s">
        <v>322</v>
      </c>
    </row>
    <row r="36" spans="1:11">
      <c r="A36" s="2" t="s">
        <v>261</v>
      </c>
      <c r="B36" s="2" t="s">
        <v>262</v>
      </c>
      <c r="C36" s="2" t="s">
        <v>11</v>
      </c>
      <c r="G36" s="1"/>
      <c r="I36" s="1"/>
      <c r="K36" s="1"/>
    </row>
    <row r="37" spans="1:11" ht="18.75" customHeight="1">
      <c r="A37" s="1" t="s">
        <v>263</v>
      </c>
      <c r="B37" s="14" t="s">
        <v>825</v>
      </c>
      <c r="C37" s="1" t="s">
        <v>267</v>
      </c>
      <c r="G37" s="1"/>
      <c r="I37" s="1"/>
      <c r="K37" s="1"/>
    </row>
    <row r="38" spans="1:11" ht="18.75" customHeight="1">
      <c r="A38" s="23" t="s">
        <v>264</v>
      </c>
      <c r="B38" s="22" t="s">
        <v>3242</v>
      </c>
      <c r="C38" s="23" t="s">
        <v>267</v>
      </c>
      <c r="G38" s="1"/>
      <c r="I38" s="1"/>
      <c r="K38" s="1"/>
    </row>
    <row r="39" spans="1:11" ht="13.5" customHeight="1">
      <c r="A39" s="23" t="s">
        <v>265</v>
      </c>
      <c r="B39" s="22" t="s">
        <v>3277</v>
      </c>
      <c r="C39" s="23" t="s">
        <v>267</v>
      </c>
      <c r="G39" s="1"/>
      <c r="I39" s="1"/>
      <c r="K39" s="1"/>
    </row>
    <row r="40" spans="1:11" ht="18.75" customHeight="1">
      <c r="A40" s="23" t="s">
        <v>3260</v>
      </c>
      <c r="B40" s="22" t="s">
        <v>3283</v>
      </c>
      <c r="C40" s="23"/>
    </row>
    <row r="41" spans="1:11" ht="16.5" customHeight="1">
      <c r="A41" s="1" t="s">
        <v>266</v>
      </c>
      <c r="B41" s="14" t="s">
        <v>3243</v>
      </c>
      <c r="C41" s="1" t="s">
        <v>268</v>
      </c>
      <c r="G41" s="1"/>
      <c r="I41" s="1"/>
      <c r="K41" s="1"/>
    </row>
    <row r="42" spans="1:11">
      <c r="A42" s="1" t="s">
        <v>269</v>
      </c>
      <c r="B42" s="1" t="s">
        <v>479</v>
      </c>
      <c r="C42" s="1" t="s">
        <v>270</v>
      </c>
      <c r="G42" s="1"/>
      <c r="I42" s="1"/>
      <c r="K42" s="1"/>
    </row>
    <row r="44" spans="1:11">
      <c r="A44" s="2" t="s">
        <v>272</v>
      </c>
      <c r="B44" s="2" t="s">
        <v>262</v>
      </c>
      <c r="C44" s="2" t="s">
        <v>11</v>
      </c>
      <c r="G44" s="1"/>
      <c r="I44" s="1"/>
      <c r="K44" s="1"/>
    </row>
    <row r="45" spans="1:11" ht="10.5" customHeight="1">
      <c r="A45" s="1" t="s">
        <v>263</v>
      </c>
      <c r="B45" s="14" t="str">
        <f>CONCATENATE("&lt;!DOCTYPE html&gt;
&lt;html&gt;
&lt;head&gt;
&lt;meta name='viewport' content='initial-scale=1.0, user-scalable=no' /&gt;
&lt;style type='text/css'&gt;","
  html { height: 100% }
  body { height: 100%; margin: 0; padding: 0 }
  #map_canvas { height: 100%}
&lt;/style&gt;","
&lt;script type='text/javascript' src='http://api.maps.yahoo.com/ajaxymap?v=3.8&amp;appid=", B21, "'&gt;&lt;/script&gt;
&lt;/script&gt;
&lt;script type='text/javascript'&gt;
//--generated")</f>
        <v>&lt;!DOCTYPE html&gt;
&lt;html&gt;
&lt;head&gt;
&lt;meta name='viewport' content='initial-scale=1.0, user-scalable=no' /&gt;
&lt;style type='text/css'&gt;
  html { height: 100% }
  body { height: 100%; margin: 0; padding: 0 }
  #map_canvas { height: 100%}
&lt;/style&gt;
&lt;script type='text/javascript' src='http://api.maps.yahoo.com/ajaxymap?v=3.8&amp;appid=XyeQGy3e'&gt;&lt;/script&gt;
&lt;/script&gt;
&lt;script type='text/javascript'&gt;
//--generated</v>
      </c>
      <c r="C45" s="1" t="s">
        <v>267</v>
      </c>
      <c r="G45" s="1"/>
      <c r="I45" s="1"/>
      <c r="K45" s="1"/>
    </row>
    <row r="46" spans="1:11" ht="22.5" customHeight="1">
      <c r="A46" s="23" t="s">
        <v>264</v>
      </c>
      <c r="B46" s="23" t="s">
        <v>273</v>
      </c>
      <c r="C46" s="23" t="s">
        <v>267</v>
      </c>
      <c r="G46" s="1"/>
      <c r="I46" s="1"/>
      <c r="K46" s="1"/>
    </row>
    <row r="47" spans="1:11" ht="21" customHeight="1">
      <c r="A47" s="23" t="s">
        <v>265</v>
      </c>
      <c r="B47" s="23" t="s">
        <v>274</v>
      </c>
      <c r="C47" s="23" t="s">
        <v>267</v>
      </c>
      <c r="G47" s="1"/>
      <c r="I47" s="1"/>
      <c r="K47" s="1"/>
    </row>
    <row r="48" spans="1:11" ht="16.5" customHeight="1">
      <c r="A48" s="1" t="s">
        <v>266</v>
      </c>
      <c r="B48" s="14" t="s">
        <v>275</v>
      </c>
      <c r="C48" s="1" t="s">
        <v>268</v>
      </c>
      <c r="G48" s="1"/>
      <c r="I48" s="1"/>
      <c r="K48" s="1"/>
    </row>
    <row r="49" spans="1:11">
      <c r="A49" s="1" t="s">
        <v>269</v>
      </c>
      <c r="B49" s="1" t="s">
        <v>478</v>
      </c>
      <c r="C49" s="1" t="s">
        <v>270</v>
      </c>
      <c r="G49" s="1"/>
      <c r="I49" s="1"/>
      <c r="K49" s="1"/>
    </row>
    <row r="51" spans="1:11">
      <c r="A51" s="2" t="s">
        <v>276</v>
      </c>
      <c r="B51" s="2" t="s">
        <v>262</v>
      </c>
      <c r="C51" s="2" t="s">
        <v>11</v>
      </c>
      <c r="I51" s="1"/>
      <c r="K51" s="1"/>
    </row>
    <row r="52" spans="1:11" ht="12" customHeight="1">
      <c r="A52" s="1" t="s">
        <v>263</v>
      </c>
      <c r="B52" s="14" t="s">
        <v>277</v>
      </c>
      <c r="C52" s="1" t="s">
        <v>267</v>
      </c>
      <c r="I52" s="1"/>
      <c r="K52" s="1"/>
    </row>
    <row r="53" spans="1:11" ht="20.100000000000001" customHeight="1">
      <c r="A53" s="23" t="s">
        <v>264</v>
      </c>
      <c r="B53" s="23" t="s">
        <v>278</v>
      </c>
      <c r="C53" s="23" t="s">
        <v>267</v>
      </c>
      <c r="I53" s="1"/>
      <c r="K53" s="1"/>
    </row>
    <row r="54" spans="1:11" ht="20.100000000000001" customHeight="1">
      <c r="A54" s="23" t="s">
        <v>265</v>
      </c>
      <c r="B54" s="23" t="s">
        <v>279</v>
      </c>
      <c r="C54" s="23" t="s">
        <v>267</v>
      </c>
      <c r="I54" s="1"/>
      <c r="K54" s="1"/>
    </row>
    <row r="55" spans="1:11" ht="15" customHeight="1">
      <c r="A55" s="1" t="s">
        <v>266</v>
      </c>
      <c r="B55" s="14" t="s">
        <v>280</v>
      </c>
      <c r="C55" s="1" t="s">
        <v>268</v>
      </c>
      <c r="I55" s="1"/>
      <c r="K55" s="1"/>
    </row>
    <row r="56" spans="1:11">
      <c r="A56" s="1" t="s">
        <v>269</v>
      </c>
      <c r="B56" s="1" t="s">
        <v>477</v>
      </c>
      <c r="C56" s="1" t="s">
        <v>270</v>
      </c>
      <c r="I56" s="1"/>
      <c r="K56" s="1"/>
    </row>
    <row r="58" spans="1:11">
      <c r="A58" s="2" t="s">
        <v>282</v>
      </c>
      <c r="B58" s="2" t="s">
        <v>262</v>
      </c>
      <c r="C58" s="2" t="s">
        <v>11</v>
      </c>
      <c r="I58" s="1"/>
      <c r="K58" s="1"/>
    </row>
    <row r="59" spans="1:11" ht="15" customHeight="1">
      <c r="A59" s="1" t="s">
        <v>263</v>
      </c>
      <c r="B59" s="14" t="str">
        <f>CONCATENATE("&lt;!DOCTYPE html&gt;
&lt;html&gt;
&lt;head&gt;
&lt;meta name='viewport' content='initial-scale=1.0, user-scalable=no' /&gt;","&lt;style type='text/css'&gt;
  html { height: 100% }
  body { height: 100%; margin: 0; padding: 0 }
  #map_canvas { height: 100%}
&lt;/style&gt;
&lt;script type='text/javascript' src='http://dev.virtualearth.net/mapcontrol/mapcontrol.ashx?v=7.0'&gt;&lt;/script&gt;","
&lt;script type='text/javascript'&gt;
function mcpherGetCredentials() {
  return '",B18,"';}")</f>
        <v>&lt;!DOCTYPE html&gt;
&lt;html&gt;
&lt;head&gt;
&lt;meta name='viewport' content='initial-scale=1.0, user-scalable=no' /&gt;&lt;style type='text/css'&gt;
  html { height: 100% }
  body { height: 100%; margin: 0; padding: 0 }
  #map_canvas { height: 100%}
&lt;/style&gt;
&lt;script type='text/javascript' src='http://dev.virtualearth.net/mapcontrol/mapcontrol.ashx?v=7.0'&gt;&lt;/script&gt;
&lt;script type='text/javascript'&gt;
function mcpherGetCredentials() {
  return 'AmVoAsOUH9QHTL4-Zc7qF7MjU8tm7zR9rDdXsA5QRsgudEwRJmz_a_NkGMmTUn3I';}</v>
      </c>
      <c r="C59" s="1" t="s">
        <v>267</v>
      </c>
      <c r="G59" s="20"/>
      <c r="I59" s="1"/>
      <c r="K59" s="1"/>
    </row>
    <row r="60" spans="1:11" ht="24.95" customHeight="1">
      <c r="A60" s="23" t="s">
        <v>264</v>
      </c>
      <c r="B60" s="23" t="s">
        <v>283</v>
      </c>
      <c r="C60" s="23" t="s">
        <v>267</v>
      </c>
      <c r="I60" s="1"/>
      <c r="K60" s="1"/>
    </row>
    <row r="61" spans="1:11" ht="24.95" customHeight="1">
      <c r="A61" s="23" t="s">
        <v>265</v>
      </c>
      <c r="B61" s="23" t="s">
        <v>284</v>
      </c>
      <c r="C61" s="23" t="s">
        <v>267</v>
      </c>
      <c r="I61" s="1"/>
      <c r="K61" s="1"/>
    </row>
    <row r="62" spans="1:11" ht="20.25" customHeight="1">
      <c r="A62" s="1" t="s">
        <v>266</v>
      </c>
      <c r="B62" s="14" t="s">
        <v>281</v>
      </c>
      <c r="C62" s="1" t="s">
        <v>268</v>
      </c>
      <c r="I62" s="1"/>
      <c r="K62" s="1"/>
    </row>
    <row r="63" spans="1:11">
      <c r="A63" s="1" t="s">
        <v>269</v>
      </c>
      <c r="B63" s="1" t="s">
        <v>476</v>
      </c>
      <c r="C63" s="1" t="s">
        <v>270</v>
      </c>
      <c r="I63" s="1"/>
      <c r="K63" s="1"/>
    </row>
    <row r="65" spans="1:11">
      <c r="A65" s="2" t="s">
        <v>285</v>
      </c>
      <c r="B65" s="2" t="s">
        <v>262</v>
      </c>
      <c r="C65" s="2" t="s">
        <v>11</v>
      </c>
      <c r="I65" s="1"/>
      <c r="K65" s="1"/>
    </row>
    <row r="66" spans="1:11">
      <c r="A66" s="1" t="s">
        <v>269</v>
      </c>
      <c r="B66" s="1" t="s">
        <v>3040</v>
      </c>
      <c r="C66" s="1" t="s">
        <v>270</v>
      </c>
      <c r="G66" s="1"/>
      <c r="I66" s="1"/>
      <c r="K66" s="1"/>
    </row>
    <row r="69" spans="1:11">
      <c r="A69" s="30" t="s">
        <v>291</v>
      </c>
      <c r="B69" s="30" t="s">
        <v>262</v>
      </c>
      <c r="C69" s="30" t="s">
        <v>11</v>
      </c>
      <c r="D69" s="30"/>
      <c r="E69" s="30"/>
      <c r="G69" s="1"/>
      <c r="I69" s="1"/>
      <c r="K69" s="1"/>
    </row>
    <row r="70" spans="1:11" ht="18" customHeight="1">
      <c r="A70" s="23" t="s">
        <v>421</v>
      </c>
      <c r="B70" s="22" t="s">
        <v>3278</v>
      </c>
      <c r="C70" s="23" t="s">
        <v>318</v>
      </c>
      <c r="G70" s="1"/>
      <c r="I70" s="1"/>
      <c r="K70" s="1"/>
    </row>
    <row r="71" spans="1:11" ht="20.100000000000001" customHeight="1">
      <c r="A71" s="23" t="s">
        <v>340</v>
      </c>
      <c r="B71" s="22" t="s">
        <v>833</v>
      </c>
      <c r="C71" s="23" t="s">
        <v>318</v>
      </c>
      <c r="G71" s="1"/>
      <c r="I71" s="1"/>
      <c r="K71" s="1"/>
    </row>
    <row r="72" spans="1:11" ht="20.100000000000001" customHeight="1">
      <c r="A72" s="23" t="s">
        <v>424</v>
      </c>
      <c r="B72" s="22" t="s">
        <v>805</v>
      </c>
      <c r="C72" s="23" t="s">
        <v>318</v>
      </c>
      <c r="G72" s="1"/>
      <c r="I72" s="1"/>
      <c r="K72" s="1"/>
    </row>
    <row r="73" spans="1:11" ht="20.100000000000001" customHeight="1">
      <c r="A73" s="23" t="s">
        <v>341</v>
      </c>
      <c r="B73" s="22" t="s">
        <v>3261</v>
      </c>
      <c r="C73" s="23" t="s">
        <v>318</v>
      </c>
      <c r="G73" s="1"/>
      <c r="I73" s="1"/>
      <c r="K73" s="1"/>
    </row>
    <row r="74" spans="1:11" ht="18" customHeight="1">
      <c r="A74" s="23" t="s">
        <v>422</v>
      </c>
      <c r="B74" s="22" t="s">
        <v>3282</v>
      </c>
      <c r="C74" s="23" t="s">
        <v>318</v>
      </c>
      <c r="G74" s="1"/>
      <c r="I74" s="1"/>
      <c r="K74" s="1"/>
    </row>
    <row r="75" spans="1:11" ht="18" customHeight="1">
      <c r="A75" s="23" t="s">
        <v>423</v>
      </c>
      <c r="B75" s="22" t="s">
        <v>834</v>
      </c>
      <c r="C75" s="23" t="s">
        <v>318</v>
      </c>
      <c r="G75" s="1"/>
      <c r="I75" s="1"/>
      <c r="K75" s="1"/>
    </row>
    <row r="76" spans="1:11" ht="18" customHeight="1">
      <c r="A76" s="23" t="s">
        <v>509</v>
      </c>
      <c r="B76" s="22" t="s">
        <v>835</v>
      </c>
      <c r="C76" s="23" t="s">
        <v>318</v>
      </c>
      <c r="G76" s="1"/>
      <c r="I76" s="1"/>
      <c r="K76" s="1"/>
    </row>
    <row r="81" spans="3:11">
      <c r="C81" s="1" t="s">
        <v>662</v>
      </c>
      <c r="G81" s="1"/>
      <c r="I81" s="1"/>
      <c r="K81" s="1"/>
    </row>
    <row r="82" spans="3:11" ht="15">
      <c r="C82" s="21" t="s">
        <v>661</v>
      </c>
      <c r="G82" s="1"/>
      <c r="I82" s="1"/>
      <c r="K82" s="1"/>
    </row>
  </sheetData>
  <dataValidations disablePrompts="1" count="3">
    <dataValidation type="list" allowBlank="1" showInputMessage="1" showErrorMessage="1" promptTitle="special" prompt="Special cJobject processing" sqref="E5:E15 J5:J15 H5:H15">
      <formula1>"fullkey,state"</formula1>
    </dataValidation>
    <dataValidation type="list" allowBlank="1" showInputMessage="1" showErrorMessage="1" promptTitle="variation" prompt="Variations returned by API" sqref="D5:D15">
      <formula1>"long_name,short_name"</formula1>
    </dataValidation>
    <dataValidation type="list" allowBlank="1" showInputMessage="1" showErrorMessage="1" sqref="B2">
      <formula1>"default,none"</formula1>
    </dataValidation>
  </dataValidations>
  <hyperlinks>
    <hyperlink ref="C82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V15"/>
  <sheetViews>
    <sheetView workbookViewId="0">
      <selection activeCell="B8" sqref="B8"/>
    </sheetView>
  </sheetViews>
  <sheetFormatPr defaultRowHeight="12" customHeight="1"/>
  <cols>
    <col min="2" max="2" width="26.42578125" style="16" customWidth="1"/>
    <col min="3" max="3" width="11.5703125" style="16" customWidth="1"/>
    <col min="4" max="4" width="23.28515625" style="14" customWidth="1"/>
    <col min="5" max="5" width="15.85546875" style="16" customWidth="1"/>
    <col min="6" max="6" width="12.5703125" style="16" customWidth="1"/>
    <col min="7" max="7" width="10.140625" style="16" customWidth="1"/>
    <col min="8" max="8" width="10.7109375" style="16" customWidth="1"/>
    <col min="9" max="10" width="8.140625" style="16" customWidth="1"/>
    <col min="11" max="12" width="9.140625" style="14"/>
    <col min="13" max="14" width="8.28515625" style="14"/>
    <col min="15" max="15" width="10.85546875" style="14" customWidth="1"/>
    <col min="16" max="16" width="8.28515625" style="14"/>
    <col min="17" max="17" width="11.85546875" style="14" customWidth="1"/>
    <col min="18" max="18" width="8.28515625" style="14"/>
    <col min="19" max="19" width="12" style="14" customWidth="1"/>
    <col min="20" max="20" width="7" style="14" customWidth="1"/>
    <col min="21" max="21" width="18.85546875" style="14" customWidth="1"/>
    <col min="22" max="22" width="23" style="14" customWidth="1"/>
  </cols>
  <sheetData>
    <row r="1" spans="1:22" ht="12" customHeight="1">
      <c r="A1" s="13" t="s">
        <v>827</v>
      </c>
      <c r="B1" s="13" t="s">
        <v>87</v>
      </c>
      <c r="C1" s="18" t="s">
        <v>499</v>
      </c>
      <c r="D1" s="18" t="s">
        <v>242</v>
      </c>
      <c r="E1" s="78" t="s">
        <v>821</v>
      </c>
      <c r="F1" s="77" t="s">
        <v>823</v>
      </c>
      <c r="G1" s="77" t="s">
        <v>3237</v>
      </c>
      <c r="H1" s="79" t="s">
        <v>807</v>
      </c>
      <c r="I1" s="79" t="s">
        <v>806</v>
      </c>
      <c r="J1" s="79" t="s">
        <v>2976</v>
      </c>
      <c r="K1" s="17" t="s">
        <v>143</v>
      </c>
      <c r="L1" s="17" t="s">
        <v>144</v>
      </c>
      <c r="M1" s="17" t="s">
        <v>134</v>
      </c>
      <c r="N1" s="17" t="s">
        <v>10</v>
      </c>
      <c r="O1" s="17" t="s">
        <v>86</v>
      </c>
      <c r="P1" s="17" t="s">
        <v>97</v>
      </c>
      <c r="Q1" s="17" t="s">
        <v>89</v>
      </c>
      <c r="R1" s="17" t="s">
        <v>133</v>
      </c>
      <c r="S1" s="17" t="s">
        <v>90</v>
      </c>
      <c r="T1" s="17" t="s">
        <v>107</v>
      </c>
      <c r="U1" s="17" t="s">
        <v>20</v>
      </c>
      <c r="V1" s="17" t="s">
        <v>316</v>
      </c>
    </row>
    <row r="2" spans="1:22" ht="12" customHeight="1">
      <c r="A2">
        <v>1</v>
      </c>
      <c r="B2" s="16" t="s">
        <v>347</v>
      </c>
      <c r="C2" s="14" t="s">
        <v>348</v>
      </c>
      <c r="D2" s="14" t="str">
        <f t="shared" ref="D2:D8" si="0">"&lt;b&gt;" &amp; C2 &amp; "&lt;/b&gt;&lt;br&gt;" &amp; SUBSTITUTE(U2,",","&lt;br&gt;") &amp; "&lt;br&gt;"</f>
        <v>&lt;b&gt;Rosemount theatre&lt;/b&gt;&lt;br&gt;Rosemont&lt;br&gt; IL&lt;br&gt; USA&lt;br&gt;</v>
      </c>
      <c r="F2" s="1" t="str">
        <f t="shared" ref="F2:F8" si="1">IF(RANK(I2,$I$2:$I$8)&lt;COUNT($I$2:$I$8)/3,"small",IF(RANK(I2,$I$2:$I$8)&gt;COUNT($I$2:$I$8)*2/3,"big","medium"))</f>
        <v>big</v>
      </c>
      <c r="G2" s="1" t="str">
        <f>F2</f>
        <v>big</v>
      </c>
      <c r="H2" s="14" t="str">
        <f>rgbToHTMLHex(rampLibraryRGB("heatmap",MIN($I$2:$I$8),MAX($I$2:$I$8),I2))</f>
        <v>#0000FF</v>
      </c>
      <c r="I2" s="14">
        <f>SQRT(J2/PI())*2000</f>
        <v>74848.20637019111</v>
      </c>
      <c r="J2" s="14">
        <v>4400</v>
      </c>
      <c r="K2" s="14">
        <v>41.989100000000001</v>
      </c>
      <c r="L2" s="14">
        <v>-87.871473999999992</v>
      </c>
      <c r="M2" s="14" t="s">
        <v>9</v>
      </c>
      <c r="N2" s="14" t="s">
        <v>82</v>
      </c>
      <c r="O2" s="14" t="s">
        <v>351</v>
      </c>
      <c r="P2" s="14" t="s">
        <v>3263</v>
      </c>
      <c r="U2" s="14" t="s">
        <v>3264</v>
      </c>
      <c r="V2" s="34" t="s">
        <v>394</v>
      </c>
    </row>
    <row r="3" spans="1:22" ht="12" customHeight="1">
      <c r="A3">
        <v>2</v>
      </c>
      <c r="B3" s="16" t="s">
        <v>352</v>
      </c>
      <c r="C3" s="14" t="s">
        <v>353</v>
      </c>
      <c r="D3" s="14" t="str">
        <f t="shared" si="0"/>
        <v>&lt;b&gt;UNO Lakefront Arena&lt;/b&gt;&lt;br&gt;6801 Franklin Avenue&lt;br&gt; University of New Orleans-East Campus&lt;br&gt; New Orleans&lt;br&gt; LA 70122&lt;br&gt; USA&lt;br&gt;</v>
      </c>
      <c r="E3" s="21"/>
      <c r="F3" s="1" t="str">
        <f t="shared" si="1"/>
        <v>medium</v>
      </c>
      <c r="G3" s="1" t="str">
        <f t="shared" ref="G3:G8" si="2">F3</f>
        <v>medium</v>
      </c>
      <c r="H3" s="14" t="str">
        <f>rgbToHTMLHex(rampLibraryRGB("heatmap",MIN($I$2:$I$8),MAX($I$2:$I$8),I3))</f>
        <v>#00728D</v>
      </c>
      <c r="I3" s="14">
        <f t="shared" ref="I3:I8" si="3">SQRT(J3/PI())*2000</f>
        <v>112837.91670955127</v>
      </c>
      <c r="J3" s="14">
        <v>10000</v>
      </c>
      <c r="K3" s="14">
        <v>30.030512000000002</v>
      </c>
      <c r="L3" s="14">
        <v>-90.049309999999991</v>
      </c>
      <c r="M3" s="14" t="s">
        <v>9</v>
      </c>
      <c r="N3" s="14" t="s">
        <v>82</v>
      </c>
      <c r="O3" s="14" t="s">
        <v>366</v>
      </c>
      <c r="P3" s="14" t="s">
        <v>367</v>
      </c>
      <c r="Q3" s="14" t="s">
        <v>2980</v>
      </c>
      <c r="S3" s="14">
        <v>6801</v>
      </c>
      <c r="T3" s="14">
        <v>70122</v>
      </c>
      <c r="U3" s="14" t="s">
        <v>3265</v>
      </c>
      <c r="V3" s="34" t="s">
        <v>393</v>
      </c>
    </row>
    <row r="4" spans="1:22" ht="12" customHeight="1">
      <c r="A4">
        <v>3</v>
      </c>
      <c r="B4" s="16" t="s">
        <v>378</v>
      </c>
      <c r="C4" s="14" t="s">
        <v>355</v>
      </c>
      <c r="D4" s="14" t="str">
        <f t="shared" si="0"/>
        <v>&lt;b&gt;Intex&lt;/b&gt;&lt;br&gt;Nankokita&lt;br&gt; Suminoe Ward&lt;br&gt; Osaka&lt;br&gt; Osaka Prefecture 559-0034&lt;br&gt; Japan&lt;br&gt;</v>
      </c>
      <c r="E4" s="14"/>
      <c r="F4" s="1" t="str">
        <f t="shared" si="1"/>
        <v>medium</v>
      </c>
      <c r="G4" s="1" t="str">
        <f t="shared" si="2"/>
        <v>medium</v>
      </c>
      <c r="H4" s="14" t="str">
        <f>rgbToHTMLHex(rampLibraryRGB("heatmap",MIN($I$2:$I$8),MAX($I$2:$I$8),I4))</f>
        <v>#00728D</v>
      </c>
      <c r="I4" s="14">
        <f t="shared" si="3"/>
        <v>112837.91670955127</v>
      </c>
      <c r="J4" s="14">
        <v>10000</v>
      </c>
      <c r="K4" s="14">
        <v>34.637675799999997</v>
      </c>
      <c r="L4" s="14">
        <v>135.41451040000001</v>
      </c>
      <c r="M4" s="14" t="s">
        <v>374</v>
      </c>
      <c r="N4" s="14" t="s">
        <v>375</v>
      </c>
      <c r="P4" s="14" t="s">
        <v>379</v>
      </c>
      <c r="R4" s="14" t="s">
        <v>663</v>
      </c>
      <c r="T4" s="14" t="s">
        <v>380</v>
      </c>
      <c r="U4" s="14" t="s">
        <v>664</v>
      </c>
      <c r="V4" s="34" t="s">
        <v>395</v>
      </c>
    </row>
    <row r="5" spans="1:22" ht="12" customHeight="1">
      <c r="A5">
        <v>4</v>
      </c>
      <c r="B5" s="16" t="s">
        <v>357</v>
      </c>
      <c r="C5" s="14" t="s">
        <v>356</v>
      </c>
      <c r="D5" s="14" t="str">
        <f t="shared" si="0"/>
        <v>&lt;b&gt;olympic park&lt;/b&gt;&lt;br&gt;Olympic Park&lt;br&gt; Bangi-dong&lt;br&gt; Seoul&lt;br&gt; South Korea&lt;br&gt;</v>
      </c>
      <c r="E5" s="1"/>
      <c r="F5" s="1" t="str">
        <f t="shared" si="1"/>
        <v>small</v>
      </c>
      <c r="G5" s="1" t="str">
        <f t="shared" si="2"/>
        <v>small</v>
      </c>
      <c r="H5" s="14" t="str">
        <f>rgbToHTMLHex(rampLibraryRGB("heatmap",MIN($I$2:$I$8),MAX($I$2:$I$8),I5))</f>
        <v>#FF5C00</v>
      </c>
      <c r="I5" s="14">
        <f t="shared" si="3"/>
        <v>298541.06607209228</v>
      </c>
      <c r="J5" s="14">
        <v>70000</v>
      </c>
      <c r="K5" s="14">
        <v>37.519820899999999</v>
      </c>
      <c r="L5" s="14">
        <v>127.1227901</v>
      </c>
      <c r="M5" s="14" t="s">
        <v>368</v>
      </c>
      <c r="N5" s="14" t="s">
        <v>369</v>
      </c>
      <c r="P5" s="14" t="s">
        <v>370</v>
      </c>
      <c r="R5" s="14" t="s">
        <v>371</v>
      </c>
      <c r="T5" s="14" t="s">
        <v>2982</v>
      </c>
      <c r="U5" s="14" t="s">
        <v>2983</v>
      </c>
    </row>
    <row r="6" spans="1:22" ht="12" customHeight="1">
      <c r="A6">
        <v>5</v>
      </c>
      <c r="B6" s="16" t="s">
        <v>388</v>
      </c>
      <c r="C6" s="14" t="s">
        <v>392</v>
      </c>
      <c r="D6" s="14" t="str">
        <f t="shared" si="0"/>
        <v>&lt;b&gt;aktiv square&lt;/b&gt;&lt;br&gt;Bang Yai&lt;br&gt; Nonthaburi&lt;br&gt; Thailand&lt;br&gt;</v>
      </c>
      <c r="E6" s="1" t="s">
        <v>822</v>
      </c>
      <c r="F6" s="1" t="str">
        <f t="shared" si="1"/>
        <v>medium</v>
      </c>
      <c r="G6" s="1" t="str">
        <f t="shared" si="2"/>
        <v>medium</v>
      </c>
      <c r="H6" s="14" t="str">
        <f>rgbToHTMLHex(rampLibraryRGB("heatmap",MIN($I$2:$I$8),MAX($I$2:$I$8),I6))</f>
        <v>#00936C</v>
      </c>
      <c r="I6" s="14">
        <f t="shared" si="3"/>
        <v>123607.74464742068</v>
      </c>
      <c r="J6" s="14">
        <v>12000</v>
      </c>
      <c r="K6" s="14">
        <v>13.8973058</v>
      </c>
      <c r="L6" s="14">
        <v>100.39109259999999</v>
      </c>
      <c r="M6" s="14" t="s">
        <v>372</v>
      </c>
      <c r="N6" s="14" t="s">
        <v>373</v>
      </c>
      <c r="U6" s="14" t="s">
        <v>3266</v>
      </c>
    </row>
    <row r="7" spans="1:22" ht="12" customHeight="1">
      <c r="A7">
        <v>6</v>
      </c>
      <c r="B7" s="16" t="s">
        <v>3262</v>
      </c>
      <c r="C7" s="14" t="s">
        <v>358</v>
      </c>
      <c r="D7" s="14" t="str">
        <f t="shared" si="0"/>
        <v>&lt;b&gt;red square&lt;/b&gt;&lt;br&gt;Moscow&lt;br&gt; Russia&lt;br&gt;</v>
      </c>
      <c r="E7" s="1" t="s">
        <v>822</v>
      </c>
      <c r="F7" s="1" t="str">
        <f t="shared" si="1"/>
        <v>small</v>
      </c>
      <c r="G7" s="1" t="str">
        <f t="shared" si="2"/>
        <v>small</v>
      </c>
      <c r="H7" s="14" t="str">
        <f>rgbToHTMLHex(rampLibraryRGB("heatmap",MIN($I$2:$I$8),MAX($I$2:$I$8),I7))</f>
        <v>#FF0000</v>
      </c>
      <c r="I7" s="14">
        <f t="shared" si="3"/>
        <v>328976.2321239771</v>
      </c>
      <c r="J7" s="14">
        <v>85000</v>
      </c>
      <c r="K7" s="14">
        <v>55.751241899999997</v>
      </c>
      <c r="L7" s="14">
        <v>37.618421699999999</v>
      </c>
      <c r="M7" s="14" t="s">
        <v>120</v>
      </c>
      <c r="N7" s="14" t="s">
        <v>3267</v>
      </c>
      <c r="O7" s="14" t="s">
        <v>3026</v>
      </c>
      <c r="P7" s="14" t="s">
        <v>119</v>
      </c>
      <c r="U7" s="14" t="s">
        <v>3268</v>
      </c>
    </row>
    <row r="8" spans="1:22" ht="12" customHeight="1">
      <c r="A8">
        <v>7</v>
      </c>
      <c r="B8" s="16" t="s">
        <v>381</v>
      </c>
      <c r="C8" s="14" t="s">
        <v>360</v>
      </c>
      <c r="D8" s="14" t="str">
        <f t="shared" si="0"/>
        <v>&lt;b&gt;heineken hall&lt;/b&gt;&lt;br&gt;Arena Boulevard 590&lt;br&gt; Bullewijk&lt;br&gt; 1101 DS Amsterdam-Zuidoost&lt;br&gt; The Netherlands&lt;br&gt;</v>
      </c>
      <c r="E8" s="14"/>
      <c r="F8" s="1" t="str">
        <f t="shared" si="1"/>
        <v>big</v>
      </c>
      <c r="G8" s="1" t="str">
        <f t="shared" si="2"/>
        <v>big</v>
      </c>
      <c r="H8" s="14" t="str">
        <f>rgbToHTMLHex(rampLibraryRGB("heatmap",MIN($I$2:$I$8),MAX($I$2:$I$8),I8))</f>
        <v>#001BE4</v>
      </c>
      <c r="I8" s="14">
        <f t="shared" si="3"/>
        <v>83682.838718840052</v>
      </c>
      <c r="J8" s="14">
        <v>5500</v>
      </c>
      <c r="K8" s="14">
        <v>52.312357400000003</v>
      </c>
      <c r="L8" s="14">
        <v>4.9441508999999986</v>
      </c>
      <c r="M8" s="14" t="s">
        <v>376</v>
      </c>
      <c r="N8" s="14" t="s">
        <v>377</v>
      </c>
      <c r="O8" s="14" t="s">
        <v>382</v>
      </c>
      <c r="P8" s="14" t="s">
        <v>2990</v>
      </c>
      <c r="Q8" s="14" t="s">
        <v>3269</v>
      </c>
      <c r="R8" s="14" t="s">
        <v>383</v>
      </c>
      <c r="S8" s="14">
        <v>590</v>
      </c>
      <c r="T8" s="14" t="s">
        <v>3270</v>
      </c>
      <c r="U8" s="14" t="s">
        <v>3271</v>
      </c>
    </row>
    <row r="9" spans="1:22" ht="12" customHeight="1">
      <c r="E9" s="14"/>
      <c r="F9" s="14"/>
      <c r="G9" s="14"/>
      <c r="H9" s="14"/>
      <c r="I9" s="14"/>
      <c r="J9" s="14"/>
    </row>
    <row r="10" spans="1:22" ht="12" customHeight="1">
      <c r="E10" s="14"/>
      <c r="F10" s="14"/>
      <c r="G10" s="14"/>
      <c r="H10" s="14"/>
      <c r="I10" s="14"/>
      <c r="J10" s="14"/>
    </row>
    <row r="11" spans="1:22" ht="12" customHeight="1">
      <c r="E11" s="14"/>
      <c r="F11" s="14"/>
      <c r="G11" s="14"/>
      <c r="H11" s="14"/>
      <c r="I11" s="14"/>
      <c r="J11" s="14"/>
    </row>
    <row r="12" spans="1:22" ht="12" customHeight="1">
      <c r="E12" s="14"/>
      <c r="F12" s="14"/>
      <c r="G12" s="14"/>
      <c r="H12" s="14"/>
      <c r="I12" s="14"/>
      <c r="J12" s="14"/>
    </row>
    <row r="14" spans="1:22" ht="12" customHeight="1">
      <c r="T14" s="1" t="s">
        <v>662</v>
      </c>
    </row>
    <row r="15" spans="1:22" ht="12" customHeight="1">
      <c r="T15" s="21" t="s">
        <v>661</v>
      </c>
    </row>
  </sheetData>
  <hyperlinks>
    <hyperlink ref="T15" r:id="rId1"/>
    <hyperlink ref="V3" r:id="rId2"/>
    <hyperlink ref="V2" r:id="rId3"/>
    <hyperlink ref="V4" r:id="rId4"/>
  </hyperlinks>
  <pageMargins left="0.7" right="0.7" top="0.75" bottom="0.75" header="0.3" footer="0.3"/>
  <pageSetup paperSize="9" orientation="portrait" r:id="rId5"/>
  <legacyDrawing r:id="rId6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5"/>
  <dimension ref="A1:N109"/>
  <sheetViews>
    <sheetView topLeftCell="A78" workbookViewId="0">
      <selection activeCell="J57" sqref="J57"/>
    </sheetView>
  </sheetViews>
  <sheetFormatPr defaultColWidth="9.140625" defaultRowHeight="11.25"/>
  <cols>
    <col min="1" max="1" width="14.85546875" style="1" customWidth="1"/>
    <col min="2" max="2" width="30.85546875" style="1" customWidth="1"/>
    <col min="3" max="3" width="20.5703125" style="1" customWidth="1"/>
    <col min="4" max="4" width="16.42578125" style="1" customWidth="1"/>
    <col min="5" max="5" width="11.140625" style="1" customWidth="1"/>
    <col min="6" max="6" width="9.85546875" style="1" customWidth="1"/>
    <col min="7" max="7" width="10.28515625" style="3" customWidth="1"/>
    <col min="8" max="8" width="8.7109375" style="1" customWidth="1"/>
    <col min="9" max="9" width="13.140625" style="5" customWidth="1"/>
    <col min="10" max="10" width="11.85546875" style="1" customWidth="1"/>
    <col min="11" max="11" width="14.42578125" style="5" bestFit="1" customWidth="1"/>
    <col min="12" max="16384" width="9.140625" style="1"/>
  </cols>
  <sheetData>
    <row r="1" spans="1:7">
      <c r="A1" s="30" t="s">
        <v>496</v>
      </c>
      <c r="B1" s="30" t="s">
        <v>498</v>
      </c>
      <c r="C1" s="30" t="s">
        <v>497</v>
      </c>
      <c r="D1" s="30"/>
      <c r="E1" s="30"/>
      <c r="G1" s="1"/>
    </row>
    <row r="2" spans="1:7">
      <c r="A2" s="31" t="s">
        <v>323</v>
      </c>
      <c r="B2" s="31" t="s">
        <v>362</v>
      </c>
      <c r="C2" s="29"/>
    </row>
    <row r="3" spans="1:7">
      <c r="A3" s="31" t="s">
        <v>502</v>
      </c>
      <c r="B3" s="31" t="s">
        <v>659</v>
      </c>
      <c r="C3" s="29"/>
    </row>
    <row r="4" spans="1:7">
      <c r="A4" s="31" t="s">
        <v>500</v>
      </c>
      <c r="B4" s="31">
        <v>60</v>
      </c>
      <c r="C4" s="29"/>
    </row>
    <row r="5" spans="1:7">
      <c r="A5" s="31" t="s">
        <v>501</v>
      </c>
      <c r="B5" s="31">
        <v>500</v>
      </c>
      <c r="C5" s="29"/>
    </row>
    <row r="6" spans="1:7">
      <c r="A6" s="31" t="s">
        <v>609</v>
      </c>
      <c r="B6" s="31">
        <v>0.9</v>
      </c>
      <c r="C6" s="29" t="s">
        <v>616</v>
      </c>
    </row>
    <row r="7" spans="1:7">
      <c r="A7" s="31" t="s">
        <v>610</v>
      </c>
      <c r="B7" s="31">
        <v>200</v>
      </c>
      <c r="C7" s="29" t="s">
        <v>617</v>
      </c>
    </row>
    <row r="8" spans="1:7">
      <c r="A8" s="31" t="s">
        <v>611</v>
      </c>
      <c r="B8" s="31">
        <v>1</v>
      </c>
      <c r="C8" s="29" t="s">
        <v>618</v>
      </c>
    </row>
    <row r="9" spans="1:7">
      <c r="A9" s="31" t="s">
        <v>798</v>
      </c>
      <c r="B9" s="31">
        <v>80</v>
      </c>
      <c r="C9" s="29" t="s">
        <v>799</v>
      </c>
    </row>
    <row r="10" spans="1:7">
      <c r="A10" s="31" t="s">
        <v>771</v>
      </c>
      <c r="B10" s="31">
        <v>3</v>
      </c>
      <c r="C10" s="29" t="s">
        <v>772</v>
      </c>
    </row>
    <row r="11" spans="1:7">
      <c r="A11" s="31" t="s">
        <v>770</v>
      </c>
      <c r="B11" s="31" t="s">
        <v>333</v>
      </c>
      <c r="C11" s="29" t="s">
        <v>769</v>
      </c>
    </row>
    <row r="12" spans="1:7">
      <c r="A12" s="31" t="s">
        <v>803</v>
      </c>
      <c r="B12" s="31">
        <v>50</v>
      </c>
      <c r="C12" s="29" t="s">
        <v>799</v>
      </c>
    </row>
    <row r="13" spans="1:7">
      <c r="A13" s="31" t="s">
        <v>704</v>
      </c>
      <c r="B13" s="31" t="s">
        <v>802</v>
      </c>
      <c r="C13" s="29" t="s">
        <v>705</v>
      </c>
    </row>
    <row r="14" spans="1:7">
      <c r="A14" s="31" t="s">
        <v>706</v>
      </c>
      <c r="B14" s="31" t="s">
        <v>708</v>
      </c>
      <c r="C14" s="29" t="s">
        <v>707</v>
      </c>
    </row>
    <row r="15" spans="1:7">
      <c r="A15" s="31" t="s">
        <v>709</v>
      </c>
      <c r="B15" s="31">
        <v>10</v>
      </c>
      <c r="C15" s="29" t="s">
        <v>710</v>
      </c>
    </row>
    <row r="16" spans="1:7">
      <c r="A16" s="31"/>
      <c r="B16" s="31"/>
      <c r="C16" s="29"/>
    </row>
    <row r="17" spans="1:9">
      <c r="A17" s="30" t="s">
        <v>299</v>
      </c>
      <c r="B17" s="30" t="s">
        <v>288</v>
      </c>
      <c r="C17" s="30" t="s">
        <v>11</v>
      </c>
      <c r="D17" s="30"/>
      <c r="E17" s="30"/>
      <c r="G17" s="1"/>
    </row>
    <row r="18" spans="1:9">
      <c r="A18" s="23" t="s">
        <v>94</v>
      </c>
      <c r="B18" s="26" t="s">
        <v>94</v>
      </c>
      <c r="C18" s="26" t="s">
        <v>327</v>
      </c>
      <c r="G18" s="1"/>
    </row>
    <row r="19" spans="1:9">
      <c r="A19" s="23" t="s">
        <v>95</v>
      </c>
      <c r="B19" s="26" t="s">
        <v>95</v>
      </c>
      <c r="C19" s="26"/>
      <c r="G19" s="1"/>
    </row>
    <row r="20" spans="1:9">
      <c r="A20" s="23" t="s">
        <v>409</v>
      </c>
      <c r="B20" s="26" t="s">
        <v>827</v>
      </c>
      <c r="C20" s="26"/>
      <c r="G20" s="1"/>
    </row>
    <row r="21" spans="1:9">
      <c r="A21" s="23" t="s">
        <v>315</v>
      </c>
      <c r="B21" s="26" t="s">
        <v>499</v>
      </c>
      <c r="C21" s="26"/>
      <c r="G21" s="1"/>
    </row>
    <row r="22" spans="1:9">
      <c r="A22" s="23" t="s">
        <v>243</v>
      </c>
      <c r="B22" s="26" t="s">
        <v>243</v>
      </c>
      <c r="C22" s="26"/>
      <c r="G22" s="1"/>
    </row>
    <row r="23" spans="1:9">
      <c r="A23" s="1" t="s">
        <v>262</v>
      </c>
      <c r="B23" s="1" t="s">
        <v>134</v>
      </c>
      <c r="C23" s="1" t="s">
        <v>300</v>
      </c>
    </row>
    <row r="24" spans="1:9">
      <c r="A24" s="1" t="s">
        <v>10</v>
      </c>
      <c r="B24" s="1" t="s">
        <v>10</v>
      </c>
      <c r="C24" s="1" t="s">
        <v>301</v>
      </c>
    </row>
    <row r="25" spans="1:9">
      <c r="A25" s="1" t="s">
        <v>346</v>
      </c>
      <c r="B25" s="1" t="s">
        <v>499</v>
      </c>
      <c r="C25" s="1" t="s">
        <v>306</v>
      </c>
    </row>
    <row r="26" spans="1:9">
      <c r="A26" s="1" t="s">
        <v>86</v>
      </c>
      <c r="B26" s="1" t="s">
        <v>86</v>
      </c>
    </row>
    <row r="27" spans="1:9">
      <c r="A27" s="1" t="s">
        <v>97</v>
      </c>
      <c r="B27" s="1" t="s">
        <v>97</v>
      </c>
      <c r="G27" s="1"/>
      <c r="I27" s="1"/>
    </row>
    <row r="28" spans="1:9">
      <c r="A28" s="1" t="s">
        <v>16</v>
      </c>
      <c r="B28" s="1" t="s">
        <v>20</v>
      </c>
      <c r="G28" s="1"/>
      <c r="I28" s="1"/>
    </row>
    <row r="29" spans="1:9">
      <c r="A29" s="1" t="s">
        <v>402</v>
      </c>
      <c r="B29" s="1" t="s">
        <v>827</v>
      </c>
      <c r="G29" s="1"/>
      <c r="I29" s="1"/>
    </row>
    <row r="30" spans="1:9">
      <c r="A30" s="1" t="s">
        <v>15</v>
      </c>
      <c r="B30" s="1" t="s">
        <v>827</v>
      </c>
      <c r="G30" s="1"/>
    </row>
    <row r="31" spans="1:9">
      <c r="A31" s="1" t="s">
        <v>404</v>
      </c>
      <c r="B31" s="1" t="s">
        <v>342</v>
      </c>
      <c r="G31" s="1"/>
    </row>
    <row r="32" spans="1:9">
      <c r="A32" s="1" t="s">
        <v>8</v>
      </c>
      <c r="B32" s="1" t="s">
        <v>342</v>
      </c>
      <c r="G32" s="1"/>
    </row>
    <row r="33" spans="1:11">
      <c r="A33" s="1" t="s">
        <v>343</v>
      </c>
      <c r="B33" s="1" t="s">
        <v>343</v>
      </c>
      <c r="G33" s="1"/>
    </row>
    <row r="34" spans="1:11">
      <c r="A34" s="1" t="s">
        <v>345</v>
      </c>
      <c r="B34" s="1" t="s">
        <v>345</v>
      </c>
      <c r="G34" s="1"/>
    </row>
    <row r="35" spans="1:11">
      <c r="A35" s="1" t="s">
        <v>386</v>
      </c>
      <c r="B35" s="1" t="s">
        <v>387</v>
      </c>
      <c r="G35" s="1"/>
    </row>
    <row r="36" spans="1:11">
      <c r="A36" s="1" t="s">
        <v>385</v>
      </c>
      <c r="B36" s="1" t="s">
        <v>316</v>
      </c>
      <c r="G36" s="1"/>
    </row>
    <row r="37" spans="1:11">
      <c r="A37" s="1" t="s">
        <v>807</v>
      </c>
      <c r="B37" s="1" t="s">
        <v>807</v>
      </c>
      <c r="G37" s="1"/>
      <c r="I37" s="1"/>
      <c r="K37" s="1"/>
    </row>
    <row r="38" spans="1:11">
      <c r="A38" s="1" t="s">
        <v>806</v>
      </c>
      <c r="B38" s="1" t="s">
        <v>806</v>
      </c>
      <c r="G38" s="1"/>
      <c r="I38" s="1"/>
      <c r="K38" s="1"/>
    </row>
    <row r="39" spans="1:11">
      <c r="A39" s="1" t="s">
        <v>821</v>
      </c>
      <c r="B39" s="1" t="s">
        <v>821</v>
      </c>
      <c r="G39" s="1"/>
      <c r="I39" s="1"/>
      <c r="K39" s="1"/>
    </row>
    <row r="40" spans="1:11">
      <c r="A40" s="1" t="s">
        <v>3237</v>
      </c>
      <c r="B40" s="1" t="s">
        <v>3237</v>
      </c>
      <c r="G40" s="1"/>
      <c r="I40" s="1"/>
      <c r="K40" s="1"/>
    </row>
    <row r="42" spans="1:11">
      <c r="A42" s="30" t="s">
        <v>505</v>
      </c>
      <c r="B42" s="30" t="s">
        <v>498</v>
      </c>
      <c r="C42" s="2" t="s">
        <v>3241</v>
      </c>
      <c r="D42" s="30"/>
      <c r="E42" s="30"/>
      <c r="F42" s="30"/>
    </row>
    <row r="43" spans="1:11">
      <c r="A43" s="1" t="s">
        <v>504</v>
      </c>
      <c r="B43" s="1" t="s">
        <v>386</v>
      </c>
      <c r="C43" s="1" t="s">
        <v>322</v>
      </c>
    </row>
    <row r="44" spans="1:11">
      <c r="A44" s="1" t="s">
        <v>508</v>
      </c>
      <c r="B44" s="1" t="s">
        <v>821</v>
      </c>
      <c r="C44" s="1" t="s">
        <v>322</v>
      </c>
    </row>
    <row r="45" spans="1:11">
      <c r="A45" s="1" t="s">
        <v>3279</v>
      </c>
      <c r="B45" s="1" t="s">
        <v>3280</v>
      </c>
      <c r="C45" s="1" t="s">
        <v>333</v>
      </c>
    </row>
    <row r="47" spans="1:11">
      <c r="A47" s="30" t="s">
        <v>140</v>
      </c>
      <c r="B47" s="30" t="s">
        <v>298</v>
      </c>
      <c r="C47" s="30" t="s">
        <v>297</v>
      </c>
      <c r="D47" s="30" t="s">
        <v>296</v>
      </c>
      <c r="E47" s="30" t="s">
        <v>384</v>
      </c>
      <c r="F47" s="30" t="s">
        <v>668</v>
      </c>
      <c r="G47" s="30" t="s">
        <v>703</v>
      </c>
    </row>
    <row r="48" spans="1:11">
      <c r="A48" s="1" t="s">
        <v>286</v>
      </c>
      <c r="B48" s="1" t="s">
        <v>425</v>
      </c>
      <c r="C48" s="1" t="s">
        <v>409</v>
      </c>
      <c r="D48" s="1" t="s">
        <v>406</v>
      </c>
      <c r="E48" s="1" t="s">
        <v>385</v>
      </c>
      <c r="F48" s="1" t="s">
        <v>670</v>
      </c>
      <c r="G48" s="3" t="s">
        <v>345</v>
      </c>
    </row>
    <row r="49" spans="1:9">
      <c r="A49" s="1" t="s">
        <v>345</v>
      </c>
      <c r="B49" s="1" t="s">
        <v>425</v>
      </c>
      <c r="C49" s="1" t="s">
        <v>345</v>
      </c>
      <c r="D49" s="1" t="s">
        <v>407</v>
      </c>
      <c r="E49" s="1" t="s">
        <v>386</v>
      </c>
      <c r="F49" s="1" t="s">
        <v>670</v>
      </c>
      <c r="G49" s="3" t="s">
        <v>345</v>
      </c>
    </row>
    <row r="50" spans="1:9">
      <c r="A50" s="1" t="s">
        <v>10</v>
      </c>
      <c r="B50" s="1" t="s">
        <v>426</v>
      </c>
      <c r="C50" s="1" t="s">
        <v>262</v>
      </c>
      <c r="D50" s="1" t="s">
        <v>406</v>
      </c>
      <c r="E50" s="1" t="s">
        <v>385</v>
      </c>
      <c r="F50" s="1" t="s">
        <v>670</v>
      </c>
      <c r="G50" s="3" t="s">
        <v>712</v>
      </c>
    </row>
    <row r="51" spans="1:9">
      <c r="A51" s="1" t="s">
        <v>97</v>
      </c>
      <c r="B51" s="1" t="s">
        <v>427</v>
      </c>
      <c r="C51" s="1" t="s">
        <v>313</v>
      </c>
      <c r="D51" s="1" t="s">
        <v>406</v>
      </c>
      <c r="E51" s="1" t="s">
        <v>385</v>
      </c>
      <c r="F51" s="1" t="s">
        <v>670</v>
      </c>
      <c r="G51" s="3" t="s">
        <v>713</v>
      </c>
    </row>
    <row r="52" spans="1:9">
      <c r="A52" s="1" t="s">
        <v>346</v>
      </c>
      <c r="B52" s="1" t="s">
        <v>428</v>
      </c>
      <c r="C52" s="1" t="s">
        <v>15</v>
      </c>
      <c r="D52" s="1" t="s">
        <v>406</v>
      </c>
      <c r="E52" s="1" t="s">
        <v>385</v>
      </c>
      <c r="F52" s="1" t="s">
        <v>670</v>
      </c>
      <c r="G52" s="3" t="s">
        <v>346</v>
      </c>
    </row>
    <row r="53" spans="1:9">
      <c r="A53" s="1" t="s">
        <v>287</v>
      </c>
      <c r="B53" s="1" t="s">
        <v>427</v>
      </c>
      <c r="D53" s="1" t="s">
        <v>405</v>
      </c>
      <c r="E53" s="1" t="s">
        <v>385</v>
      </c>
      <c r="F53" s="1" t="s">
        <v>670</v>
      </c>
      <c r="G53" s="1" t="s">
        <v>345</v>
      </c>
    </row>
    <row r="55" spans="1:9">
      <c r="A55" s="30" t="s">
        <v>141</v>
      </c>
      <c r="B55" s="30" t="s">
        <v>292</v>
      </c>
      <c r="C55" s="30" t="s">
        <v>145</v>
      </c>
      <c r="D55" s="30"/>
      <c r="E55" s="30"/>
    </row>
    <row r="56" spans="1:9">
      <c r="A56" s="1" t="s">
        <v>404</v>
      </c>
      <c r="B56" s="1" t="s">
        <v>397</v>
      </c>
      <c r="C56" s="1" t="s">
        <v>314</v>
      </c>
    </row>
    <row r="57" spans="1:9">
      <c r="A57" s="1" t="s">
        <v>402</v>
      </c>
      <c r="B57" s="1" t="s">
        <v>294</v>
      </c>
    </row>
    <row r="59" spans="1:9">
      <c r="A59" s="30" t="s">
        <v>325</v>
      </c>
      <c r="B59" s="30" t="s">
        <v>324</v>
      </c>
      <c r="C59" s="30" t="s">
        <v>330</v>
      </c>
      <c r="D59" s="30" t="s">
        <v>145</v>
      </c>
      <c r="E59" s="30"/>
      <c r="G59" s="25" t="s">
        <v>328</v>
      </c>
      <c r="H59" s="25"/>
    </row>
    <row r="60" spans="1:9">
      <c r="A60" s="23" t="s">
        <v>242</v>
      </c>
      <c r="B60" s="27">
        <v>2</v>
      </c>
      <c r="C60" s="1" t="s">
        <v>333</v>
      </c>
      <c r="D60" s="1" t="s">
        <v>326</v>
      </c>
      <c r="G60" s="76">
        <v>1</v>
      </c>
      <c r="H60" s="76">
        <v>11</v>
      </c>
      <c r="I60" s="90">
        <v>9</v>
      </c>
    </row>
    <row r="61" spans="1:9" ht="11.25" customHeight="1">
      <c r="A61" s="23" t="s">
        <v>334</v>
      </c>
      <c r="B61" s="27">
        <v>4</v>
      </c>
      <c r="C61" s="1" t="s">
        <v>322</v>
      </c>
      <c r="D61" s="1" t="s">
        <v>331</v>
      </c>
      <c r="G61" s="76">
        <v>2</v>
      </c>
      <c r="H61" s="89">
        <v>3</v>
      </c>
      <c r="I61" s="91"/>
    </row>
    <row r="62" spans="1:9" ht="11.25" customHeight="1">
      <c r="A62" s="23" t="s">
        <v>335</v>
      </c>
      <c r="B62" s="27">
        <v>3</v>
      </c>
      <c r="C62" s="1" t="s">
        <v>333</v>
      </c>
      <c r="D62" s="1" t="s">
        <v>329</v>
      </c>
      <c r="G62" s="76">
        <v>4</v>
      </c>
      <c r="H62" s="89"/>
      <c r="I62" s="91"/>
    </row>
    <row r="63" spans="1:9" ht="11.25" customHeight="1">
      <c r="A63" s="23" t="s">
        <v>336</v>
      </c>
      <c r="B63" s="27">
        <v>5</v>
      </c>
      <c r="C63" s="1" t="s">
        <v>333</v>
      </c>
      <c r="G63" s="89">
        <v>5</v>
      </c>
      <c r="H63" s="89"/>
      <c r="I63" s="91"/>
    </row>
    <row r="64" spans="1:9" ht="11.25" customHeight="1">
      <c r="A64" s="23" t="s">
        <v>337</v>
      </c>
      <c r="B64" s="27">
        <v>6</v>
      </c>
      <c r="C64" s="1" t="s">
        <v>333</v>
      </c>
      <c r="D64" s="1" t="s">
        <v>332</v>
      </c>
      <c r="G64" s="89">
        <v>6</v>
      </c>
      <c r="H64" s="89"/>
      <c r="I64" s="91"/>
    </row>
    <row r="65" spans="1:14" ht="11.25" customHeight="1">
      <c r="A65" s="23" t="s">
        <v>338</v>
      </c>
      <c r="B65" s="27">
        <v>7</v>
      </c>
      <c r="C65" s="1" t="s">
        <v>333</v>
      </c>
      <c r="G65" s="89">
        <v>7</v>
      </c>
      <c r="H65" s="89"/>
      <c r="I65" s="92"/>
    </row>
    <row r="66" spans="1:14" ht="11.25" customHeight="1">
      <c r="A66" s="23" t="s">
        <v>339</v>
      </c>
      <c r="B66" s="27">
        <v>8</v>
      </c>
      <c r="C66" s="1" t="s">
        <v>333</v>
      </c>
      <c r="G66" s="89">
        <v>8</v>
      </c>
      <c r="H66" s="89"/>
      <c r="I66" s="75">
        <v>10</v>
      </c>
    </row>
    <row r="67" spans="1:14">
      <c r="A67" s="23" t="s">
        <v>241</v>
      </c>
      <c r="B67" s="27">
        <v>1</v>
      </c>
      <c r="C67" s="1" t="s">
        <v>322</v>
      </c>
      <c r="E67" s="28"/>
      <c r="F67" s="28"/>
    </row>
    <row r="68" spans="1:14">
      <c r="A68" s="23" t="s">
        <v>510</v>
      </c>
      <c r="B68" s="27">
        <v>11</v>
      </c>
      <c r="C68" s="1" t="s">
        <v>333</v>
      </c>
      <c r="E68" s="28"/>
      <c r="F68" s="28"/>
    </row>
    <row r="69" spans="1:14" s="5" customFormat="1">
      <c r="A69" s="23" t="s">
        <v>702</v>
      </c>
      <c r="B69" s="27">
        <v>0</v>
      </c>
      <c r="C69" s="1" t="s">
        <v>333</v>
      </c>
      <c r="D69" s="1"/>
      <c r="E69" s="28"/>
      <c r="F69" s="28"/>
      <c r="G69" s="3"/>
      <c r="H69" s="1"/>
      <c r="J69" s="1"/>
      <c r="L69" s="1"/>
      <c r="M69" s="1"/>
      <c r="N69" s="1"/>
    </row>
    <row r="70" spans="1:14">
      <c r="G70" s="1"/>
      <c r="I70" s="1"/>
    </row>
    <row r="71" spans="1:14">
      <c r="A71" s="30" t="s">
        <v>410</v>
      </c>
      <c r="B71" s="30" t="s">
        <v>418</v>
      </c>
      <c r="C71" s="30" t="s">
        <v>145</v>
      </c>
      <c r="D71" s="30"/>
      <c r="E71" s="30"/>
    </row>
    <row r="72" spans="1:14">
      <c r="A72" s="1" t="s">
        <v>134</v>
      </c>
      <c r="B72" s="1" t="s">
        <v>156</v>
      </c>
      <c r="C72" s="1" t="s">
        <v>419</v>
      </c>
    </row>
    <row r="73" spans="1:14">
      <c r="A73" s="1" t="s">
        <v>295</v>
      </c>
      <c r="B73" s="1" t="s">
        <v>156</v>
      </c>
    </row>
    <row r="74" spans="1:14">
      <c r="A74" s="1" t="s">
        <v>86</v>
      </c>
      <c r="B74" s="1" t="s">
        <v>156</v>
      </c>
    </row>
    <row r="75" spans="1:14">
      <c r="A75" s="1" t="s">
        <v>97</v>
      </c>
      <c r="B75" s="1" t="s">
        <v>156</v>
      </c>
      <c r="G75" s="1"/>
      <c r="I75" s="1"/>
    </row>
    <row r="76" spans="1:14">
      <c r="A76" s="1" t="s">
        <v>499</v>
      </c>
      <c r="B76" s="1" t="s">
        <v>156</v>
      </c>
      <c r="G76" s="1"/>
      <c r="I76" s="1"/>
    </row>
    <row r="77" spans="1:14">
      <c r="A77" s="1" t="s">
        <v>20</v>
      </c>
      <c r="B77" s="1" t="s">
        <v>156</v>
      </c>
      <c r="G77" s="1"/>
      <c r="I77" s="1"/>
    </row>
    <row r="78" spans="1:14">
      <c r="A78" s="1" t="s">
        <v>94</v>
      </c>
      <c r="B78" s="1" t="s">
        <v>156</v>
      </c>
      <c r="G78" s="1"/>
    </row>
    <row r="79" spans="1:14">
      <c r="A79" s="1" t="s">
        <v>95</v>
      </c>
      <c r="B79" s="1" t="s">
        <v>156</v>
      </c>
      <c r="G79" s="1"/>
    </row>
    <row r="80" spans="1:14">
      <c r="A80" s="1" t="s">
        <v>243</v>
      </c>
      <c r="B80" s="1" t="s">
        <v>156</v>
      </c>
      <c r="G80" s="1"/>
    </row>
    <row r="81" spans="1:11">
      <c r="A81" s="1" t="s">
        <v>807</v>
      </c>
      <c r="B81" s="1" t="s">
        <v>156</v>
      </c>
      <c r="G81" s="1"/>
      <c r="I81" s="1"/>
      <c r="K81" s="1"/>
    </row>
    <row r="82" spans="1:11">
      <c r="A82" s="1" t="s">
        <v>806</v>
      </c>
      <c r="B82" s="1" t="s">
        <v>156</v>
      </c>
      <c r="G82" s="1"/>
      <c r="I82" s="1"/>
      <c r="K82" s="1"/>
    </row>
    <row r="83" spans="1:11">
      <c r="A83" s="1" t="s">
        <v>3237</v>
      </c>
      <c r="B83" s="1" t="s">
        <v>156</v>
      </c>
      <c r="G83" s="1"/>
      <c r="I83" s="1"/>
      <c r="K83" s="1"/>
    </row>
    <row r="84" spans="1:11">
      <c r="A84" s="1" t="s">
        <v>821</v>
      </c>
      <c r="B84" s="1" t="s">
        <v>156</v>
      </c>
      <c r="G84" s="1"/>
      <c r="I84" s="1"/>
      <c r="K84" s="1"/>
    </row>
    <row r="85" spans="1:11">
      <c r="A85" s="1" t="s">
        <v>316</v>
      </c>
      <c r="B85" s="1" t="s">
        <v>156</v>
      </c>
      <c r="G85" s="1"/>
    </row>
    <row r="86" spans="1:11">
      <c r="A86" s="1" t="s">
        <v>345</v>
      </c>
      <c r="B86" s="1" t="s">
        <v>413</v>
      </c>
    </row>
    <row r="87" spans="1:11">
      <c r="A87" s="1" t="s">
        <v>387</v>
      </c>
      <c r="B87" s="1" t="s">
        <v>413</v>
      </c>
    </row>
    <row r="89" spans="1:11">
      <c r="A89" s="30" t="s">
        <v>147</v>
      </c>
      <c r="B89" s="30" t="s">
        <v>146</v>
      </c>
      <c r="C89" s="30" t="s">
        <v>153</v>
      </c>
      <c r="D89" s="30" t="s">
        <v>145</v>
      </c>
      <c r="E89" s="30"/>
    </row>
    <row r="90" spans="1:11">
      <c r="A90" s="33" t="s">
        <v>156</v>
      </c>
      <c r="B90" s="1" t="s">
        <v>826</v>
      </c>
      <c r="C90" s="1" t="s">
        <v>827</v>
      </c>
      <c r="D90" s="1" t="s">
        <v>414</v>
      </c>
    </row>
    <row r="91" spans="1:11">
      <c r="A91" s="33" t="s">
        <v>149</v>
      </c>
      <c r="B91" s="1" t="s">
        <v>828</v>
      </c>
      <c r="D91" s="1" t="s">
        <v>415</v>
      </c>
    </row>
    <row r="92" spans="1:11">
      <c r="A92" s="33" t="s">
        <v>153</v>
      </c>
      <c r="B92" s="1" t="s">
        <v>829</v>
      </c>
      <c r="D92" s="1" t="s">
        <v>416</v>
      </c>
    </row>
    <row r="93" spans="1:11">
      <c r="A93" s="33" t="s">
        <v>413</v>
      </c>
      <c r="B93" s="1" t="s">
        <v>411</v>
      </c>
      <c r="C93" s="1" t="s">
        <v>412</v>
      </c>
      <c r="D93" s="1" t="s">
        <v>417</v>
      </c>
    </row>
    <row r="95" spans="1:11">
      <c r="A95" s="30" t="s">
        <v>408</v>
      </c>
      <c r="B95" s="30" t="s">
        <v>262</v>
      </c>
      <c r="C95" s="30" t="s">
        <v>11</v>
      </c>
      <c r="D95" s="30"/>
      <c r="E95" s="30"/>
    </row>
    <row r="96" spans="1:11">
      <c r="A96" s="23" t="s">
        <v>269</v>
      </c>
      <c r="B96" s="7" t="s">
        <v>832</v>
      </c>
      <c r="C96" s="29" t="s">
        <v>319</v>
      </c>
    </row>
    <row r="97" spans="1:7" ht="24" customHeight="1">
      <c r="A97" s="23" t="s">
        <v>266</v>
      </c>
      <c r="B97" s="12" t="s">
        <v>3281</v>
      </c>
      <c r="C97" s="29" t="s">
        <v>320</v>
      </c>
    </row>
    <row r="98" spans="1:7" ht="15" customHeight="1">
      <c r="A98" s="23" t="s">
        <v>321</v>
      </c>
      <c r="B98" s="24" t="s">
        <v>836</v>
      </c>
      <c r="C98" s="29" t="s">
        <v>267</v>
      </c>
      <c r="G98" s="20"/>
    </row>
    <row r="100" spans="1:7">
      <c r="A100" s="30" t="s">
        <v>18</v>
      </c>
      <c r="B100" s="30" t="s">
        <v>113</v>
      </c>
      <c r="C100" s="30" t="s">
        <v>11</v>
      </c>
      <c r="D100" s="30"/>
      <c r="E100" s="30"/>
    </row>
    <row r="101" spans="1:7">
      <c r="A101" s="1" t="s">
        <v>15</v>
      </c>
      <c r="B101" s="1" t="s">
        <v>827</v>
      </c>
      <c r="C101" s="1" t="s">
        <v>114</v>
      </c>
    </row>
    <row r="102" spans="1:7">
      <c r="A102" s="1" t="s">
        <v>16</v>
      </c>
      <c r="B102" s="1" t="s">
        <v>87</v>
      </c>
      <c r="C102" s="1" t="s">
        <v>115</v>
      </c>
    </row>
    <row r="108" spans="1:7">
      <c r="C108" s="1" t="s">
        <v>662</v>
      </c>
    </row>
    <row r="109" spans="1:7" ht="15">
      <c r="C109" s="21" t="s">
        <v>661</v>
      </c>
    </row>
  </sheetData>
  <mergeCells count="6">
    <mergeCell ref="G66:H66"/>
    <mergeCell ref="I60:I65"/>
    <mergeCell ref="H61:H62"/>
    <mergeCell ref="G63:H63"/>
    <mergeCell ref="G64:H64"/>
    <mergeCell ref="G65:H65"/>
  </mergeCells>
  <dataValidations count="9">
    <dataValidation type="list" allowBlank="1" showInputMessage="1" showErrorMessage="1" sqref="F48:F53">
      <formula1>"barchart,orgchart,none"</formula1>
    </dataValidation>
    <dataValidation type="list" allowBlank="1" showInputMessage="1" showErrorMessage="1" sqref="B56:B57">
      <formula1>"sum,count,average,min,max"</formula1>
    </dataValidation>
    <dataValidation type="list" allowBlank="1" showInputMessage="1" showErrorMessage="1" sqref="C60:C69">
      <formula1>"yes,no"</formula1>
    </dataValidation>
    <dataValidation type="list" operator="greaterThan" allowBlank="1" showInputMessage="1" showErrorMessage="1" sqref="B11">
      <formula1>"yes,no"</formula1>
    </dataValidation>
    <dataValidation operator="greaterThan" allowBlank="1" showInputMessage="1" showErrorMessage="1" sqref="B13:B15"/>
    <dataValidation type="decimal" operator="greaterThan" allowBlank="1" showInputMessage="1" showErrorMessage="1" sqref="B16 B5:B10 B12">
      <formula1>0</formula1>
    </dataValidation>
    <dataValidation type="decimal" allowBlank="1" showInputMessage="1" showErrorMessage="1" sqref="B4">
      <formula1>0</formula1>
      <formula2>180</formula2>
    </dataValidation>
    <dataValidation type="list" allowBlank="1" showInputMessage="1" showErrorMessage="1" sqref="B3">
      <formula1>"google maps,google earth"</formula1>
    </dataValidation>
    <dataValidation type="list" allowBlank="1" showInputMessage="1" showErrorMessage="1" sqref="B2">
      <formula1>"default,none"</formula1>
    </dataValidation>
  </dataValidations>
  <hyperlinks>
    <hyperlink ref="C109" r:id="rId1"/>
  </hyperlinks>
  <pageMargins left="0.7" right="0.7" top="0.75" bottom="0.75" header="0.3" footer="0.3"/>
  <pageSetup orientation="portrait" horizontalDpi="1200" verticalDpi="1200"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6"/>
  <dimension ref="A1:I18"/>
  <sheetViews>
    <sheetView workbookViewId="0">
      <selection activeCell="C11" sqref="C11"/>
    </sheetView>
  </sheetViews>
  <sheetFormatPr defaultColWidth="9.140625" defaultRowHeight="15"/>
  <cols>
    <col min="1" max="1" width="10.85546875" customWidth="1"/>
    <col min="2" max="2" width="12" customWidth="1"/>
    <col min="3" max="3" width="11.28515625" customWidth="1"/>
  </cols>
  <sheetData>
    <row r="1" spans="1:4">
      <c r="A1" s="6" t="s">
        <v>827</v>
      </c>
      <c r="B1" s="6" t="s">
        <v>342</v>
      </c>
      <c r="C1" s="6" t="s">
        <v>343</v>
      </c>
      <c r="D1" s="6" t="s">
        <v>412</v>
      </c>
    </row>
    <row r="2" spans="1:4" ht="20.25" customHeight="1">
      <c r="A2">
        <v>1</v>
      </c>
      <c r="B2">
        <v>100</v>
      </c>
      <c r="C2" s="32">
        <v>40852</v>
      </c>
      <c r="D2">
        <v>20</v>
      </c>
    </row>
    <row r="3" spans="1:4">
      <c r="A3">
        <v>1</v>
      </c>
      <c r="B3">
        <v>90</v>
      </c>
      <c r="C3" s="32">
        <v>40860</v>
      </c>
      <c r="D3">
        <v>21</v>
      </c>
    </row>
    <row r="4" spans="1:4">
      <c r="A4">
        <v>2</v>
      </c>
      <c r="B4">
        <v>120</v>
      </c>
      <c r="C4" s="32">
        <v>40851</v>
      </c>
      <c r="D4">
        <v>22</v>
      </c>
    </row>
    <row r="5" spans="1:4">
      <c r="A5">
        <v>3</v>
      </c>
      <c r="B5">
        <v>80</v>
      </c>
      <c r="C5" s="32">
        <v>40802</v>
      </c>
      <c r="D5">
        <v>22</v>
      </c>
    </row>
    <row r="6" spans="1:4">
      <c r="A6">
        <v>4</v>
      </c>
      <c r="B6">
        <v>67</v>
      </c>
      <c r="C6" s="32">
        <v>40794</v>
      </c>
      <c r="D6">
        <v>22</v>
      </c>
    </row>
    <row r="7" spans="1:4">
      <c r="A7">
        <v>5</v>
      </c>
      <c r="B7">
        <v>50</v>
      </c>
      <c r="C7" s="32">
        <v>40809</v>
      </c>
      <c r="D7">
        <v>22</v>
      </c>
    </row>
    <row r="8" spans="1:4">
      <c r="A8">
        <v>6</v>
      </c>
      <c r="B8">
        <v>20</v>
      </c>
      <c r="C8" s="32">
        <v>40717</v>
      </c>
      <c r="D8">
        <v>22</v>
      </c>
    </row>
    <row r="9" spans="1:4">
      <c r="A9">
        <v>7</v>
      </c>
      <c r="B9">
        <v>40</v>
      </c>
      <c r="C9" s="32">
        <v>40717</v>
      </c>
      <c r="D9">
        <v>23</v>
      </c>
    </row>
    <row r="17" spans="9:9">
      <c r="I17" s="1" t="s">
        <v>662</v>
      </c>
    </row>
    <row r="18" spans="9:9">
      <c r="I18" s="21" t="s">
        <v>661</v>
      </c>
    </row>
  </sheetData>
  <hyperlinks>
    <hyperlink ref="I18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7"/>
  <dimension ref="A1:T23"/>
  <sheetViews>
    <sheetView workbookViewId="0">
      <selection activeCell="D23" sqref="D23"/>
    </sheetView>
  </sheetViews>
  <sheetFormatPr defaultRowHeight="11.25"/>
  <cols>
    <col min="1" max="1" width="6.28515625" style="49" customWidth="1"/>
    <col min="2" max="2" width="6.42578125" style="49" customWidth="1"/>
    <col min="3" max="3" width="9.140625" style="88" customWidth="1"/>
    <col min="4" max="4" width="6.28515625" style="49" customWidth="1"/>
    <col min="5" max="5" width="9.140625" style="49"/>
    <col min="6" max="6" width="6.5703125" style="49" customWidth="1"/>
    <col min="7" max="7" width="4.28515625" style="49" customWidth="1"/>
    <col min="8" max="8" width="4" style="49" customWidth="1"/>
    <col min="9" max="9" width="5.42578125" style="49" customWidth="1"/>
    <col min="10" max="10" width="9.140625" style="49"/>
    <col min="11" max="11" width="6.140625" style="49" customWidth="1"/>
    <col min="12" max="12" width="8" style="49" customWidth="1"/>
    <col min="13" max="13" width="5.85546875" style="49" customWidth="1"/>
    <col min="14" max="14" width="7.5703125" style="49" customWidth="1"/>
    <col min="15" max="15" width="9.28515625" style="49" customWidth="1"/>
    <col min="16" max="16" width="10.85546875" style="49" customWidth="1"/>
    <col min="17" max="16384" width="9.140625" style="49"/>
  </cols>
  <sheetData>
    <row r="1" spans="1:20">
      <c r="A1" s="48" t="s">
        <v>827</v>
      </c>
      <c r="B1" s="48" t="s">
        <v>342</v>
      </c>
      <c r="C1" s="87" t="s">
        <v>343</v>
      </c>
      <c r="D1" s="48" t="s">
        <v>412</v>
      </c>
      <c r="E1" s="48" t="s">
        <v>134</v>
      </c>
      <c r="F1" s="48" t="s">
        <v>295</v>
      </c>
      <c r="G1" s="48" t="s">
        <v>86</v>
      </c>
      <c r="H1" s="48" t="s">
        <v>97</v>
      </c>
      <c r="I1" s="48" t="s">
        <v>499</v>
      </c>
      <c r="J1" s="48" t="s">
        <v>20</v>
      </c>
      <c r="K1" s="48" t="s">
        <v>94</v>
      </c>
      <c r="L1" s="48" t="s">
        <v>95</v>
      </c>
      <c r="M1" s="48" t="s">
        <v>243</v>
      </c>
      <c r="N1" s="48" t="s">
        <v>807</v>
      </c>
      <c r="O1" s="48" t="s">
        <v>806</v>
      </c>
      <c r="P1" s="48" t="s">
        <v>3237</v>
      </c>
      <c r="Q1" s="48" t="s">
        <v>821</v>
      </c>
      <c r="R1" s="48" t="s">
        <v>316</v>
      </c>
      <c r="S1" s="48" t="s">
        <v>345</v>
      </c>
      <c r="T1" s="48" t="s">
        <v>387</v>
      </c>
    </row>
    <row r="2" spans="1:20">
      <c r="A2" s="49">
        <v>1</v>
      </c>
      <c r="B2" s="49">
        <v>100</v>
      </c>
      <c r="C2" s="88">
        <v>40852</v>
      </c>
      <c r="D2" s="49">
        <v>20</v>
      </c>
      <c r="E2" s="49" t="s">
        <v>9</v>
      </c>
      <c r="F2" s="49" t="s">
        <v>82</v>
      </c>
      <c r="G2" s="49" t="s">
        <v>351</v>
      </c>
      <c r="H2" s="49" t="s">
        <v>3263</v>
      </c>
      <c r="I2" s="49" t="s">
        <v>348</v>
      </c>
      <c r="J2" s="49" t="s">
        <v>3264</v>
      </c>
      <c r="K2" s="49">
        <v>41.989100000000001</v>
      </c>
      <c r="L2" s="49">
        <v>-87.871473999999992</v>
      </c>
      <c r="M2" s="49" t="s">
        <v>3272</v>
      </c>
      <c r="N2" s="49" t="s">
        <v>830</v>
      </c>
      <c r="O2" s="49">
        <v>74848.20637019111</v>
      </c>
      <c r="P2" s="49" t="s">
        <v>3238</v>
      </c>
      <c r="R2" s="49" t="s">
        <v>394</v>
      </c>
      <c r="S2" s="49" t="s">
        <v>350</v>
      </c>
      <c r="T2" s="49" t="s">
        <v>400</v>
      </c>
    </row>
    <row r="3" spans="1:20">
      <c r="A3" s="49">
        <v>1</v>
      </c>
      <c r="B3" s="49">
        <v>90</v>
      </c>
      <c r="C3" s="88">
        <v>40860</v>
      </c>
      <c r="D3" s="49">
        <v>21</v>
      </c>
      <c r="E3" s="49" t="s">
        <v>9</v>
      </c>
      <c r="F3" s="49" t="s">
        <v>82</v>
      </c>
      <c r="G3" s="49" t="s">
        <v>351</v>
      </c>
      <c r="H3" s="49" t="s">
        <v>3263</v>
      </c>
      <c r="I3" s="49" t="s">
        <v>348</v>
      </c>
      <c r="J3" s="49" t="s">
        <v>3264</v>
      </c>
      <c r="K3" s="49">
        <v>41.989100000000001</v>
      </c>
      <c r="L3" s="49">
        <v>-87.871473999999992</v>
      </c>
      <c r="M3" s="49" t="s">
        <v>3272</v>
      </c>
      <c r="N3" s="49" t="s">
        <v>830</v>
      </c>
      <c r="O3" s="49">
        <v>74848.20637019111</v>
      </c>
      <c r="P3" s="49" t="s">
        <v>3238</v>
      </c>
      <c r="R3" s="49" t="s">
        <v>394</v>
      </c>
      <c r="S3" s="49" t="s">
        <v>344</v>
      </c>
      <c r="T3" s="49" t="s">
        <v>396</v>
      </c>
    </row>
    <row r="4" spans="1:20">
      <c r="A4" s="49">
        <v>2</v>
      </c>
      <c r="B4" s="49">
        <v>120</v>
      </c>
      <c r="C4" s="88">
        <v>40851</v>
      </c>
      <c r="D4" s="49">
        <v>22</v>
      </c>
      <c r="E4" s="49" t="s">
        <v>9</v>
      </c>
      <c r="F4" s="49" t="s">
        <v>82</v>
      </c>
      <c r="G4" s="49" t="s">
        <v>366</v>
      </c>
      <c r="H4" s="49" t="s">
        <v>367</v>
      </c>
      <c r="I4" s="49" t="s">
        <v>353</v>
      </c>
      <c r="J4" s="49" t="s">
        <v>3265</v>
      </c>
      <c r="K4" s="49">
        <v>30.030512000000002</v>
      </c>
      <c r="L4" s="49">
        <v>-90.049309999999991</v>
      </c>
      <c r="M4" s="49" t="s">
        <v>3273</v>
      </c>
      <c r="N4" s="49" t="s">
        <v>2994</v>
      </c>
      <c r="O4" s="49">
        <v>112837.91670955127</v>
      </c>
      <c r="P4" s="49" t="s">
        <v>3239</v>
      </c>
      <c r="R4" s="49" t="s">
        <v>393</v>
      </c>
      <c r="S4" s="49" t="s">
        <v>354</v>
      </c>
      <c r="T4" s="49" t="s">
        <v>399</v>
      </c>
    </row>
    <row r="5" spans="1:20">
      <c r="A5" s="49">
        <v>3</v>
      </c>
      <c r="B5" s="49">
        <v>80</v>
      </c>
      <c r="C5" s="88">
        <v>40802</v>
      </c>
      <c r="D5" s="49">
        <v>22</v>
      </c>
      <c r="E5" s="49" t="s">
        <v>374</v>
      </c>
      <c r="F5" s="49" t="s">
        <v>375</v>
      </c>
      <c r="H5" s="49" t="s">
        <v>379</v>
      </c>
      <c r="I5" s="49" t="s">
        <v>355</v>
      </c>
      <c r="J5" s="49" t="s">
        <v>664</v>
      </c>
      <c r="K5" s="49">
        <v>34.637675799999997</v>
      </c>
      <c r="L5" s="49">
        <v>135.41451040000001</v>
      </c>
      <c r="M5" s="49" t="s">
        <v>665</v>
      </c>
      <c r="N5" s="49" t="s">
        <v>2994</v>
      </c>
      <c r="O5" s="49">
        <v>112837.91670955127</v>
      </c>
      <c r="P5" s="49" t="s">
        <v>3239</v>
      </c>
      <c r="R5" s="49" t="s">
        <v>395</v>
      </c>
      <c r="S5" s="49" t="s">
        <v>354</v>
      </c>
      <c r="T5" s="49" t="s">
        <v>399</v>
      </c>
    </row>
    <row r="6" spans="1:20">
      <c r="A6" s="49">
        <v>4</v>
      </c>
      <c r="B6" s="49">
        <v>67</v>
      </c>
      <c r="C6" s="88">
        <v>40794</v>
      </c>
      <c r="D6" s="49">
        <v>22</v>
      </c>
      <c r="E6" s="49" t="s">
        <v>368</v>
      </c>
      <c r="F6" s="49" t="s">
        <v>369</v>
      </c>
      <c r="H6" s="49" t="s">
        <v>370</v>
      </c>
      <c r="I6" s="49" t="s">
        <v>356</v>
      </c>
      <c r="J6" s="49" t="s">
        <v>2983</v>
      </c>
      <c r="K6" s="49">
        <v>37.519820899999999</v>
      </c>
      <c r="L6" s="49">
        <v>127.1227901</v>
      </c>
      <c r="M6" s="49" t="s">
        <v>2995</v>
      </c>
      <c r="N6" s="49" t="s">
        <v>2996</v>
      </c>
      <c r="O6" s="49">
        <v>298541.06607209228</v>
      </c>
      <c r="P6" s="49" t="s">
        <v>3240</v>
      </c>
      <c r="S6" s="49" t="s">
        <v>354</v>
      </c>
      <c r="T6" s="49" t="s">
        <v>399</v>
      </c>
    </row>
    <row r="7" spans="1:20">
      <c r="A7" s="49">
        <v>5</v>
      </c>
      <c r="B7" s="49">
        <v>50</v>
      </c>
      <c r="C7" s="88">
        <v>40809</v>
      </c>
      <c r="D7" s="49">
        <v>22</v>
      </c>
      <c r="E7" s="49" t="s">
        <v>372</v>
      </c>
      <c r="F7" s="49" t="s">
        <v>373</v>
      </c>
      <c r="I7" s="49" t="s">
        <v>392</v>
      </c>
      <c r="J7" s="49" t="s">
        <v>3266</v>
      </c>
      <c r="K7" s="49">
        <v>13.8973058</v>
      </c>
      <c r="L7" s="49">
        <v>100.39109259999999</v>
      </c>
      <c r="M7" s="49" t="s">
        <v>3274</v>
      </c>
      <c r="N7" s="49" t="s">
        <v>2997</v>
      </c>
      <c r="O7" s="49">
        <v>123607.74464742068</v>
      </c>
      <c r="P7" s="49" t="s">
        <v>3239</v>
      </c>
      <c r="Q7" s="49" t="s">
        <v>822</v>
      </c>
      <c r="S7" s="49" t="s">
        <v>354</v>
      </c>
      <c r="T7" s="49" t="s">
        <v>399</v>
      </c>
    </row>
    <row r="8" spans="1:20">
      <c r="A8" s="49">
        <v>6</v>
      </c>
      <c r="B8" s="49">
        <v>20</v>
      </c>
      <c r="C8" s="88">
        <v>40717</v>
      </c>
      <c r="D8" s="49">
        <v>22</v>
      </c>
      <c r="E8" s="49" t="s">
        <v>120</v>
      </c>
      <c r="F8" s="49" t="s">
        <v>3267</v>
      </c>
      <c r="G8" s="49" t="s">
        <v>3026</v>
      </c>
      <c r="H8" s="49" t="s">
        <v>119</v>
      </c>
      <c r="I8" s="49" t="s">
        <v>358</v>
      </c>
      <c r="J8" s="49" t="s">
        <v>3268</v>
      </c>
      <c r="K8" s="49">
        <v>55.751241899999997</v>
      </c>
      <c r="L8" s="49">
        <v>37.618421699999999</v>
      </c>
      <c r="M8" s="49" t="s">
        <v>3275</v>
      </c>
      <c r="N8" s="49" t="s">
        <v>831</v>
      </c>
      <c r="O8" s="49">
        <v>328976.2321239771</v>
      </c>
      <c r="P8" s="49" t="s">
        <v>3240</v>
      </c>
      <c r="Q8" s="49" t="s">
        <v>822</v>
      </c>
      <c r="S8" s="49" t="s">
        <v>354</v>
      </c>
      <c r="T8" s="49" t="s">
        <v>399</v>
      </c>
    </row>
    <row r="9" spans="1:20">
      <c r="A9" s="49">
        <v>7</v>
      </c>
      <c r="B9" s="49">
        <v>40</v>
      </c>
      <c r="C9" s="88">
        <v>40717</v>
      </c>
      <c r="D9" s="49">
        <v>23</v>
      </c>
      <c r="E9" s="49" t="s">
        <v>376</v>
      </c>
      <c r="F9" s="49" t="s">
        <v>377</v>
      </c>
      <c r="G9" s="49" t="s">
        <v>382</v>
      </c>
      <c r="H9" s="49" t="s">
        <v>2990</v>
      </c>
      <c r="I9" s="49" t="s">
        <v>360</v>
      </c>
      <c r="J9" s="49" t="s">
        <v>3271</v>
      </c>
      <c r="K9" s="49">
        <v>52.312357400000003</v>
      </c>
      <c r="L9" s="49">
        <v>4.9441508999999986</v>
      </c>
      <c r="M9" s="49" t="s">
        <v>3276</v>
      </c>
      <c r="N9" s="49" t="s">
        <v>3000</v>
      </c>
      <c r="O9" s="49">
        <v>83682.838718840052</v>
      </c>
      <c r="P9" s="49" t="s">
        <v>3238</v>
      </c>
      <c r="S9" s="49" t="s">
        <v>403</v>
      </c>
      <c r="T9" s="49" t="s">
        <v>401</v>
      </c>
    </row>
    <row r="22" spans="13:13">
      <c r="M22" s="1"/>
    </row>
    <row r="23" spans="13:13" ht="15">
      <c r="M23" s="21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4"/>
  <dimension ref="A1:N107"/>
  <sheetViews>
    <sheetView topLeftCell="A6" workbookViewId="0">
      <selection activeCell="D32" sqref="D32"/>
    </sheetView>
  </sheetViews>
  <sheetFormatPr defaultColWidth="9.140625" defaultRowHeight="11.25"/>
  <cols>
    <col min="1" max="1" width="16.28515625" style="1" customWidth="1"/>
    <col min="2" max="2" width="33" style="1" customWidth="1"/>
    <col min="3" max="3" width="11" style="1" customWidth="1"/>
    <col min="4" max="4" width="20.42578125" style="1" customWidth="1"/>
    <col min="5" max="5" width="10.7109375" style="1" customWidth="1"/>
    <col min="6" max="6" width="8.5703125" style="1" customWidth="1"/>
    <col min="7" max="7" width="10.28515625" style="3" customWidth="1"/>
    <col min="8" max="8" width="8.7109375" style="1" customWidth="1"/>
    <col min="9" max="9" width="13.5703125" style="5" customWidth="1"/>
    <col min="10" max="10" width="11.85546875" style="1" customWidth="1"/>
    <col min="11" max="11" width="14.42578125" style="5" bestFit="1" customWidth="1"/>
    <col min="12" max="16384" width="9.140625" style="1"/>
  </cols>
  <sheetData>
    <row r="1" spans="1:7">
      <c r="A1" s="30" t="s">
        <v>496</v>
      </c>
      <c r="B1" s="30" t="s">
        <v>498</v>
      </c>
      <c r="C1" s="30" t="s">
        <v>497</v>
      </c>
      <c r="D1" s="30"/>
      <c r="E1" s="30"/>
      <c r="G1" s="1"/>
    </row>
    <row r="2" spans="1:7">
      <c r="A2" s="31" t="s">
        <v>323</v>
      </c>
      <c r="B2" s="31" t="s">
        <v>362</v>
      </c>
      <c r="C2" s="29"/>
    </row>
    <row r="3" spans="1:7">
      <c r="A3" s="31" t="s">
        <v>502</v>
      </c>
      <c r="B3" s="31" t="s">
        <v>659</v>
      </c>
      <c r="C3" s="29"/>
    </row>
    <row r="4" spans="1:7">
      <c r="A4" s="31" t="s">
        <v>500</v>
      </c>
      <c r="B4" s="31">
        <v>60</v>
      </c>
      <c r="C4" s="29"/>
    </row>
    <row r="5" spans="1:7">
      <c r="A5" s="31" t="s">
        <v>501</v>
      </c>
      <c r="B5" s="31">
        <v>500</v>
      </c>
      <c r="C5" s="29"/>
    </row>
    <row r="6" spans="1:7">
      <c r="A6" s="31" t="s">
        <v>609</v>
      </c>
      <c r="B6" s="31">
        <v>0.9</v>
      </c>
      <c r="C6" s="29" t="s">
        <v>616</v>
      </c>
    </row>
    <row r="7" spans="1:7">
      <c r="A7" s="31" t="s">
        <v>610</v>
      </c>
      <c r="B7" s="31">
        <v>200</v>
      </c>
      <c r="C7" s="29" t="s">
        <v>617</v>
      </c>
    </row>
    <row r="8" spans="1:7">
      <c r="A8" s="31" t="s">
        <v>611</v>
      </c>
      <c r="B8" s="31">
        <v>1</v>
      </c>
      <c r="C8" s="29" t="s">
        <v>618</v>
      </c>
    </row>
    <row r="9" spans="1:7">
      <c r="A9" s="31" t="s">
        <v>798</v>
      </c>
      <c r="B9" s="31">
        <v>80</v>
      </c>
      <c r="C9" s="29" t="s">
        <v>799</v>
      </c>
    </row>
    <row r="10" spans="1:7">
      <c r="A10" s="31" t="s">
        <v>771</v>
      </c>
      <c r="B10" s="31">
        <v>4</v>
      </c>
      <c r="C10" s="29" t="s">
        <v>772</v>
      </c>
    </row>
    <row r="11" spans="1:7">
      <c r="A11" s="31" t="s">
        <v>770</v>
      </c>
      <c r="B11" s="31" t="s">
        <v>333</v>
      </c>
      <c r="C11" s="29" t="s">
        <v>769</v>
      </c>
    </row>
    <row r="12" spans="1:7">
      <c r="A12" s="31" t="s">
        <v>803</v>
      </c>
      <c r="B12" s="31">
        <v>50</v>
      </c>
      <c r="C12" s="29" t="s">
        <v>799</v>
      </c>
    </row>
    <row r="13" spans="1:7">
      <c r="A13" s="31" t="s">
        <v>704</v>
      </c>
      <c r="B13" s="31" t="s">
        <v>768</v>
      </c>
      <c r="C13" s="29" t="s">
        <v>705</v>
      </c>
    </row>
    <row r="14" spans="1:7">
      <c r="A14" s="31" t="s">
        <v>706</v>
      </c>
      <c r="B14" s="31" t="s">
        <v>708</v>
      </c>
      <c r="C14" s="29" t="s">
        <v>707</v>
      </c>
    </row>
    <row r="15" spans="1:7">
      <c r="A15" s="31" t="s">
        <v>709</v>
      </c>
      <c r="B15" s="31">
        <v>10</v>
      </c>
      <c r="C15" s="29" t="s">
        <v>710</v>
      </c>
    </row>
    <row r="16" spans="1:7">
      <c r="A16" s="31"/>
      <c r="B16" s="31"/>
      <c r="C16" s="29"/>
    </row>
    <row r="17" spans="1:9">
      <c r="A17" s="30" t="s">
        <v>299</v>
      </c>
      <c r="B17" s="30" t="s">
        <v>288</v>
      </c>
      <c r="C17" s="30" t="s">
        <v>11</v>
      </c>
      <c r="D17" s="30"/>
      <c r="E17" s="30"/>
      <c r="G17" s="1"/>
    </row>
    <row r="18" spans="1:9">
      <c r="A18" s="23" t="s">
        <v>94</v>
      </c>
      <c r="B18" s="26" t="s">
        <v>94</v>
      </c>
      <c r="C18" s="26" t="s">
        <v>327</v>
      </c>
      <c r="G18" s="1"/>
    </row>
    <row r="19" spans="1:9">
      <c r="A19" s="23" t="s">
        <v>95</v>
      </c>
      <c r="B19" s="26" t="s">
        <v>95</v>
      </c>
      <c r="C19" s="26"/>
      <c r="G19" s="1"/>
    </row>
    <row r="20" spans="1:9">
      <c r="A20" s="23" t="s">
        <v>315</v>
      </c>
      <c r="B20" s="26" t="s">
        <v>672</v>
      </c>
      <c r="C20" s="26"/>
      <c r="G20" s="1"/>
    </row>
    <row r="21" spans="1:9">
      <c r="A21" s="23" t="s">
        <v>409</v>
      </c>
      <c r="B21" s="26" t="s">
        <v>673</v>
      </c>
      <c r="C21" s="26"/>
      <c r="G21" s="1"/>
    </row>
    <row r="22" spans="1:9">
      <c r="A22" s="23" t="s">
        <v>243</v>
      </c>
      <c r="B22" s="26" t="s">
        <v>243</v>
      </c>
      <c r="C22" s="26"/>
      <c r="G22" s="1"/>
    </row>
    <row r="23" spans="1:9">
      <c r="A23" s="1" t="s">
        <v>134</v>
      </c>
      <c r="B23" s="1" t="s">
        <v>134</v>
      </c>
      <c r="C23" s="1" t="s">
        <v>300</v>
      </c>
    </row>
    <row r="24" spans="1:9">
      <c r="A24" s="1" t="str">
        <f t="shared" ref="A24:A27" si="0">B24</f>
        <v>Country</v>
      </c>
      <c r="B24" s="1" t="s">
        <v>10</v>
      </c>
      <c r="C24" s="1" t="s">
        <v>301</v>
      </c>
    </row>
    <row r="25" spans="1:9">
      <c r="A25" s="1" t="str">
        <f t="shared" si="0"/>
        <v>State</v>
      </c>
      <c r="B25" s="1" t="s">
        <v>86</v>
      </c>
      <c r="C25" s="1" t="s">
        <v>361</v>
      </c>
    </row>
    <row r="26" spans="1:9">
      <c r="A26" s="1" t="str">
        <f t="shared" si="0"/>
        <v>City</v>
      </c>
      <c r="B26" s="1" t="s">
        <v>97</v>
      </c>
      <c r="G26" s="1"/>
      <c r="I26" s="1"/>
    </row>
    <row r="27" spans="1:9">
      <c r="A27" s="1" t="str">
        <f t="shared" si="0"/>
        <v>Clean Address</v>
      </c>
      <c r="B27" s="1" t="s">
        <v>20</v>
      </c>
      <c r="G27" s="1"/>
      <c r="I27" s="1"/>
    </row>
    <row r="28" spans="1:9">
      <c r="A28" s="1" t="s">
        <v>673</v>
      </c>
      <c r="B28" s="1" t="s">
        <v>673</v>
      </c>
      <c r="G28" s="1"/>
    </row>
    <row r="29" spans="1:9">
      <c r="A29" s="1" t="s">
        <v>672</v>
      </c>
      <c r="B29" s="1" t="s">
        <v>672</v>
      </c>
      <c r="G29" s="1"/>
    </row>
    <row r="30" spans="1:9">
      <c r="A30" s="1" t="s">
        <v>674</v>
      </c>
      <c r="B30" s="1" t="s">
        <v>316</v>
      </c>
      <c r="G30" s="1"/>
    </row>
    <row r="31" spans="1:9" ht="12.75" customHeight="1">
      <c r="A31" s="1" t="s">
        <v>677</v>
      </c>
      <c r="B31" s="1" t="s">
        <v>677</v>
      </c>
      <c r="G31" s="1"/>
    </row>
    <row r="32" spans="1:9" ht="12.75" customHeight="1">
      <c r="A32" s="1" t="s">
        <v>678</v>
      </c>
      <c r="B32" s="1" t="s">
        <v>678</v>
      </c>
      <c r="G32" s="1"/>
    </row>
    <row r="33" spans="1:7" ht="12.75" customHeight="1">
      <c r="A33" s="1" t="s">
        <v>675</v>
      </c>
      <c r="B33" s="1" t="s">
        <v>675</v>
      </c>
      <c r="G33" s="1"/>
    </row>
    <row r="34" spans="1:7" ht="12.75" customHeight="1">
      <c r="A34" s="1" t="s">
        <v>317</v>
      </c>
      <c r="B34" s="1" t="s">
        <v>680</v>
      </c>
      <c r="G34" s="1"/>
    </row>
    <row r="35" spans="1:7" ht="12.75" customHeight="1">
      <c r="A35" s="1" t="s">
        <v>685</v>
      </c>
      <c r="B35" s="1" t="s">
        <v>677</v>
      </c>
      <c r="G35" s="1"/>
    </row>
    <row r="36" spans="1:7" ht="12.75" customHeight="1">
      <c r="A36" s="1" t="s">
        <v>676</v>
      </c>
      <c r="B36" s="1" t="s">
        <v>676</v>
      </c>
      <c r="G36" s="1"/>
    </row>
    <row r="37" spans="1:7" ht="12.75" customHeight="1">
      <c r="A37" s="1" t="s">
        <v>682</v>
      </c>
      <c r="B37" s="1" t="s">
        <v>682</v>
      </c>
      <c r="G37" s="1"/>
    </row>
    <row r="38" spans="1:7" ht="12.75" customHeight="1">
      <c r="A38" s="1" t="s">
        <v>681</v>
      </c>
      <c r="B38" s="1" t="s">
        <v>681</v>
      </c>
      <c r="G38" s="1"/>
    </row>
    <row r="39" spans="1:7" ht="12.75" customHeight="1">
      <c r="A39" s="1" t="s">
        <v>775</v>
      </c>
      <c r="B39" s="1" t="s">
        <v>775</v>
      </c>
      <c r="G39" s="1"/>
    </row>
    <row r="40" spans="1:7" ht="12.75" customHeight="1">
      <c r="G40" s="1"/>
    </row>
    <row r="41" spans="1:7">
      <c r="A41" s="30" t="s">
        <v>505</v>
      </c>
      <c r="B41" s="30" t="s">
        <v>498</v>
      </c>
      <c r="C41" s="2" t="s">
        <v>3241</v>
      </c>
      <c r="D41" s="30" t="s">
        <v>145</v>
      </c>
      <c r="E41" s="30"/>
      <c r="F41" s="30"/>
    </row>
    <row r="42" spans="1:7">
      <c r="A42" s="1" t="s">
        <v>504</v>
      </c>
      <c r="B42" s="1" t="s">
        <v>317</v>
      </c>
      <c r="C42" s="1" t="s">
        <v>322</v>
      </c>
      <c r="D42" s="1" t="s">
        <v>506</v>
      </c>
    </row>
    <row r="43" spans="1:7">
      <c r="A43" s="1" t="s">
        <v>508</v>
      </c>
      <c r="C43" s="1" t="s">
        <v>322</v>
      </c>
      <c r="D43" s="1" t="s">
        <v>507</v>
      </c>
    </row>
    <row r="44" spans="1:7">
      <c r="A44" s="1" t="s">
        <v>3279</v>
      </c>
      <c r="B44" s="1" t="s">
        <v>672</v>
      </c>
      <c r="C44" s="1" t="s">
        <v>333</v>
      </c>
    </row>
    <row r="46" spans="1:7">
      <c r="A46" s="30" t="s">
        <v>140</v>
      </c>
      <c r="B46" s="30" t="s">
        <v>298</v>
      </c>
      <c r="C46" s="30" t="s">
        <v>297</v>
      </c>
      <c r="D46" s="30" t="s">
        <v>296</v>
      </c>
      <c r="E46" s="30" t="s">
        <v>384</v>
      </c>
      <c r="F46" s="30" t="s">
        <v>668</v>
      </c>
      <c r="G46" s="30" t="s">
        <v>703</v>
      </c>
    </row>
    <row r="47" spans="1:7">
      <c r="A47" s="1" t="s">
        <v>675</v>
      </c>
      <c r="B47" s="1" t="s">
        <v>701</v>
      </c>
      <c r="C47" s="1" t="s">
        <v>677</v>
      </c>
      <c r="D47" s="1" t="s">
        <v>684</v>
      </c>
      <c r="E47" s="1" t="s">
        <v>317</v>
      </c>
      <c r="F47" s="1" t="s">
        <v>669</v>
      </c>
      <c r="G47" s="3" t="s">
        <v>675</v>
      </c>
    </row>
    <row r="48" spans="1:7">
      <c r="A48" s="1" t="s">
        <v>672</v>
      </c>
      <c r="B48" s="1" t="s">
        <v>700</v>
      </c>
      <c r="C48" s="1" t="s">
        <v>673</v>
      </c>
      <c r="D48" s="1" t="s">
        <v>684</v>
      </c>
      <c r="E48" s="1" t="s">
        <v>674</v>
      </c>
      <c r="F48" s="1" t="s">
        <v>669</v>
      </c>
      <c r="G48" s="3" t="s">
        <v>315</v>
      </c>
    </row>
    <row r="49" spans="1:14">
      <c r="A49" s="1" t="s">
        <v>682</v>
      </c>
      <c r="B49" s="1" t="s">
        <v>698</v>
      </c>
      <c r="C49" s="1" t="s">
        <v>681</v>
      </c>
      <c r="D49" s="1" t="s">
        <v>684</v>
      </c>
      <c r="E49" s="1" t="s">
        <v>317</v>
      </c>
      <c r="F49" s="1" t="s">
        <v>669</v>
      </c>
      <c r="G49" s="3" t="s">
        <v>676</v>
      </c>
    </row>
    <row r="50" spans="1:14" s="5" customFormat="1">
      <c r="A50" s="1" t="s">
        <v>676</v>
      </c>
      <c r="B50" s="1" t="s">
        <v>699</v>
      </c>
      <c r="C50" s="1" t="s">
        <v>678</v>
      </c>
      <c r="D50" s="1" t="s">
        <v>684</v>
      </c>
      <c r="E50" s="1" t="s">
        <v>775</v>
      </c>
      <c r="F50" s="1" t="s">
        <v>669</v>
      </c>
      <c r="G50" s="3" t="s">
        <v>676</v>
      </c>
      <c r="H50" s="1"/>
      <c r="J50" s="1"/>
      <c r="L50" s="1"/>
      <c r="M50" s="1"/>
      <c r="N50" s="1"/>
    </row>
    <row r="51" spans="1:14" s="5" customFormat="1">
      <c r="A51" s="1" t="s">
        <v>679</v>
      </c>
      <c r="B51" s="1" t="s">
        <v>683</v>
      </c>
      <c r="C51" s="1"/>
      <c r="D51" s="1" t="s">
        <v>684</v>
      </c>
      <c r="E51" s="1" t="s">
        <v>674</v>
      </c>
      <c r="F51" s="1" t="s">
        <v>669</v>
      </c>
      <c r="G51" s="3" t="s">
        <v>315</v>
      </c>
      <c r="H51" s="1"/>
      <c r="J51" s="1"/>
      <c r="L51" s="1"/>
      <c r="M51" s="1"/>
      <c r="N51" s="1"/>
    </row>
    <row r="52" spans="1:14" s="5" customFormat="1">
      <c r="A52" s="1"/>
      <c r="B52" s="1"/>
      <c r="C52" s="1"/>
      <c r="D52" s="1"/>
      <c r="E52" s="1"/>
      <c r="F52" s="1"/>
      <c r="G52" s="3"/>
      <c r="H52" s="1"/>
      <c r="J52" s="1"/>
      <c r="L52" s="1"/>
      <c r="M52" s="1"/>
      <c r="N52" s="1"/>
    </row>
    <row r="53" spans="1:14" s="5" customFormat="1">
      <c r="A53" s="30" t="s">
        <v>141</v>
      </c>
      <c r="B53" s="30" t="s">
        <v>292</v>
      </c>
      <c r="C53" s="30" t="s">
        <v>145</v>
      </c>
      <c r="D53" s="30"/>
      <c r="E53" s="30"/>
      <c r="F53" s="1"/>
      <c r="G53" s="3"/>
      <c r="H53" s="1"/>
      <c r="J53" s="1"/>
      <c r="L53" s="1"/>
      <c r="M53" s="1"/>
      <c r="N53" s="1"/>
    </row>
    <row r="54" spans="1:14" s="5" customFormat="1">
      <c r="A54" s="1" t="s">
        <v>685</v>
      </c>
      <c r="B54" s="1" t="s">
        <v>294</v>
      </c>
      <c r="C54" s="1" t="s">
        <v>314</v>
      </c>
      <c r="D54" s="1"/>
      <c r="E54" s="1"/>
      <c r="F54" s="1"/>
      <c r="G54" s="3"/>
      <c r="H54" s="1"/>
      <c r="J54" s="1"/>
      <c r="L54" s="1"/>
      <c r="M54" s="1"/>
      <c r="N54" s="1"/>
    </row>
    <row r="56" spans="1:14" s="5" customFormat="1">
      <c r="A56" s="30" t="s">
        <v>18</v>
      </c>
      <c r="B56" s="30" t="s">
        <v>113</v>
      </c>
      <c r="C56" s="30" t="s">
        <v>11</v>
      </c>
      <c r="D56" s="30"/>
      <c r="E56" s="30"/>
      <c r="F56" s="1"/>
      <c r="G56" s="3"/>
      <c r="H56" s="1"/>
      <c r="J56" s="1"/>
      <c r="L56" s="1"/>
      <c r="M56" s="1"/>
      <c r="N56" s="1"/>
    </row>
    <row r="57" spans="1:14" s="5" customFormat="1">
      <c r="A57" s="1" t="s">
        <v>15</v>
      </c>
      <c r="B57" s="1" t="s">
        <v>673</v>
      </c>
      <c r="C57" s="1" t="s">
        <v>114</v>
      </c>
      <c r="D57" s="1"/>
      <c r="E57" s="1"/>
      <c r="F57" s="1"/>
      <c r="G57" s="3"/>
      <c r="H57" s="1"/>
      <c r="J57" s="1"/>
      <c r="L57" s="1"/>
      <c r="M57" s="1"/>
      <c r="N57" s="1"/>
    </row>
    <row r="58" spans="1:14" s="5" customFormat="1">
      <c r="A58" s="1" t="s">
        <v>16</v>
      </c>
      <c r="B58" s="1" t="s">
        <v>87</v>
      </c>
      <c r="C58" s="1" t="s">
        <v>115</v>
      </c>
      <c r="D58" s="1"/>
      <c r="E58" s="1"/>
      <c r="F58" s="1"/>
      <c r="G58" s="3"/>
      <c r="H58" s="1"/>
      <c r="J58" s="1"/>
    </row>
    <row r="60" spans="1:14" s="5" customFormat="1">
      <c r="A60" s="30" t="s">
        <v>325</v>
      </c>
      <c r="B60" s="30" t="s">
        <v>324</v>
      </c>
      <c r="C60" s="30" t="s">
        <v>330</v>
      </c>
      <c r="D60" s="30" t="s">
        <v>145</v>
      </c>
      <c r="E60" s="30"/>
      <c r="F60" s="1"/>
      <c r="G60" s="25" t="s">
        <v>328</v>
      </c>
      <c r="H60" s="25"/>
      <c r="J60" s="1"/>
    </row>
    <row r="61" spans="1:14" s="5" customFormat="1">
      <c r="A61" s="23" t="s">
        <v>242</v>
      </c>
      <c r="B61" s="27">
        <v>2</v>
      </c>
      <c r="C61" s="1" t="s">
        <v>333</v>
      </c>
      <c r="D61" s="1" t="s">
        <v>326</v>
      </c>
      <c r="E61" s="1"/>
      <c r="F61" s="1"/>
      <c r="G61" s="68">
        <v>1</v>
      </c>
      <c r="H61" s="68">
        <v>11</v>
      </c>
      <c r="I61" s="90">
        <v>9</v>
      </c>
      <c r="J61" s="1"/>
    </row>
    <row r="62" spans="1:14" s="5" customFormat="1" ht="11.25" customHeight="1">
      <c r="A62" s="23" t="s">
        <v>334</v>
      </c>
      <c r="B62" s="27">
        <v>0</v>
      </c>
      <c r="C62" s="1" t="s">
        <v>322</v>
      </c>
      <c r="D62" s="1" t="s">
        <v>331</v>
      </c>
      <c r="E62" s="1"/>
      <c r="F62" s="1"/>
      <c r="G62" s="68">
        <v>2</v>
      </c>
      <c r="H62" s="89">
        <v>3</v>
      </c>
      <c r="I62" s="91"/>
      <c r="J62" s="1"/>
    </row>
    <row r="63" spans="1:14" s="5" customFormat="1" ht="11.25" customHeight="1">
      <c r="A63" s="23" t="s">
        <v>335</v>
      </c>
      <c r="B63" s="27">
        <v>3</v>
      </c>
      <c r="C63" s="1" t="s">
        <v>333</v>
      </c>
      <c r="D63" s="1" t="s">
        <v>329</v>
      </c>
      <c r="E63" s="1"/>
      <c r="F63" s="1"/>
      <c r="G63" s="68">
        <v>4</v>
      </c>
      <c r="H63" s="89"/>
      <c r="I63" s="91"/>
      <c r="J63" s="1"/>
    </row>
    <row r="64" spans="1:14" s="5" customFormat="1">
      <c r="A64" s="23" t="s">
        <v>336</v>
      </c>
      <c r="B64" s="27">
        <v>8</v>
      </c>
      <c r="C64" s="1" t="s">
        <v>333</v>
      </c>
      <c r="D64" s="1"/>
      <c r="E64" s="1"/>
      <c r="F64" s="1"/>
      <c r="G64" s="89">
        <v>5</v>
      </c>
      <c r="H64" s="89"/>
      <c r="I64" s="91"/>
      <c r="J64" s="1"/>
    </row>
    <row r="65" spans="1:14" s="5" customFormat="1" ht="11.25" customHeight="1">
      <c r="A65" s="23" t="s">
        <v>337</v>
      </c>
      <c r="B65" s="27">
        <v>0</v>
      </c>
      <c r="C65" s="1" t="s">
        <v>322</v>
      </c>
      <c r="D65" s="1" t="s">
        <v>332</v>
      </c>
      <c r="E65" s="1"/>
      <c r="F65" s="1"/>
      <c r="G65" s="89">
        <v>6</v>
      </c>
      <c r="H65" s="89"/>
      <c r="I65" s="91"/>
      <c r="J65" s="1"/>
    </row>
    <row r="66" spans="1:14" s="5" customFormat="1" ht="11.25" customHeight="1">
      <c r="A66" s="23" t="s">
        <v>338</v>
      </c>
      <c r="B66" s="27">
        <v>0</v>
      </c>
      <c r="C66" s="1" t="s">
        <v>322</v>
      </c>
      <c r="D66" s="1"/>
      <c r="E66" s="1"/>
      <c r="F66" s="1"/>
      <c r="G66" s="89">
        <v>7</v>
      </c>
      <c r="H66" s="89"/>
      <c r="I66" s="92"/>
      <c r="J66" s="1"/>
    </row>
    <row r="67" spans="1:14" s="5" customFormat="1" ht="11.25" customHeight="1">
      <c r="A67" s="23" t="s">
        <v>339</v>
      </c>
      <c r="B67" s="27">
        <v>7</v>
      </c>
      <c r="C67" s="1" t="s">
        <v>333</v>
      </c>
      <c r="D67" s="1"/>
      <c r="E67" s="1"/>
      <c r="F67" s="1"/>
      <c r="G67" s="89">
        <v>8</v>
      </c>
      <c r="H67" s="89"/>
      <c r="I67" s="75">
        <v>10</v>
      </c>
      <c r="J67" s="1"/>
    </row>
    <row r="68" spans="1:14" s="5" customFormat="1">
      <c r="A68" s="23" t="s">
        <v>241</v>
      </c>
      <c r="B68" s="27">
        <v>1</v>
      </c>
      <c r="C68" s="1" t="s">
        <v>333</v>
      </c>
      <c r="D68" s="1"/>
      <c r="E68" s="28"/>
      <c r="F68" s="28"/>
      <c r="G68" s="3"/>
      <c r="H68" s="1"/>
      <c r="J68" s="1"/>
    </row>
    <row r="69" spans="1:14" s="5" customFormat="1">
      <c r="A69" s="23" t="s">
        <v>510</v>
      </c>
      <c r="B69" s="27">
        <v>11</v>
      </c>
      <c r="C69" s="1" t="s">
        <v>333</v>
      </c>
      <c r="D69" s="1"/>
      <c r="E69" s="28"/>
      <c r="F69" s="28"/>
      <c r="G69" s="3"/>
      <c r="H69" s="1"/>
      <c r="J69" s="1"/>
      <c r="L69" s="1"/>
      <c r="M69" s="1"/>
      <c r="N69" s="1"/>
    </row>
    <row r="70" spans="1:14" s="5" customFormat="1">
      <c r="A70" s="23" t="s">
        <v>702</v>
      </c>
      <c r="B70" s="27">
        <v>9</v>
      </c>
      <c r="C70" s="1" t="s">
        <v>333</v>
      </c>
      <c r="D70" s="1"/>
      <c r="E70" s="28"/>
      <c r="F70" s="28"/>
      <c r="G70" s="3"/>
      <c r="H70" s="1"/>
      <c r="J70" s="1"/>
      <c r="L70" s="1"/>
      <c r="M70" s="1"/>
      <c r="N70" s="1"/>
    </row>
    <row r="72" spans="1:14" s="5" customFormat="1">
      <c r="A72" s="30" t="s">
        <v>410</v>
      </c>
      <c r="B72" s="30" t="s">
        <v>418</v>
      </c>
      <c r="C72" s="30" t="s">
        <v>145</v>
      </c>
      <c r="D72" s="30"/>
      <c r="E72" s="30"/>
      <c r="F72" s="1"/>
      <c r="G72" s="3"/>
      <c r="H72" s="1"/>
      <c r="J72" s="1"/>
    </row>
    <row r="73" spans="1:14" s="5" customFormat="1">
      <c r="A73" s="23" t="s">
        <v>94</v>
      </c>
      <c r="B73" s="26" t="s">
        <v>461</v>
      </c>
      <c r="C73" s="26" t="s">
        <v>327</v>
      </c>
      <c r="D73" s="1"/>
      <c r="E73" s="1"/>
      <c r="F73" s="1"/>
      <c r="G73" s="1"/>
      <c r="H73" s="1"/>
      <c r="J73" s="1"/>
      <c r="L73" s="1"/>
      <c r="M73" s="1"/>
      <c r="N73" s="1"/>
    </row>
    <row r="74" spans="1:14" s="5" customFormat="1">
      <c r="A74" s="23" t="s">
        <v>95</v>
      </c>
      <c r="B74" s="26" t="s">
        <v>461</v>
      </c>
      <c r="C74" s="26"/>
      <c r="D74" s="1"/>
      <c r="E74" s="1"/>
      <c r="F74" s="1"/>
      <c r="G74" s="1"/>
      <c r="H74" s="1"/>
      <c r="J74" s="1"/>
      <c r="L74" s="1"/>
      <c r="M74" s="1"/>
      <c r="N74" s="1"/>
    </row>
    <row r="75" spans="1:14" s="5" customFormat="1">
      <c r="A75" s="23" t="s">
        <v>672</v>
      </c>
      <c r="B75" s="26" t="s">
        <v>461</v>
      </c>
      <c r="C75" s="26"/>
      <c r="D75" s="1"/>
      <c r="E75" s="1"/>
      <c r="F75" s="1"/>
      <c r="G75" s="1"/>
      <c r="H75" s="1"/>
      <c r="J75" s="1"/>
      <c r="L75" s="1"/>
      <c r="M75" s="1"/>
      <c r="N75" s="1"/>
    </row>
    <row r="76" spans="1:14" s="5" customFormat="1">
      <c r="A76" s="23" t="s">
        <v>243</v>
      </c>
      <c r="B76" s="26" t="s">
        <v>461</v>
      </c>
      <c r="C76" s="26"/>
      <c r="D76" s="1"/>
      <c r="E76" s="1"/>
      <c r="F76" s="1"/>
      <c r="G76" s="1"/>
      <c r="H76" s="1"/>
      <c r="J76" s="1"/>
      <c r="L76" s="1"/>
      <c r="M76" s="1"/>
      <c r="N76" s="1"/>
    </row>
    <row r="77" spans="1:14" s="5" customFormat="1">
      <c r="A77" s="1" t="s">
        <v>134</v>
      </c>
      <c r="B77" s="1" t="s">
        <v>461</v>
      </c>
      <c r="C77" s="1"/>
      <c r="D77" s="1"/>
      <c r="E77" s="1"/>
      <c r="F77" s="1"/>
      <c r="G77" s="3"/>
      <c r="H77" s="1"/>
      <c r="J77" s="1"/>
      <c r="L77" s="1"/>
      <c r="M77" s="1"/>
      <c r="N77" s="1"/>
    </row>
    <row r="78" spans="1:14">
      <c r="A78" s="1" t="s">
        <v>10</v>
      </c>
      <c r="B78" s="1" t="s">
        <v>461</v>
      </c>
    </row>
    <row r="79" spans="1:14">
      <c r="A79" s="1" t="s">
        <v>86</v>
      </c>
      <c r="B79" s="1" t="s">
        <v>461</v>
      </c>
    </row>
    <row r="80" spans="1:14">
      <c r="A80" s="1" t="s">
        <v>97</v>
      </c>
      <c r="B80" s="1" t="s">
        <v>461</v>
      </c>
      <c r="G80" s="1"/>
      <c r="I80" s="1"/>
    </row>
    <row r="81" spans="1:9">
      <c r="A81" s="1" t="s">
        <v>675</v>
      </c>
      <c r="B81" s="1" t="s">
        <v>697</v>
      </c>
      <c r="G81" s="1"/>
      <c r="I81" s="1"/>
    </row>
    <row r="82" spans="1:9">
      <c r="A82" s="1" t="s">
        <v>20</v>
      </c>
      <c r="B82" s="1" t="s">
        <v>461</v>
      </c>
      <c r="D82" s="43"/>
      <c r="E82" s="43"/>
      <c r="F82" s="43"/>
      <c r="G82" s="43"/>
      <c r="H82" s="43"/>
      <c r="I82" s="43"/>
    </row>
    <row r="83" spans="1:9">
      <c r="A83" s="1" t="s">
        <v>682</v>
      </c>
      <c r="B83" s="1" t="s">
        <v>265</v>
      </c>
      <c r="D83" s="43"/>
      <c r="E83" s="43"/>
      <c r="F83" s="43"/>
      <c r="G83" s="43"/>
      <c r="H83" s="43"/>
      <c r="I83" s="43"/>
    </row>
    <row r="84" spans="1:9">
      <c r="A84" s="1" t="s">
        <v>316</v>
      </c>
      <c r="B84" s="1" t="s">
        <v>461</v>
      </c>
      <c r="D84" s="43"/>
      <c r="E84" s="43"/>
      <c r="F84" s="43"/>
      <c r="G84" s="43"/>
      <c r="H84" s="43"/>
      <c r="I84" s="43"/>
    </row>
    <row r="85" spans="1:9">
      <c r="A85" s="1" t="s">
        <v>680</v>
      </c>
      <c r="B85" s="1" t="s">
        <v>697</v>
      </c>
      <c r="D85" s="43"/>
      <c r="E85" s="43"/>
      <c r="F85" s="43"/>
      <c r="G85" s="43"/>
      <c r="H85" s="43"/>
      <c r="I85" s="43"/>
    </row>
    <row r="86" spans="1:9">
      <c r="A86" s="1" t="s">
        <v>695</v>
      </c>
      <c r="B86" s="1" t="s">
        <v>692</v>
      </c>
      <c r="C86" s="1" t="s">
        <v>696</v>
      </c>
      <c r="D86" s="43"/>
      <c r="E86" s="43"/>
      <c r="F86" s="43"/>
      <c r="G86" s="43"/>
      <c r="H86" s="43"/>
      <c r="I86" s="43"/>
    </row>
    <row r="87" spans="1:9">
      <c r="A87" s="1" t="s">
        <v>773</v>
      </c>
      <c r="B87" s="1" t="s">
        <v>692</v>
      </c>
      <c r="C87" s="1" t="s">
        <v>774</v>
      </c>
      <c r="D87" s="43"/>
      <c r="E87" s="43"/>
      <c r="F87" s="43"/>
      <c r="G87" s="43"/>
      <c r="H87" s="43"/>
      <c r="I87" s="43"/>
    </row>
    <row r="88" spans="1:9" ht="12.75" customHeight="1">
      <c r="G88" s="1"/>
    </row>
    <row r="89" spans="1:9">
      <c r="A89" s="30" t="s">
        <v>147</v>
      </c>
      <c r="B89" s="30" t="s">
        <v>146</v>
      </c>
      <c r="C89" s="30" t="s">
        <v>153</v>
      </c>
      <c r="D89" s="30" t="s">
        <v>145</v>
      </c>
      <c r="E89" s="30"/>
    </row>
    <row r="90" spans="1:9">
      <c r="A90" s="31" t="s">
        <v>156</v>
      </c>
      <c r="B90" s="1" t="s">
        <v>686</v>
      </c>
      <c r="C90" s="1" t="s">
        <v>673</v>
      </c>
      <c r="D90" s="1" t="s">
        <v>151</v>
      </c>
    </row>
    <row r="91" spans="1:9">
      <c r="A91" s="31" t="s">
        <v>149</v>
      </c>
      <c r="B91" s="1" t="s">
        <v>687</v>
      </c>
      <c r="D91" s="1" t="s">
        <v>152</v>
      </c>
    </row>
    <row r="92" spans="1:9">
      <c r="A92" s="31" t="s">
        <v>153</v>
      </c>
      <c r="B92" s="1" t="s">
        <v>688</v>
      </c>
      <c r="D92" s="1" t="s">
        <v>155</v>
      </c>
    </row>
    <row r="93" spans="1:9">
      <c r="A93" s="31" t="s">
        <v>689</v>
      </c>
      <c r="B93" s="1" t="s">
        <v>689</v>
      </c>
      <c r="C93" s="1" t="s">
        <v>677</v>
      </c>
    </row>
    <row r="94" spans="1:9">
      <c r="A94" s="31" t="s">
        <v>691</v>
      </c>
      <c r="B94" s="1" t="s">
        <v>265</v>
      </c>
      <c r="C94" s="1" t="s">
        <v>681</v>
      </c>
    </row>
    <row r="95" spans="1:9">
      <c r="A95" s="31" t="s">
        <v>690</v>
      </c>
      <c r="B95" s="1" t="s">
        <v>689</v>
      </c>
      <c r="C95" s="1" t="s">
        <v>694</v>
      </c>
      <c r="D95" s="1" t="s">
        <v>693</v>
      </c>
    </row>
    <row r="97" spans="1:7">
      <c r="A97" s="30" t="s">
        <v>408</v>
      </c>
      <c r="B97" s="30" t="s">
        <v>262</v>
      </c>
      <c r="C97" s="30" t="s">
        <v>11</v>
      </c>
      <c r="D97" s="30"/>
      <c r="E97" s="30"/>
    </row>
    <row r="98" spans="1:7">
      <c r="A98" s="23" t="s">
        <v>269</v>
      </c>
      <c r="B98" s="7" t="s">
        <v>800</v>
      </c>
      <c r="C98" s="29" t="s">
        <v>319</v>
      </c>
    </row>
    <row r="99" spans="1:7" ht="24" customHeight="1">
      <c r="A99" s="23" t="s">
        <v>266</v>
      </c>
      <c r="B99" s="12" t="s">
        <v>3281</v>
      </c>
      <c r="C99" s="29" t="s">
        <v>320</v>
      </c>
    </row>
    <row r="100" spans="1:7" ht="15" customHeight="1">
      <c r="A100" s="23" t="s">
        <v>321</v>
      </c>
      <c r="B100" s="24" t="s">
        <v>836</v>
      </c>
      <c r="C100" s="29" t="s">
        <v>267</v>
      </c>
      <c r="G100" s="20"/>
    </row>
    <row r="101" spans="1:7" ht="15" customHeight="1">
      <c r="A101" s="35"/>
      <c r="B101" s="36"/>
      <c r="C101" s="29"/>
      <c r="G101" s="20"/>
    </row>
    <row r="106" spans="1:7">
      <c r="C106" s="1" t="s">
        <v>662</v>
      </c>
    </row>
    <row r="107" spans="1:7" ht="15">
      <c r="C107" s="21" t="s">
        <v>661</v>
      </c>
    </row>
  </sheetData>
  <mergeCells count="6">
    <mergeCell ref="G67:H67"/>
    <mergeCell ref="I61:I66"/>
    <mergeCell ref="H62:H63"/>
    <mergeCell ref="G64:H64"/>
    <mergeCell ref="G65:H65"/>
    <mergeCell ref="G66:H66"/>
  </mergeCells>
  <dataValidations count="10">
    <dataValidation type="list" allowBlank="1" showInputMessage="1" showErrorMessage="1" sqref="C61:C70">
      <formula1>"yes,no"</formula1>
    </dataValidation>
    <dataValidation type="list" allowBlank="1" showInputMessage="1" showErrorMessage="1" sqref="B55">
      <formula1>"sum,count"</formula1>
    </dataValidation>
    <dataValidation type="list" allowBlank="1" showInputMessage="1" showErrorMessage="1" sqref="F47:F53">
      <formula1>"barchart,orgchart,none"</formula1>
    </dataValidation>
    <dataValidation type="list" allowBlank="1" showInputMessage="1" showErrorMessage="1" sqref="B54">
      <formula1>"sum,count,average,min,max"</formula1>
    </dataValidation>
    <dataValidation type="list" allowBlank="1" showInputMessage="1" showErrorMessage="1" sqref="B2">
      <formula1>"default,none"</formula1>
    </dataValidation>
    <dataValidation type="list" allowBlank="1" showInputMessage="1" showErrorMessage="1" sqref="B3">
      <formula1>"google maps,google earth"</formula1>
    </dataValidation>
    <dataValidation type="decimal" allowBlank="1" showInputMessage="1" showErrorMessage="1" sqref="B4">
      <formula1>0</formula1>
      <formula2>180</formula2>
    </dataValidation>
    <dataValidation type="decimal" operator="greaterThan" allowBlank="1" showInputMessage="1" showErrorMessage="1" sqref="B16 B12 B5:B10">
      <formula1>0</formula1>
    </dataValidation>
    <dataValidation operator="greaterThan" allowBlank="1" showInputMessage="1" showErrorMessage="1" sqref="B13:B15"/>
    <dataValidation type="list" operator="greaterThan" allowBlank="1" showInputMessage="1" showErrorMessage="1" sqref="B11">
      <formula1>"yes,no"</formula1>
    </dataValidation>
  </dataValidations>
  <hyperlinks>
    <hyperlink ref="C107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/>
  <dimension ref="A1:N99"/>
  <sheetViews>
    <sheetView workbookViewId="0"/>
  </sheetViews>
  <sheetFormatPr defaultColWidth="9.140625" defaultRowHeight="11.25"/>
  <cols>
    <col min="1" max="1" width="14.85546875" style="1" customWidth="1"/>
    <col min="2" max="2" width="30.85546875" style="1" customWidth="1"/>
    <col min="3" max="3" width="20.5703125" style="1" customWidth="1"/>
    <col min="4" max="4" width="41.85546875" style="1" customWidth="1"/>
    <col min="5" max="5" width="10.7109375" style="1" customWidth="1"/>
    <col min="6" max="6" width="8.5703125" style="1" customWidth="1"/>
    <col min="7" max="7" width="10.28515625" style="3" customWidth="1"/>
    <col min="8" max="8" width="8.7109375" style="1" customWidth="1"/>
    <col min="9" max="9" width="13.5703125" style="5" customWidth="1"/>
    <col min="10" max="10" width="11.85546875" style="1" customWidth="1"/>
    <col min="11" max="11" width="14.42578125" style="5" bestFit="1" customWidth="1"/>
    <col min="12" max="16384" width="9.140625" style="1"/>
  </cols>
  <sheetData>
    <row r="1" spans="1:7">
      <c r="A1" s="30" t="s">
        <v>496</v>
      </c>
      <c r="B1" s="30" t="s">
        <v>498</v>
      </c>
      <c r="C1" s="30" t="s">
        <v>497</v>
      </c>
      <c r="D1" s="30"/>
      <c r="E1" s="30"/>
      <c r="G1" s="1"/>
    </row>
    <row r="2" spans="1:7">
      <c r="A2" s="31" t="s">
        <v>323</v>
      </c>
      <c r="B2" s="31" t="s">
        <v>362</v>
      </c>
      <c r="C2" s="29" t="s">
        <v>613</v>
      </c>
    </row>
    <row r="3" spans="1:7">
      <c r="A3" s="31" t="s">
        <v>502</v>
      </c>
      <c r="B3" s="31" t="s">
        <v>659</v>
      </c>
      <c r="C3" s="29" t="s">
        <v>612</v>
      </c>
    </row>
    <row r="4" spans="1:7">
      <c r="A4" s="31" t="s">
        <v>500</v>
      </c>
      <c r="B4" s="31">
        <v>50</v>
      </c>
      <c r="C4" s="29" t="s">
        <v>614</v>
      </c>
    </row>
    <row r="5" spans="1:7">
      <c r="A5" s="31" t="s">
        <v>501</v>
      </c>
      <c r="B5" s="31">
        <v>1000</v>
      </c>
      <c r="C5" s="29" t="s">
        <v>615</v>
      </c>
    </row>
    <row r="6" spans="1:7">
      <c r="A6" s="31" t="s">
        <v>609</v>
      </c>
      <c r="B6" s="31">
        <v>0.9</v>
      </c>
      <c r="C6" s="29" t="s">
        <v>616</v>
      </c>
    </row>
    <row r="7" spans="1:7">
      <c r="A7" s="31" t="s">
        <v>610</v>
      </c>
      <c r="B7" s="31">
        <v>200</v>
      </c>
      <c r="C7" s="29" t="s">
        <v>617</v>
      </c>
    </row>
    <row r="8" spans="1:7">
      <c r="A8" s="31" t="s">
        <v>611</v>
      </c>
      <c r="B8" s="31">
        <v>1</v>
      </c>
      <c r="C8" s="29" t="s">
        <v>618</v>
      </c>
    </row>
    <row r="9" spans="1:7">
      <c r="A9" s="31" t="s">
        <v>771</v>
      </c>
      <c r="B9" s="31">
        <v>3</v>
      </c>
      <c r="C9" s="29" t="s">
        <v>772</v>
      </c>
    </row>
    <row r="10" spans="1:7">
      <c r="A10" s="31" t="s">
        <v>798</v>
      </c>
      <c r="B10" s="31">
        <v>80</v>
      </c>
      <c r="C10" s="29" t="s">
        <v>799</v>
      </c>
    </row>
    <row r="11" spans="1:7">
      <c r="A11" s="31" t="s">
        <v>770</v>
      </c>
      <c r="B11" s="31" t="s">
        <v>333</v>
      </c>
      <c r="C11" s="29" t="s">
        <v>769</v>
      </c>
    </row>
    <row r="12" spans="1:7">
      <c r="A12" s="31" t="s">
        <v>803</v>
      </c>
      <c r="B12" s="31">
        <v>50</v>
      </c>
      <c r="C12" s="29" t="s">
        <v>799</v>
      </c>
    </row>
    <row r="13" spans="1:7">
      <c r="A13" s="31" t="s">
        <v>704</v>
      </c>
      <c r="B13" s="31" t="s">
        <v>801</v>
      </c>
      <c r="C13" s="29" t="s">
        <v>705</v>
      </c>
    </row>
    <row r="14" spans="1:7">
      <c r="A14" s="31" t="s">
        <v>706</v>
      </c>
      <c r="B14" s="31" t="s">
        <v>708</v>
      </c>
      <c r="C14" s="29" t="s">
        <v>707</v>
      </c>
    </row>
    <row r="15" spans="1:7">
      <c r="A15" s="31" t="s">
        <v>709</v>
      </c>
      <c r="B15" s="31">
        <v>10</v>
      </c>
      <c r="C15" s="29" t="s">
        <v>710</v>
      </c>
    </row>
    <row r="16" spans="1:7">
      <c r="A16" s="31"/>
      <c r="B16" s="31"/>
      <c r="C16" s="29"/>
    </row>
    <row r="17" spans="1:9">
      <c r="A17" s="30" t="s">
        <v>299</v>
      </c>
      <c r="B17" s="30" t="s">
        <v>288</v>
      </c>
      <c r="C17" s="30" t="s">
        <v>11</v>
      </c>
      <c r="D17" s="30"/>
      <c r="E17" s="30"/>
      <c r="G17" s="1"/>
    </row>
    <row r="18" spans="1:9">
      <c r="A18" s="23" t="s">
        <v>94</v>
      </c>
      <c r="B18" s="26" t="s">
        <v>94</v>
      </c>
      <c r="C18" s="26" t="s">
        <v>327</v>
      </c>
      <c r="G18" s="1"/>
    </row>
    <row r="19" spans="1:9">
      <c r="A19" s="23" t="s">
        <v>95</v>
      </c>
      <c r="B19" s="26" t="s">
        <v>95</v>
      </c>
      <c r="C19" s="26"/>
      <c r="G19" s="1"/>
    </row>
    <row r="20" spans="1:9">
      <c r="A20" s="23" t="s">
        <v>315</v>
      </c>
      <c r="B20" s="26" t="s">
        <v>543</v>
      </c>
      <c r="C20" s="26"/>
      <c r="G20" s="1"/>
    </row>
    <row r="21" spans="1:9">
      <c r="A21" s="23" t="s">
        <v>409</v>
      </c>
      <c r="B21" s="26" t="s">
        <v>535</v>
      </c>
      <c r="C21" s="26"/>
      <c r="G21" s="1"/>
    </row>
    <row r="22" spans="1:9">
      <c r="A22" s="23" t="s">
        <v>243</v>
      </c>
      <c r="B22" s="26" t="s">
        <v>243</v>
      </c>
      <c r="C22" s="26"/>
      <c r="G22" s="1"/>
    </row>
    <row r="23" spans="1:9">
      <c r="A23" s="1" t="s">
        <v>134</v>
      </c>
      <c r="B23" s="1" t="s">
        <v>134</v>
      </c>
      <c r="C23" s="1" t="s">
        <v>300</v>
      </c>
    </row>
    <row r="24" spans="1:9">
      <c r="A24" s="1" t="str">
        <f t="shared" ref="A24:A27" si="0">B24</f>
        <v>Country</v>
      </c>
      <c r="B24" s="1" t="s">
        <v>10</v>
      </c>
      <c r="C24" s="1" t="s">
        <v>301</v>
      </c>
    </row>
    <row r="25" spans="1:9">
      <c r="A25" s="1" t="str">
        <f t="shared" si="0"/>
        <v>State</v>
      </c>
      <c r="B25" s="1" t="s">
        <v>86</v>
      </c>
    </row>
    <row r="26" spans="1:9">
      <c r="A26" s="1" t="str">
        <f t="shared" si="0"/>
        <v>City</v>
      </c>
      <c r="B26" s="1" t="s">
        <v>97</v>
      </c>
      <c r="G26" s="1"/>
      <c r="I26" s="1"/>
    </row>
    <row r="27" spans="1:9">
      <c r="A27" s="1" t="str">
        <f t="shared" si="0"/>
        <v>Clean Address</v>
      </c>
      <c r="B27" s="1" t="s">
        <v>20</v>
      </c>
      <c r="G27" s="1"/>
      <c r="I27" s="1"/>
    </row>
    <row r="28" spans="1:9">
      <c r="A28" s="1" t="s">
        <v>317</v>
      </c>
      <c r="B28" s="1" t="s">
        <v>317</v>
      </c>
      <c r="G28" s="1"/>
      <c r="I28" s="1"/>
    </row>
    <row r="29" spans="1:9">
      <c r="A29" s="1" t="s">
        <v>555</v>
      </c>
      <c r="B29" s="1" t="s">
        <v>514</v>
      </c>
      <c r="G29" s="1"/>
      <c r="I29" s="1"/>
    </row>
    <row r="30" spans="1:9" ht="15">
      <c r="A30" s="1" t="s">
        <v>554</v>
      </c>
      <c r="B30" s="1" t="s">
        <v>513</v>
      </c>
      <c r="C30" s="38"/>
      <c r="D30" s="38"/>
      <c r="E30" s="38"/>
      <c r="F30" s="12"/>
      <c r="G30" s="1"/>
      <c r="I30" s="1"/>
    </row>
    <row r="31" spans="1:9" ht="15">
      <c r="A31" s="1" t="s">
        <v>553</v>
      </c>
      <c r="B31" s="1" t="s">
        <v>517</v>
      </c>
      <c r="C31" s="38"/>
      <c r="D31" s="38"/>
      <c r="E31" s="38"/>
      <c r="F31" s="12"/>
      <c r="G31" s="1"/>
      <c r="I31" s="1"/>
    </row>
    <row r="32" spans="1:9">
      <c r="A32" s="1" t="s">
        <v>556</v>
      </c>
      <c r="B32" s="1" t="s">
        <v>526</v>
      </c>
    </row>
    <row r="33" spans="1:7">
      <c r="A33" s="1" t="s">
        <v>563</v>
      </c>
      <c r="B33" s="1" t="s">
        <v>535</v>
      </c>
    </row>
    <row r="34" spans="1:7">
      <c r="A34" s="1" t="s">
        <v>564</v>
      </c>
      <c r="B34" s="1" t="s">
        <v>543</v>
      </c>
    </row>
    <row r="35" spans="1:7">
      <c r="A35" s="1" t="s">
        <v>558</v>
      </c>
      <c r="B35" s="1" t="s">
        <v>518</v>
      </c>
    </row>
    <row r="36" spans="1:7">
      <c r="A36" s="1" t="s">
        <v>335</v>
      </c>
      <c r="B36" s="1" t="s">
        <v>316</v>
      </c>
    </row>
    <row r="38" spans="1:7">
      <c r="A38" s="30" t="s">
        <v>505</v>
      </c>
      <c r="B38" s="30" t="s">
        <v>498</v>
      </c>
      <c r="C38" s="2" t="s">
        <v>3241</v>
      </c>
      <c r="D38" s="30" t="s">
        <v>145</v>
      </c>
      <c r="E38" s="30"/>
      <c r="F38" s="30"/>
    </row>
    <row r="39" spans="1:7">
      <c r="A39" s="1" t="s">
        <v>504</v>
      </c>
      <c r="B39" s="1" t="s">
        <v>317</v>
      </c>
      <c r="C39" s="1" t="s">
        <v>322</v>
      </c>
      <c r="D39" s="1" t="s">
        <v>506</v>
      </c>
    </row>
    <row r="40" spans="1:7">
      <c r="A40" s="1" t="s">
        <v>508</v>
      </c>
      <c r="C40" s="1" t="s">
        <v>322</v>
      </c>
      <c r="D40" s="1" t="s">
        <v>507</v>
      </c>
    </row>
    <row r="41" spans="1:7">
      <c r="A41" s="1" t="s">
        <v>3279</v>
      </c>
      <c r="B41" s="1" t="s">
        <v>558</v>
      </c>
      <c r="C41" s="1" t="s">
        <v>333</v>
      </c>
    </row>
    <row r="43" spans="1:7">
      <c r="A43" s="30" t="s">
        <v>140</v>
      </c>
      <c r="B43" s="30" t="s">
        <v>298</v>
      </c>
      <c r="C43" s="30" t="s">
        <v>297</v>
      </c>
      <c r="D43" s="30" t="s">
        <v>296</v>
      </c>
      <c r="E43" s="30" t="s">
        <v>384</v>
      </c>
      <c r="F43" s="30" t="s">
        <v>668</v>
      </c>
      <c r="G43" s="30" t="s">
        <v>703</v>
      </c>
    </row>
    <row r="44" spans="1:7">
      <c r="A44" s="1" t="s">
        <v>286</v>
      </c>
      <c r="B44" s="1" t="s">
        <v>575</v>
      </c>
      <c r="C44" s="1" t="s">
        <v>576</v>
      </c>
      <c r="E44" s="1" t="s">
        <v>317</v>
      </c>
      <c r="F44" s="1" t="s">
        <v>671</v>
      </c>
      <c r="G44" s="3" t="s">
        <v>711</v>
      </c>
    </row>
    <row r="45" spans="1:7">
      <c r="A45" s="1" t="s">
        <v>603</v>
      </c>
      <c r="B45" s="1" t="s">
        <v>595</v>
      </c>
      <c r="C45" s="1" t="s">
        <v>554</v>
      </c>
      <c r="E45" s="1" t="s">
        <v>317</v>
      </c>
      <c r="F45" s="1" t="s">
        <v>671</v>
      </c>
      <c r="G45" s="3" t="s">
        <v>564</v>
      </c>
    </row>
    <row r="46" spans="1:7">
      <c r="A46" s="1" t="s">
        <v>594</v>
      </c>
      <c r="B46" s="1" t="s">
        <v>575</v>
      </c>
      <c r="C46" s="1" t="s">
        <v>598</v>
      </c>
      <c r="E46" s="1" t="s">
        <v>317</v>
      </c>
      <c r="F46" s="1" t="s">
        <v>671</v>
      </c>
      <c r="G46" s="3" t="s">
        <v>564</v>
      </c>
    </row>
    <row r="47" spans="1:7">
      <c r="A47" s="1" t="s">
        <v>602</v>
      </c>
      <c r="B47" s="1" t="s">
        <v>597</v>
      </c>
      <c r="C47" s="1" t="s">
        <v>599</v>
      </c>
      <c r="E47" s="1" t="s">
        <v>335</v>
      </c>
      <c r="F47" s="1" t="s">
        <v>671</v>
      </c>
      <c r="G47" s="3" t="s">
        <v>711</v>
      </c>
    </row>
    <row r="48" spans="1:7">
      <c r="A48" s="1" t="s">
        <v>596</v>
      </c>
      <c r="B48" s="1" t="s">
        <v>597</v>
      </c>
      <c r="C48" s="1" t="s">
        <v>409</v>
      </c>
      <c r="E48" s="1" t="s">
        <v>335</v>
      </c>
      <c r="F48" s="1" t="s">
        <v>671</v>
      </c>
      <c r="G48" s="3" t="s">
        <v>711</v>
      </c>
    </row>
    <row r="50" spans="1:14" s="5" customFormat="1">
      <c r="A50" s="30" t="s">
        <v>141</v>
      </c>
      <c r="B50" s="30" t="s">
        <v>292</v>
      </c>
      <c r="C50" s="30" t="s">
        <v>145</v>
      </c>
      <c r="D50" s="30"/>
      <c r="E50" s="30"/>
      <c r="F50" s="1"/>
      <c r="G50" s="3"/>
      <c r="H50" s="1"/>
      <c r="J50" s="1"/>
      <c r="L50" s="1"/>
      <c r="M50" s="1"/>
      <c r="N50" s="1"/>
    </row>
    <row r="51" spans="1:14" s="5" customFormat="1">
      <c r="A51" s="1" t="s">
        <v>556</v>
      </c>
      <c r="B51" s="1" t="s">
        <v>294</v>
      </c>
      <c r="C51" s="1" t="s">
        <v>314</v>
      </c>
      <c r="D51" s="1"/>
      <c r="E51" s="1"/>
      <c r="F51" s="1"/>
      <c r="G51" s="3"/>
      <c r="H51" s="1"/>
      <c r="J51" s="1"/>
      <c r="L51" s="1"/>
      <c r="M51" s="1"/>
      <c r="N51" s="1"/>
    </row>
    <row r="53" spans="1:14" s="5" customFormat="1">
      <c r="A53" s="30" t="s">
        <v>18</v>
      </c>
      <c r="B53" s="30" t="s">
        <v>113</v>
      </c>
      <c r="C53" s="30" t="s">
        <v>11</v>
      </c>
      <c r="D53" s="30"/>
      <c r="E53" s="30"/>
      <c r="F53" s="1"/>
      <c r="G53" s="3"/>
      <c r="H53" s="1"/>
      <c r="J53" s="1"/>
      <c r="L53" s="1"/>
      <c r="M53" s="1"/>
      <c r="N53" s="1"/>
    </row>
    <row r="54" spans="1:14" s="5" customFormat="1">
      <c r="A54" s="1" t="s">
        <v>15</v>
      </c>
      <c r="B54" s="1" t="s">
        <v>563</v>
      </c>
      <c r="C54" s="1" t="s">
        <v>114</v>
      </c>
      <c r="D54" s="1"/>
      <c r="E54" s="1"/>
      <c r="F54" s="1"/>
      <c r="G54" s="3"/>
      <c r="H54" s="1"/>
      <c r="J54" s="1"/>
      <c r="L54" s="1"/>
      <c r="M54" s="1"/>
      <c r="N54" s="1"/>
    </row>
    <row r="55" spans="1:14" s="5" customFormat="1">
      <c r="A55" s="1" t="s">
        <v>16</v>
      </c>
      <c r="B55" s="1" t="s">
        <v>87</v>
      </c>
      <c r="C55" s="1" t="s">
        <v>115</v>
      </c>
      <c r="D55" s="1"/>
      <c r="E55" s="1"/>
      <c r="F55" s="1"/>
      <c r="G55" s="3"/>
      <c r="H55" s="1"/>
      <c r="J55" s="1"/>
    </row>
    <row r="57" spans="1:14" s="5" customFormat="1">
      <c r="A57" s="30" t="s">
        <v>325</v>
      </c>
      <c r="B57" s="30" t="s">
        <v>324</v>
      </c>
      <c r="C57" s="30" t="s">
        <v>330</v>
      </c>
      <c r="D57" s="30" t="s">
        <v>145</v>
      </c>
      <c r="E57" s="30"/>
      <c r="F57" s="1"/>
      <c r="G57" s="25" t="s">
        <v>328</v>
      </c>
      <c r="H57" s="25"/>
      <c r="J57" s="1"/>
    </row>
    <row r="58" spans="1:14" s="5" customFormat="1">
      <c r="A58" s="23" t="s">
        <v>242</v>
      </c>
      <c r="B58" s="27">
        <v>2</v>
      </c>
      <c r="C58" s="1" t="s">
        <v>333</v>
      </c>
      <c r="D58" s="1" t="s">
        <v>326</v>
      </c>
      <c r="E58" s="1"/>
      <c r="F58" s="1"/>
      <c r="G58" s="73">
        <v>1</v>
      </c>
      <c r="H58" s="73">
        <v>11</v>
      </c>
      <c r="I58" s="90">
        <v>9</v>
      </c>
      <c r="J58" s="1"/>
    </row>
    <row r="59" spans="1:14" s="5" customFormat="1" ht="11.25" customHeight="1">
      <c r="A59" s="23" t="s">
        <v>334</v>
      </c>
      <c r="B59" s="27">
        <v>0</v>
      </c>
      <c r="C59" s="1" t="s">
        <v>322</v>
      </c>
      <c r="D59" s="1" t="s">
        <v>331</v>
      </c>
      <c r="E59" s="1"/>
      <c r="F59" s="1"/>
      <c r="G59" s="73">
        <v>2</v>
      </c>
      <c r="H59" s="89">
        <v>3</v>
      </c>
      <c r="I59" s="91"/>
      <c r="J59" s="1"/>
    </row>
    <row r="60" spans="1:14" s="5" customFormat="1" ht="11.25" customHeight="1">
      <c r="A60" s="23" t="s">
        <v>335</v>
      </c>
      <c r="B60" s="27">
        <v>3</v>
      </c>
      <c r="C60" s="1" t="s">
        <v>333</v>
      </c>
      <c r="D60" s="1" t="s">
        <v>329</v>
      </c>
      <c r="E60" s="1"/>
      <c r="F60" s="1"/>
      <c r="G60" s="73">
        <v>4</v>
      </c>
      <c r="H60" s="89"/>
      <c r="I60" s="91"/>
      <c r="J60" s="1"/>
    </row>
    <row r="61" spans="1:14" s="5" customFormat="1" ht="11.25" customHeight="1">
      <c r="A61" s="23" t="s">
        <v>336</v>
      </c>
      <c r="B61" s="27">
        <v>5</v>
      </c>
      <c r="C61" s="1" t="s">
        <v>333</v>
      </c>
      <c r="D61" s="1"/>
      <c r="E61" s="1"/>
      <c r="F61" s="1"/>
      <c r="G61" s="89">
        <v>5</v>
      </c>
      <c r="H61" s="89"/>
      <c r="I61" s="91"/>
      <c r="J61" s="1"/>
    </row>
    <row r="62" spans="1:14" s="5" customFormat="1" ht="11.25" customHeight="1">
      <c r="A62" s="23" t="s">
        <v>337</v>
      </c>
      <c r="B62" s="27">
        <v>6</v>
      </c>
      <c r="C62" s="1" t="s">
        <v>333</v>
      </c>
      <c r="D62" s="1" t="s">
        <v>332</v>
      </c>
      <c r="E62" s="1"/>
      <c r="F62" s="1"/>
      <c r="G62" s="89">
        <v>6</v>
      </c>
      <c r="H62" s="89"/>
      <c r="I62" s="91"/>
      <c r="J62" s="1"/>
    </row>
    <row r="63" spans="1:14" s="5" customFormat="1" ht="11.25" customHeight="1">
      <c r="A63" s="23" t="s">
        <v>338</v>
      </c>
      <c r="B63" s="27">
        <v>0</v>
      </c>
      <c r="C63" s="1" t="s">
        <v>322</v>
      </c>
      <c r="D63" s="1"/>
      <c r="E63" s="1"/>
      <c r="F63" s="1"/>
      <c r="G63" s="89">
        <v>7</v>
      </c>
      <c r="H63" s="89"/>
      <c r="I63" s="92"/>
      <c r="J63" s="1"/>
    </row>
    <row r="64" spans="1:14" s="5" customFormat="1" ht="11.25" customHeight="1">
      <c r="A64" s="23" t="s">
        <v>339</v>
      </c>
      <c r="B64" s="27">
        <v>0</v>
      </c>
      <c r="C64" s="1" t="s">
        <v>322</v>
      </c>
      <c r="D64" s="1"/>
      <c r="E64" s="1"/>
      <c r="F64" s="1"/>
      <c r="G64" s="89">
        <v>8</v>
      </c>
      <c r="H64" s="89"/>
      <c r="I64" s="75">
        <v>10</v>
      </c>
      <c r="J64" s="1"/>
    </row>
    <row r="65" spans="1:14" s="5" customFormat="1">
      <c r="A65" s="23" t="s">
        <v>241</v>
      </c>
      <c r="B65" s="27">
        <v>1</v>
      </c>
      <c r="C65" s="1" t="s">
        <v>333</v>
      </c>
      <c r="D65" s="1"/>
      <c r="E65" s="28"/>
      <c r="F65" s="28"/>
      <c r="G65" s="3"/>
      <c r="H65" s="1"/>
      <c r="J65" s="1"/>
    </row>
    <row r="66" spans="1:14" s="5" customFormat="1">
      <c r="A66" s="23" t="s">
        <v>510</v>
      </c>
      <c r="B66" s="27">
        <v>11</v>
      </c>
      <c r="C66" s="1" t="s">
        <v>333</v>
      </c>
      <c r="D66" s="1"/>
      <c r="E66" s="28"/>
      <c r="F66" s="28"/>
      <c r="G66" s="3"/>
      <c r="H66" s="1"/>
      <c r="J66" s="1"/>
      <c r="L66" s="1"/>
      <c r="M66" s="1"/>
      <c r="N66" s="1"/>
    </row>
    <row r="67" spans="1:14" s="5" customFormat="1">
      <c r="A67" s="23" t="s">
        <v>702</v>
      </c>
      <c r="B67" s="27">
        <v>9</v>
      </c>
      <c r="C67" s="1" t="s">
        <v>333</v>
      </c>
      <c r="D67" s="1"/>
      <c r="E67" s="28"/>
      <c r="F67" s="28"/>
      <c r="G67" s="3"/>
      <c r="H67" s="1"/>
      <c r="J67" s="1"/>
      <c r="L67" s="1"/>
      <c r="M67" s="1"/>
      <c r="N67" s="1"/>
    </row>
    <row r="69" spans="1:14" s="5" customFormat="1">
      <c r="A69" s="30" t="s">
        <v>410</v>
      </c>
      <c r="B69" s="30" t="s">
        <v>418</v>
      </c>
      <c r="C69" s="30" t="s">
        <v>145</v>
      </c>
      <c r="D69" s="30"/>
      <c r="E69" s="30"/>
      <c r="F69" s="1"/>
      <c r="G69" s="3"/>
      <c r="H69" s="1"/>
      <c r="J69" s="1"/>
    </row>
    <row r="70" spans="1:14" s="5" customFormat="1">
      <c r="A70" s="23" t="s">
        <v>94</v>
      </c>
      <c r="B70" s="26" t="s">
        <v>461</v>
      </c>
      <c r="C70" s="26" t="s">
        <v>327</v>
      </c>
      <c r="D70" s="1"/>
      <c r="E70" s="1"/>
      <c r="F70" s="1"/>
      <c r="G70" s="1"/>
      <c r="H70" s="1"/>
      <c r="J70" s="1"/>
      <c r="L70" s="1"/>
      <c r="M70" s="1"/>
      <c r="N70" s="1"/>
    </row>
    <row r="71" spans="1:14" s="5" customFormat="1">
      <c r="A71" s="23" t="s">
        <v>95</v>
      </c>
      <c r="B71" s="26" t="s">
        <v>461</v>
      </c>
      <c r="C71" s="26"/>
      <c r="D71" s="1"/>
      <c r="E71" s="1"/>
      <c r="F71" s="1"/>
      <c r="G71" s="1"/>
      <c r="H71" s="1"/>
      <c r="J71" s="1"/>
      <c r="L71" s="1"/>
      <c r="M71" s="1"/>
      <c r="N71" s="1"/>
    </row>
    <row r="72" spans="1:14" s="5" customFormat="1">
      <c r="A72" s="23" t="s">
        <v>557</v>
      </c>
      <c r="B72" s="26" t="s">
        <v>461</v>
      </c>
      <c r="C72" s="26"/>
      <c r="D72" s="1"/>
      <c r="E72" s="1"/>
      <c r="F72" s="1"/>
      <c r="G72" s="1"/>
      <c r="H72" s="1"/>
      <c r="J72" s="1"/>
      <c r="L72" s="1"/>
      <c r="M72" s="1"/>
      <c r="N72" s="1"/>
    </row>
    <row r="73" spans="1:14" s="5" customFormat="1">
      <c r="A73" s="23" t="s">
        <v>243</v>
      </c>
      <c r="B73" s="26" t="s">
        <v>461</v>
      </c>
      <c r="C73" s="26"/>
      <c r="D73" s="1"/>
      <c r="E73" s="1"/>
      <c r="F73" s="1"/>
      <c r="G73" s="1"/>
      <c r="H73" s="1"/>
      <c r="J73" s="1"/>
      <c r="L73" s="1"/>
      <c r="M73" s="1"/>
      <c r="N73" s="1"/>
    </row>
    <row r="74" spans="1:14" s="5" customFormat="1">
      <c r="A74" s="1" t="s">
        <v>134</v>
      </c>
      <c r="B74" s="1" t="s">
        <v>461</v>
      </c>
      <c r="C74" s="1"/>
      <c r="D74" s="1"/>
      <c r="E74" s="1"/>
      <c r="F74" s="1"/>
      <c r="G74" s="3"/>
      <c r="H74" s="1"/>
      <c r="J74" s="1"/>
      <c r="L74" s="1"/>
      <c r="M74" s="1"/>
      <c r="N74" s="1"/>
    </row>
    <row r="75" spans="1:14" s="5" customFormat="1">
      <c r="A75" s="1" t="s">
        <v>10</v>
      </c>
      <c r="B75" s="1" t="s">
        <v>461</v>
      </c>
      <c r="C75" s="1"/>
      <c r="D75" s="1"/>
      <c r="E75" s="1"/>
      <c r="F75" s="1"/>
      <c r="G75" s="3"/>
      <c r="H75" s="1"/>
      <c r="J75" s="1"/>
      <c r="L75" s="1"/>
      <c r="M75" s="1"/>
      <c r="N75" s="1"/>
    </row>
    <row r="76" spans="1:14" s="5" customFormat="1">
      <c r="A76" s="1" t="s">
        <v>86</v>
      </c>
      <c r="B76" s="1" t="s">
        <v>461</v>
      </c>
      <c r="C76" s="1"/>
      <c r="D76" s="1"/>
      <c r="E76" s="1"/>
      <c r="F76" s="1"/>
      <c r="G76" s="3"/>
      <c r="H76" s="1"/>
      <c r="J76" s="1"/>
      <c r="L76" s="1"/>
      <c r="M76" s="1"/>
      <c r="N76" s="1"/>
    </row>
    <row r="77" spans="1:14">
      <c r="A77" s="1" t="s">
        <v>97</v>
      </c>
      <c r="B77" s="1" t="s">
        <v>461</v>
      </c>
      <c r="G77" s="1"/>
      <c r="I77" s="1"/>
    </row>
    <row r="78" spans="1:14">
      <c r="A78" s="1" t="s">
        <v>20</v>
      </c>
      <c r="B78" s="1" t="s">
        <v>461</v>
      </c>
      <c r="E78" s="43"/>
      <c r="F78" s="43"/>
      <c r="G78" s="43"/>
      <c r="H78" s="43"/>
      <c r="I78" s="43"/>
    </row>
    <row r="79" spans="1:14">
      <c r="A79" s="1" t="s">
        <v>514</v>
      </c>
      <c r="B79" s="1" t="s">
        <v>516</v>
      </c>
      <c r="E79" s="43"/>
      <c r="F79" s="43"/>
      <c r="G79" s="43"/>
      <c r="H79" s="43"/>
      <c r="I79" s="43"/>
    </row>
    <row r="80" spans="1:14">
      <c r="A80" s="1" t="s">
        <v>317</v>
      </c>
      <c r="B80" s="1" t="s">
        <v>516</v>
      </c>
      <c r="D80" s="43"/>
      <c r="E80" s="43"/>
      <c r="F80" s="43"/>
      <c r="G80" s="43"/>
      <c r="H80" s="43"/>
      <c r="I80" s="43"/>
    </row>
    <row r="81" spans="1:9">
      <c r="A81" s="1" t="s">
        <v>518</v>
      </c>
      <c r="B81" s="1" t="s">
        <v>559</v>
      </c>
      <c r="D81" s="43"/>
      <c r="E81" s="43"/>
      <c r="F81" s="43"/>
      <c r="G81" s="43"/>
      <c r="H81" s="43"/>
      <c r="I81" s="43"/>
    </row>
    <row r="82" spans="1:9">
      <c r="A82" s="1" t="s">
        <v>316</v>
      </c>
      <c r="B82" s="1" t="s">
        <v>461</v>
      </c>
      <c r="D82" s="43"/>
      <c r="E82" s="43"/>
      <c r="F82" s="43"/>
      <c r="G82" s="43"/>
      <c r="H82" s="43"/>
      <c r="I82" s="43"/>
    </row>
    <row r="83" spans="1:9" ht="12.75" customHeight="1">
      <c r="G83" s="1"/>
    </row>
    <row r="84" spans="1:9">
      <c r="A84" s="30" t="s">
        <v>147</v>
      </c>
      <c r="B84" s="30" t="s">
        <v>146</v>
      </c>
      <c r="C84" s="30" t="s">
        <v>153</v>
      </c>
      <c r="D84" s="30" t="s">
        <v>145</v>
      </c>
      <c r="E84" s="30"/>
    </row>
    <row r="85" spans="1:9">
      <c r="A85" s="31" t="s">
        <v>156</v>
      </c>
      <c r="B85" s="1" t="s">
        <v>560</v>
      </c>
      <c r="C85" s="1" t="s">
        <v>535</v>
      </c>
      <c r="D85" s="1" t="s">
        <v>151</v>
      </c>
    </row>
    <row r="86" spans="1:9">
      <c r="A86" s="31" t="s">
        <v>149</v>
      </c>
      <c r="B86" s="1" t="s">
        <v>561</v>
      </c>
      <c r="D86" s="1" t="s">
        <v>152</v>
      </c>
    </row>
    <row r="87" spans="1:9">
      <c r="A87" s="31" t="s">
        <v>153</v>
      </c>
      <c r="B87" s="1" t="s">
        <v>562</v>
      </c>
      <c r="D87" s="1" t="s">
        <v>155</v>
      </c>
    </row>
    <row r="88" spans="1:9">
      <c r="A88" s="31" t="s">
        <v>534</v>
      </c>
      <c r="B88" s="1" t="s">
        <v>534</v>
      </c>
      <c r="C88" s="1" t="s">
        <v>517</v>
      </c>
    </row>
    <row r="89" spans="1:9">
      <c r="A89" s="31" t="s">
        <v>515</v>
      </c>
      <c r="B89" s="1" t="s">
        <v>515</v>
      </c>
      <c r="C89" s="1" t="s">
        <v>513</v>
      </c>
    </row>
    <row r="91" spans="1:9">
      <c r="A91" s="30" t="s">
        <v>408</v>
      </c>
      <c r="B91" s="30" t="s">
        <v>262</v>
      </c>
      <c r="C91" s="30" t="s">
        <v>11</v>
      </c>
      <c r="D91" s="30"/>
      <c r="E91" s="30"/>
    </row>
    <row r="92" spans="1:9">
      <c r="A92" s="23" t="s">
        <v>269</v>
      </c>
      <c r="B92" s="7" t="s">
        <v>620</v>
      </c>
      <c r="C92" s="29" t="s">
        <v>319</v>
      </c>
    </row>
    <row r="93" spans="1:9" ht="24" customHeight="1">
      <c r="A93" s="23" t="s">
        <v>266</v>
      </c>
      <c r="B93" s="12" t="s">
        <v>3281</v>
      </c>
      <c r="C93" s="29" t="s">
        <v>320</v>
      </c>
    </row>
    <row r="94" spans="1:9" ht="15" customHeight="1">
      <c r="A94" s="23" t="s">
        <v>321</v>
      </c>
      <c r="B94" s="24" t="s">
        <v>836</v>
      </c>
      <c r="C94" s="29" t="s">
        <v>267</v>
      </c>
      <c r="G94" s="20"/>
    </row>
    <row r="95" spans="1:9" ht="15" customHeight="1">
      <c r="A95" s="35"/>
      <c r="B95" s="36"/>
      <c r="C95" s="29"/>
      <c r="G95" s="20"/>
    </row>
    <row r="98" spans="4:4">
      <c r="D98" s="1" t="s">
        <v>662</v>
      </c>
    </row>
    <row r="99" spans="4:4" ht="15">
      <c r="D99" s="21" t="s">
        <v>661</v>
      </c>
    </row>
  </sheetData>
  <mergeCells count="6">
    <mergeCell ref="G64:H64"/>
    <mergeCell ref="I58:I63"/>
    <mergeCell ref="H59:H60"/>
    <mergeCell ref="G61:H61"/>
    <mergeCell ref="G62:H62"/>
    <mergeCell ref="G63:H63"/>
  </mergeCells>
  <dataValidations count="10">
    <dataValidation type="list" allowBlank="1" showInputMessage="1" showErrorMessage="1" sqref="C58:C67">
      <formula1>"yes,no"</formula1>
    </dataValidation>
    <dataValidation type="list" allowBlank="1" showInputMessage="1" showErrorMessage="1" sqref="B52">
      <formula1>"sum,count"</formula1>
    </dataValidation>
    <dataValidation type="list" allowBlank="1" showInputMessage="1" showErrorMessage="1" sqref="B51">
      <formula1>"sum,count,average,min,max"</formula1>
    </dataValidation>
    <dataValidation type="list" allowBlank="1" showInputMessage="1" showErrorMessage="1" sqref="B2">
      <formula1>"default,none"</formula1>
    </dataValidation>
    <dataValidation type="list" allowBlank="1" showInputMessage="1" showErrorMessage="1" sqref="B3">
      <formula1>"google maps,google earth"</formula1>
    </dataValidation>
    <dataValidation type="decimal" allowBlank="1" showInputMessage="1" showErrorMessage="1" sqref="B4">
      <formula1>0</formula1>
      <formula2>180</formula2>
    </dataValidation>
    <dataValidation type="decimal" operator="greaterThan" allowBlank="1" showInputMessage="1" showErrorMessage="1" sqref="B16 B12 B5:B10">
      <formula1>0</formula1>
    </dataValidation>
    <dataValidation type="list" allowBlank="1" showInputMessage="1" showErrorMessage="1" sqref="F44:F48">
      <formula1>"barchart,orgchart,none"</formula1>
    </dataValidation>
    <dataValidation operator="greaterThan" allowBlank="1" showInputMessage="1" showErrorMessage="1" sqref="B13:B15"/>
    <dataValidation type="list" operator="greaterThan" allowBlank="1" showInputMessage="1" showErrorMessage="1" sqref="B11">
      <formula1>"yes,no"</formula1>
    </dataValidation>
  </dataValidations>
  <hyperlinks>
    <hyperlink ref="D99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5"/>
  <dimension ref="A1:N95"/>
  <sheetViews>
    <sheetView topLeftCell="A17" workbookViewId="0">
      <selection activeCell="G83" sqref="G83"/>
    </sheetView>
  </sheetViews>
  <sheetFormatPr defaultColWidth="9.140625" defaultRowHeight="11.25"/>
  <cols>
    <col min="1" max="1" width="14.85546875" style="1" customWidth="1"/>
    <col min="2" max="2" width="30.85546875" style="1" customWidth="1"/>
    <col min="3" max="3" width="20.5703125" style="1" customWidth="1"/>
    <col min="4" max="4" width="30.140625" style="1" customWidth="1"/>
    <col min="5" max="5" width="21" style="1" customWidth="1"/>
    <col min="6" max="6" width="8.5703125" style="1" customWidth="1"/>
    <col min="7" max="7" width="10.28515625" style="3" customWidth="1"/>
    <col min="8" max="8" width="8.7109375" style="1" customWidth="1"/>
    <col min="9" max="9" width="10.85546875" style="5" customWidth="1"/>
    <col min="10" max="10" width="11.85546875" style="1" customWidth="1"/>
    <col min="11" max="11" width="14.42578125" style="5" bestFit="1" customWidth="1"/>
    <col min="12" max="16384" width="9.140625" style="1"/>
  </cols>
  <sheetData>
    <row r="1" spans="1:7">
      <c r="A1" s="30" t="s">
        <v>496</v>
      </c>
      <c r="B1" s="30" t="s">
        <v>498</v>
      </c>
      <c r="C1" s="30" t="s">
        <v>497</v>
      </c>
      <c r="D1" s="30"/>
      <c r="E1" s="30"/>
      <c r="G1" s="1"/>
    </row>
    <row r="2" spans="1:7">
      <c r="A2" s="31" t="s">
        <v>323</v>
      </c>
      <c r="B2" s="31" t="s">
        <v>362</v>
      </c>
      <c r="C2" s="29"/>
    </row>
    <row r="3" spans="1:7">
      <c r="A3" s="31" t="s">
        <v>502</v>
      </c>
      <c r="B3" s="31" t="s">
        <v>659</v>
      </c>
      <c r="C3" s="29"/>
    </row>
    <row r="4" spans="1:7">
      <c r="A4" s="31" t="s">
        <v>500</v>
      </c>
      <c r="B4" s="31">
        <v>60</v>
      </c>
      <c r="C4" s="29"/>
    </row>
    <row r="5" spans="1:7">
      <c r="A5" s="31" t="s">
        <v>501</v>
      </c>
      <c r="B5" s="31">
        <v>500</v>
      </c>
      <c r="C5" s="29"/>
    </row>
    <row r="6" spans="1:7">
      <c r="A6" s="31" t="s">
        <v>609</v>
      </c>
      <c r="B6" s="31">
        <v>0.9</v>
      </c>
      <c r="C6" s="29" t="s">
        <v>616</v>
      </c>
    </row>
    <row r="7" spans="1:7">
      <c r="A7" s="31" t="s">
        <v>610</v>
      </c>
      <c r="B7" s="31">
        <v>200</v>
      </c>
      <c r="C7" s="29" t="s">
        <v>617</v>
      </c>
    </row>
    <row r="8" spans="1:7">
      <c r="A8" s="31" t="s">
        <v>611</v>
      </c>
      <c r="B8" s="31">
        <v>1</v>
      </c>
      <c r="C8" s="29" t="s">
        <v>618</v>
      </c>
    </row>
    <row r="9" spans="1:7">
      <c r="A9" s="31" t="s">
        <v>798</v>
      </c>
      <c r="B9" s="31">
        <v>80</v>
      </c>
      <c r="C9" s="29" t="s">
        <v>799</v>
      </c>
    </row>
    <row r="10" spans="1:7">
      <c r="A10" s="31" t="s">
        <v>771</v>
      </c>
      <c r="B10" s="31">
        <v>3</v>
      </c>
      <c r="C10" s="29" t="s">
        <v>772</v>
      </c>
    </row>
    <row r="11" spans="1:7">
      <c r="A11" s="31" t="s">
        <v>770</v>
      </c>
      <c r="B11" s="31" t="s">
        <v>333</v>
      </c>
      <c r="C11" s="29" t="s">
        <v>769</v>
      </c>
    </row>
    <row r="12" spans="1:7">
      <c r="A12" s="31" t="s">
        <v>803</v>
      </c>
      <c r="B12" s="31">
        <v>50</v>
      </c>
      <c r="C12" s="29" t="s">
        <v>799</v>
      </c>
    </row>
    <row r="13" spans="1:7">
      <c r="A13" s="31" t="s">
        <v>704</v>
      </c>
      <c r="B13" s="31" t="s">
        <v>804</v>
      </c>
      <c r="C13" s="29" t="s">
        <v>705</v>
      </c>
    </row>
    <row r="14" spans="1:7">
      <c r="A14" s="31" t="s">
        <v>706</v>
      </c>
      <c r="B14" s="31" t="s">
        <v>708</v>
      </c>
      <c r="C14" s="29" t="s">
        <v>707</v>
      </c>
    </row>
    <row r="15" spans="1:7">
      <c r="A15" s="31" t="s">
        <v>709</v>
      </c>
      <c r="B15" s="31">
        <v>10</v>
      </c>
      <c r="C15" s="29" t="s">
        <v>710</v>
      </c>
    </row>
    <row r="16" spans="1:7">
      <c r="A16" s="31"/>
      <c r="B16" s="31"/>
      <c r="C16" s="29"/>
    </row>
    <row r="17" spans="1:9">
      <c r="A17" s="30" t="s">
        <v>299</v>
      </c>
      <c r="B17" s="30" t="s">
        <v>288</v>
      </c>
      <c r="C17" s="30" t="s">
        <v>11</v>
      </c>
      <c r="D17" s="30"/>
      <c r="E17" s="30"/>
      <c r="G17" s="1"/>
    </row>
    <row r="18" spans="1:9">
      <c r="A18" s="23" t="s">
        <v>94</v>
      </c>
      <c r="B18" s="26" t="s">
        <v>94</v>
      </c>
      <c r="C18" s="26" t="s">
        <v>327</v>
      </c>
      <c r="G18" s="1"/>
    </row>
    <row r="19" spans="1:9">
      <c r="A19" s="23" t="s">
        <v>95</v>
      </c>
      <c r="B19" s="26" t="s">
        <v>95</v>
      </c>
      <c r="C19" s="26"/>
      <c r="G19" s="1"/>
    </row>
    <row r="20" spans="1:9">
      <c r="A20" s="23" t="s">
        <v>315</v>
      </c>
      <c r="B20" s="26" t="s">
        <v>0</v>
      </c>
      <c r="C20" s="26"/>
      <c r="G20" s="1"/>
    </row>
    <row r="21" spans="1:9">
      <c r="A21" s="23" t="s">
        <v>409</v>
      </c>
      <c r="B21" s="26" t="s">
        <v>17</v>
      </c>
      <c r="C21" s="26"/>
      <c r="G21" s="1"/>
    </row>
    <row r="22" spans="1:9">
      <c r="A22" s="23" t="s">
        <v>243</v>
      </c>
      <c r="B22" s="26" t="s">
        <v>243</v>
      </c>
      <c r="C22" s="26"/>
      <c r="G22" s="1"/>
    </row>
    <row r="23" spans="1:9">
      <c r="A23" s="1" t="s">
        <v>262</v>
      </c>
      <c r="B23" s="1" t="s">
        <v>134</v>
      </c>
      <c r="C23" s="1" t="s">
        <v>300</v>
      </c>
    </row>
    <row r="24" spans="1:9">
      <c r="A24" s="1" t="s">
        <v>10</v>
      </c>
      <c r="B24" s="1" t="s">
        <v>10</v>
      </c>
      <c r="C24" s="1" t="s">
        <v>301</v>
      </c>
    </row>
    <row r="25" spans="1:9">
      <c r="A25" s="1" t="s">
        <v>0</v>
      </c>
      <c r="B25" s="1" t="s">
        <v>0</v>
      </c>
      <c r="C25" s="1" t="s">
        <v>306</v>
      </c>
    </row>
    <row r="26" spans="1:9">
      <c r="A26" s="1" t="s">
        <v>86</v>
      </c>
      <c r="B26" s="1" t="s">
        <v>86</v>
      </c>
      <c r="C26" s="1" t="s">
        <v>361</v>
      </c>
    </row>
    <row r="27" spans="1:9">
      <c r="A27" s="1" t="s">
        <v>97</v>
      </c>
      <c r="B27" s="1" t="s">
        <v>97</v>
      </c>
      <c r="G27" s="1"/>
      <c r="I27" s="1"/>
    </row>
    <row r="28" spans="1:9">
      <c r="A28" s="1" t="s">
        <v>16</v>
      </c>
      <c r="B28" s="1" t="s">
        <v>20</v>
      </c>
      <c r="G28" s="1"/>
      <c r="I28" s="1"/>
    </row>
    <row r="29" spans="1:9">
      <c r="A29" s="1" t="s">
        <v>15</v>
      </c>
      <c r="B29" s="1" t="s">
        <v>17</v>
      </c>
      <c r="G29" s="1"/>
    </row>
    <row r="30" spans="1:9">
      <c r="A30" s="1" t="s">
        <v>8</v>
      </c>
      <c r="B30" s="1" t="s">
        <v>8</v>
      </c>
      <c r="G30" s="1"/>
    </row>
    <row r="31" spans="1:9">
      <c r="A31" s="1" t="s">
        <v>142</v>
      </c>
      <c r="B31" s="1" t="s">
        <v>17</v>
      </c>
      <c r="G31" s="1"/>
    </row>
    <row r="32" spans="1:9">
      <c r="A32" s="1" t="s">
        <v>1</v>
      </c>
      <c r="B32" s="1" t="s">
        <v>1</v>
      </c>
      <c r="G32" s="1"/>
    </row>
    <row r="33" spans="1:7">
      <c r="A33" s="1" t="s">
        <v>317</v>
      </c>
      <c r="B33" s="1" t="s">
        <v>316</v>
      </c>
      <c r="G33" s="1"/>
    </row>
    <row r="35" spans="1:7">
      <c r="A35" s="30" t="s">
        <v>505</v>
      </c>
      <c r="B35" s="30" t="s">
        <v>498</v>
      </c>
      <c r="C35" s="2" t="s">
        <v>3241</v>
      </c>
      <c r="D35" s="30" t="s">
        <v>145</v>
      </c>
      <c r="E35" s="30"/>
      <c r="F35" s="30"/>
    </row>
    <row r="36" spans="1:7">
      <c r="A36" s="1" t="s">
        <v>504</v>
      </c>
      <c r="B36" s="1" t="s">
        <v>317</v>
      </c>
      <c r="C36" s="1" t="s">
        <v>322</v>
      </c>
    </row>
    <row r="37" spans="1:7">
      <c r="A37" s="1" t="s">
        <v>508</v>
      </c>
      <c r="C37" s="1" t="s">
        <v>322</v>
      </c>
    </row>
    <row r="38" spans="1:7">
      <c r="A38" s="1" t="s">
        <v>3279</v>
      </c>
      <c r="B38" s="1" t="s">
        <v>97</v>
      </c>
      <c r="C38" s="1" t="s">
        <v>333</v>
      </c>
    </row>
    <row r="40" spans="1:7">
      <c r="A40" s="30" t="s">
        <v>140</v>
      </c>
      <c r="B40" s="30" t="s">
        <v>298</v>
      </c>
      <c r="C40" s="30" t="s">
        <v>297</v>
      </c>
      <c r="D40" s="30" t="s">
        <v>296</v>
      </c>
      <c r="E40" s="30" t="s">
        <v>384</v>
      </c>
      <c r="F40" s="30" t="s">
        <v>668</v>
      </c>
      <c r="G40" s="30" t="s">
        <v>703</v>
      </c>
    </row>
    <row r="41" spans="1:7">
      <c r="A41" s="1" t="s">
        <v>286</v>
      </c>
      <c r="B41" s="1" t="s">
        <v>312</v>
      </c>
      <c r="C41" s="1" t="s">
        <v>409</v>
      </c>
      <c r="D41" s="1" t="s">
        <v>302</v>
      </c>
      <c r="E41" s="1" t="s">
        <v>317</v>
      </c>
      <c r="F41" s="1" t="s">
        <v>670</v>
      </c>
    </row>
    <row r="42" spans="1:7">
      <c r="A42" s="1" t="s">
        <v>287</v>
      </c>
      <c r="B42" s="1" t="s">
        <v>309</v>
      </c>
      <c r="D42" s="1" t="s">
        <v>303</v>
      </c>
      <c r="E42" s="1" t="s">
        <v>317</v>
      </c>
      <c r="F42" s="1" t="s">
        <v>670</v>
      </c>
      <c r="G42" s="3" t="s">
        <v>0</v>
      </c>
    </row>
    <row r="43" spans="1:7">
      <c r="A43" s="1" t="s">
        <v>10</v>
      </c>
      <c r="B43" s="1" t="s">
        <v>308</v>
      </c>
      <c r="C43" s="1" t="s">
        <v>262</v>
      </c>
      <c r="D43" s="1" t="s">
        <v>304</v>
      </c>
      <c r="E43" s="1" t="s">
        <v>317</v>
      </c>
      <c r="F43" s="1" t="s">
        <v>670</v>
      </c>
      <c r="G43" s="3" t="s">
        <v>0</v>
      </c>
    </row>
    <row r="44" spans="1:7">
      <c r="A44" s="1" t="s">
        <v>86</v>
      </c>
      <c r="B44" s="1" t="s">
        <v>310</v>
      </c>
      <c r="C44" s="1" t="s">
        <v>307</v>
      </c>
      <c r="D44" s="1" t="s">
        <v>305</v>
      </c>
      <c r="E44" s="1" t="s">
        <v>317</v>
      </c>
      <c r="F44" s="1" t="s">
        <v>670</v>
      </c>
      <c r="G44" s="3" t="s">
        <v>0</v>
      </c>
    </row>
    <row r="45" spans="1:7">
      <c r="A45" s="1" t="s">
        <v>97</v>
      </c>
      <c r="B45" s="1" t="s">
        <v>311</v>
      </c>
      <c r="C45" s="1" t="s">
        <v>313</v>
      </c>
      <c r="D45" s="1" t="s">
        <v>302</v>
      </c>
      <c r="E45" s="1" t="s">
        <v>317</v>
      </c>
      <c r="F45" s="1" t="s">
        <v>670</v>
      </c>
      <c r="G45" s="3" t="s">
        <v>0</v>
      </c>
    </row>
    <row r="47" spans="1:7">
      <c r="A47" s="30" t="s">
        <v>141</v>
      </c>
      <c r="B47" s="30" t="s">
        <v>292</v>
      </c>
      <c r="C47" s="30" t="s">
        <v>145</v>
      </c>
      <c r="D47" s="30"/>
      <c r="E47" s="30"/>
    </row>
    <row r="48" spans="1:7">
      <c r="A48" s="1" t="s">
        <v>8</v>
      </c>
      <c r="B48" s="1" t="s">
        <v>293</v>
      </c>
      <c r="C48" s="1" t="s">
        <v>314</v>
      </c>
    </row>
    <row r="49" spans="1:9">
      <c r="A49" s="1" t="s">
        <v>1</v>
      </c>
      <c r="B49" s="1" t="s">
        <v>293</v>
      </c>
    </row>
    <row r="50" spans="1:9">
      <c r="A50" s="1" t="s">
        <v>142</v>
      </c>
      <c r="B50" s="1" t="s">
        <v>294</v>
      </c>
    </row>
    <row r="52" spans="1:9">
      <c r="A52" s="30" t="s">
        <v>18</v>
      </c>
      <c r="B52" s="30" t="s">
        <v>113</v>
      </c>
      <c r="C52" s="30" t="s">
        <v>11</v>
      </c>
      <c r="D52" s="30"/>
      <c r="E52" s="30"/>
    </row>
    <row r="53" spans="1:9">
      <c r="A53" s="1" t="s">
        <v>15</v>
      </c>
      <c r="B53" s="1" t="s">
        <v>17</v>
      </c>
      <c r="C53" s="1" t="s">
        <v>114</v>
      </c>
    </row>
    <row r="54" spans="1:9">
      <c r="A54" s="1" t="s">
        <v>16</v>
      </c>
      <c r="B54" s="1" t="s">
        <v>87</v>
      </c>
      <c r="C54" s="1" t="s">
        <v>115</v>
      </c>
    </row>
    <row r="56" spans="1:9">
      <c r="A56" s="30" t="s">
        <v>325</v>
      </c>
      <c r="B56" s="30" t="s">
        <v>324</v>
      </c>
      <c r="C56" s="30" t="s">
        <v>330</v>
      </c>
      <c r="D56" s="30" t="s">
        <v>145</v>
      </c>
      <c r="E56" s="30"/>
      <c r="G56" s="25" t="s">
        <v>328</v>
      </c>
      <c r="H56" s="25"/>
    </row>
    <row r="57" spans="1:9">
      <c r="A57" s="23" t="s">
        <v>242</v>
      </c>
      <c r="B57" s="27">
        <v>2</v>
      </c>
      <c r="C57" s="1" t="s">
        <v>333</v>
      </c>
      <c r="D57" s="1" t="s">
        <v>326</v>
      </c>
      <c r="G57" s="73">
        <v>1</v>
      </c>
      <c r="H57" s="73">
        <v>11</v>
      </c>
      <c r="I57" s="90">
        <v>9</v>
      </c>
    </row>
    <row r="58" spans="1:9" ht="11.25" customHeight="1">
      <c r="A58" s="23" t="s">
        <v>334</v>
      </c>
      <c r="B58" s="27">
        <v>4</v>
      </c>
      <c r="C58" s="1" t="s">
        <v>322</v>
      </c>
      <c r="D58" s="1" t="s">
        <v>331</v>
      </c>
      <c r="G58" s="73">
        <v>2</v>
      </c>
      <c r="H58" s="89">
        <v>3</v>
      </c>
      <c r="I58" s="91"/>
    </row>
    <row r="59" spans="1:9" ht="11.25" customHeight="1">
      <c r="A59" s="23" t="s">
        <v>335</v>
      </c>
      <c r="B59" s="27">
        <v>3</v>
      </c>
      <c r="C59" s="1" t="s">
        <v>333</v>
      </c>
      <c r="D59" s="1" t="s">
        <v>329</v>
      </c>
      <c r="G59" s="73">
        <v>4</v>
      </c>
      <c r="H59" s="89"/>
      <c r="I59" s="91"/>
    </row>
    <row r="60" spans="1:9" ht="11.25" customHeight="1">
      <c r="A60" s="23" t="s">
        <v>336</v>
      </c>
      <c r="B60" s="27">
        <v>5</v>
      </c>
      <c r="C60" s="1" t="s">
        <v>333</v>
      </c>
      <c r="G60" s="89">
        <v>5</v>
      </c>
      <c r="H60" s="89"/>
      <c r="I60" s="91"/>
    </row>
    <row r="61" spans="1:9" ht="11.25" customHeight="1">
      <c r="A61" s="23" t="s">
        <v>337</v>
      </c>
      <c r="B61" s="27">
        <v>6</v>
      </c>
      <c r="C61" s="1" t="s">
        <v>333</v>
      </c>
      <c r="D61" s="1" t="s">
        <v>332</v>
      </c>
      <c r="G61" s="89">
        <v>6</v>
      </c>
      <c r="H61" s="89"/>
      <c r="I61" s="91"/>
    </row>
    <row r="62" spans="1:9" ht="11.25" customHeight="1">
      <c r="A62" s="23" t="s">
        <v>338</v>
      </c>
      <c r="B62" s="27">
        <v>7</v>
      </c>
      <c r="C62" s="1" t="s">
        <v>333</v>
      </c>
      <c r="G62" s="89">
        <v>7</v>
      </c>
      <c r="H62" s="89"/>
      <c r="I62" s="92"/>
    </row>
    <row r="63" spans="1:9" ht="11.25" customHeight="1">
      <c r="A63" s="23" t="s">
        <v>339</v>
      </c>
      <c r="B63" s="27">
        <v>8</v>
      </c>
      <c r="C63" s="1" t="s">
        <v>333</v>
      </c>
      <c r="G63" s="89">
        <v>8</v>
      </c>
      <c r="H63" s="89"/>
      <c r="I63" s="75">
        <v>10</v>
      </c>
    </row>
    <row r="64" spans="1:9">
      <c r="A64" s="23" t="s">
        <v>241</v>
      </c>
      <c r="B64" s="27">
        <v>1</v>
      </c>
      <c r="C64" s="1" t="s">
        <v>333</v>
      </c>
      <c r="E64" s="28"/>
      <c r="F64" s="28"/>
    </row>
    <row r="65" spans="1:14">
      <c r="A65" s="23" t="s">
        <v>510</v>
      </c>
      <c r="B65" s="27">
        <v>11</v>
      </c>
      <c r="C65" s="1" t="s">
        <v>333</v>
      </c>
      <c r="E65" s="28"/>
      <c r="F65" s="28"/>
    </row>
    <row r="66" spans="1:14" s="5" customFormat="1">
      <c r="A66" s="23" t="s">
        <v>702</v>
      </c>
      <c r="B66" s="27">
        <v>9</v>
      </c>
      <c r="C66" s="1" t="s">
        <v>333</v>
      </c>
      <c r="D66" s="1"/>
      <c r="E66" s="28"/>
      <c r="F66" s="28"/>
      <c r="G66" s="3"/>
      <c r="H66" s="1"/>
      <c r="J66" s="1"/>
      <c r="L66" s="1"/>
      <c r="M66" s="1"/>
      <c r="N66" s="1"/>
    </row>
    <row r="68" spans="1:14">
      <c r="A68" s="30" t="s">
        <v>410</v>
      </c>
      <c r="B68" s="30" t="s">
        <v>418</v>
      </c>
      <c r="C68" s="30"/>
      <c r="D68" s="30"/>
      <c r="E68" s="30"/>
    </row>
    <row r="69" spans="1:14">
      <c r="A69" s="1" t="s">
        <v>134</v>
      </c>
      <c r="B69" s="1" t="s">
        <v>156</v>
      </c>
    </row>
    <row r="70" spans="1:14">
      <c r="A70" s="1" t="s">
        <v>295</v>
      </c>
      <c r="B70" s="1" t="s">
        <v>156</v>
      </c>
    </row>
    <row r="71" spans="1:14">
      <c r="A71" s="1" t="s">
        <v>0</v>
      </c>
      <c r="B71" s="1" t="s">
        <v>156</v>
      </c>
    </row>
    <row r="72" spans="1:14">
      <c r="A72" s="1" t="s">
        <v>86</v>
      </c>
      <c r="B72" s="1" t="s">
        <v>156</v>
      </c>
    </row>
    <row r="73" spans="1:14">
      <c r="A73" s="1" t="s">
        <v>97</v>
      </c>
      <c r="B73" s="1" t="s">
        <v>156</v>
      </c>
      <c r="G73" s="1"/>
      <c r="I73" s="1"/>
    </row>
    <row r="74" spans="1:14">
      <c r="A74" s="1" t="s">
        <v>20</v>
      </c>
      <c r="B74" s="1" t="s">
        <v>156</v>
      </c>
      <c r="G74" s="1"/>
      <c r="I74" s="1"/>
    </row>
    <row r="75" spans="1:14">
      <c r="A75" s="1" t="s">
        <v>94</v>
      </c>
      <c r="B75" s="1" t="s">
        <v>156</v>
      </c>
      <c r="G75" s="1"/>
    </row>
    <row r="76" spans="1:14">
      <c r="A76" s="1" t="s">
        <v>95</v>
      </c>
      <c r="B76" s="1" t="s">
        <v>156</v>
      </c>
      <c r="G76" s="1"/>
    </row>
    <row r="77" spans="1:14">
      <c r="A77" s="1" t="s">
        <v>243</v>
      </c>
      <c r="B77" s="1" t="s">
        <v>156</v>
      </c>
      <c r="G77" s="1"/>
    </row>
    <row r="78" spans="1:14">
      <c r="A78" s="1" t="s">
        <v>316</v>
      </c>
      <c r="B78" s="1" t="s">
        <v>156</v>
      </c>
      <c r="G78" s="1"/>
    </row>
    <row r="79" spans="1:14" ht="12.75" customHeight="1">
      <c r="G79" s="1"/>
    </row>
    <row r="80" spans="1:14">
      <c r="A80" s="30" t="s">
        <v>147</v>
      </c>
      <c r="B80" s="30" t="s">
        <v>146</v>
      </c>
      <c r="C80" s="30" t="s">
        <v>153</v>
      </c>
      <c r="D80" s="30" t="s">
        <v>145</v>
      </c>
      <c r="E80" s="30"/>
    </row>
    <row r="81" spans="1:7">
      <c r="A81" s="33" t="s">
        <v>156</v>
      </c>
      <c r="B81" s="1" t="s">
        <v>148</v>
      </c>
      <c r="C81" s="1" t="s">
        <v>17</v>
      </c>
      <c r="D81" s="1" t="s">
        <v>151</v>
      </c>
    </row>
    <row r="82" spans="1:7">
      <c r="A82" s="33" t="s">
        <v>149</v>
      </c>
      <c r="B82" s="1" t="s">
        <v>150</v>
      </c>
      <c r="D82" s="1" t="s">
        <v>152</v>
      </c>
    </row>
    <row r="83" spans="1:7">
      <c r="A83" s="33" t="s">
        <v>153</v>
      </c>
      <c r="B83" s="1" t="s">
        <v>154</v>
      </c>
      <c r="D83" s="1" t="s">
        <v>155</v>
      </c>
    </row>
    <row r="85" spans="1:7">
      <c r="A85" s="30" t="s">
        <v>408</v>
      </c>
      <c r="B85" s="30" t="s">
        <v>262</v>
      </c>
      <c r="C85" s="30" t="s">
        <v>11</v>
      </c>
      <c r="D85" s="30"/>
      <c r="E85" s="30"/>
    </row>
    <row r="86" spans="1:7">
      <c r="A86" s="23" t="s">
        <v>269</v>
      </c>
      <c r="B86" s="7" t="s">
        <v>660</v>
      </c>
      <c r="C86" s="29" t="s">
        <v>319</v>
      </c>
    </row>
    <row r="87" spans="1:7" ht="24" customHeight="1">
      <c r="A87" s="23" t="s">
        <v>266</v>
      </c>
      <c r="B87" s="12" t="s">
        <v>3281</v>
      </c>
      <c r="C87" s="29" t="s">
        <v>320</v>
      </c>
    </row>
    <row r="88" spans="1:7" ht="15" customHeight="1">
      <c r="A88" s="23" t="s">
        <v>321</v>
      </c>
      <c r="B88" s="24" t="s">
        <v>836</v>
      </c>
      <c r="C88" s="29" t="s">
        <v>267</v>
      </c>
      <c r="G88" s="20"/>
    </row>
    <row r="89" spans="1:7" ht="15" customHeight="1">
      <c r="A89" s="35"/>
      <c r="B89" s="36"/>
      <c r="C89" s="29"/>
      <c r="G89" s="20"/>
    </row>
    <row r="94" spans="1:7">
      <c r="C94" s="1" t="s">
        <v>662</v>
      </c>
    </row>
    <row r="95" spans="1:7" ht="15">
      <c r="C95" s="21" t="s">
        <v>661</v>
      </c>
    </row>
  </sheetData>
  <mergeCells count="6">
    <mergeCell ref="I57:I62"/>
    <mergeCell ref="G63:H63"/>
    <mergeCell ref="H58:H59"/>
    <mergeCell ref="G60:H60"/>
    <mergeCell ref="G61:H61"/>
    <mergeCell ref="G62:H62"/>
  </mergeCells>
  <dataValidations count="10">
    <dataValidation type="list" allowBlank="1" showInputMessage="1" showErrorMessage="1" sqref="C57:C66">
      <formula1>"yes,no"</formula1>
    </dataValidation>
    <dataValidation type="list" allowBlank="1" showInputMessage="1" showErrorMessage="1" sqref="B51">
      <formula1>"sum,count"</formula1>
    </dataValidation>
    <dataValidation type="list" allowBlank="1" showInputMessage="1" showErrorMessage="1" sqref="B48:B50">
      <formula1>"sum,count,average,min,max"</formula1>
    </dataValidation>
    <dataValidation type="decimal" operator="greaterThan" allowBlank="1" showInputMessage="1" showErrorMessage="1" sqref="B16 B5:B10 B12">
      <formula1>0</formula1>
    </dataValidation>
    <dataValidation type="decimal" allowBlank="1" showInputMessage="1" showErrorMessage="1" sqref="B4">
      <formula1>0</formula1>
      <formula2>180</formula2>
    </dataValidation>
    <dataValidation type="list" allowBlank="1" showInputMessage="1" showErrorMessage="1" sqref="B3">
      <formula1>"google maps,google earth"</formula1>
    </dataValidation>
    <dataValidation type="list" allowBlank="1" showInputMessage="1" showErrorMessage="1" sqref="B2">
      <formula1>"default,none"</formula1>
    </dataValidation>
    <dataValidation type="list" allowBlank="1" showInputMessage="1" showErrorMessage="1" sqref="F41:F45">
      <formula1>"barchart,orgchart,none"</formula1>
    </dataValidation>
    <dataValidation operator="greaterThan" allowBlank="1" showInputMessage="1" showErrorMessage="1" sqref="B13:B15"/>
    <dataValidation type="list" operator="greaterThan" allowBlank="1" showInputMessage="1" showErrorMessage="1" sqref="B11">
      <formula1>"yes,no"</formula1>
    </dataValidation>
  </dataValidations>
  <hyperlinks>
    <hyperlink ref="C95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6"/>
  <dimension ref="A1:N103"/>
  <sheetViews>
    <sheetView topLeftCell="A34" workbookViewId="0">
      <selection activeCell="C39" sqref="C39"/>
    </sheetView>
  </sheetViews>
  <sheetFormatPr defaultColWidth="9.140625" defaultRowHeight="11.25"/>
  <cols>
    <col min="1" max="1" width="14.85546875" style="1" customWidth="1"/>
    <col min="2" max="2" width="30.85546875" style="1" customWidth="1"/>
    <col min="3" max="3" width="20.5703125" style="1" customWidth="1"/>
    <col min="4" max="4" width="16.42578125" style="1" customWidth="1"/>
    <col min="5" max="5" width="11.140625" style="1" customWidth="1"/>
    <col min="6" max="6" width="9.85546875" style="1" customWidth="1"/>
    <col min="7" max="7" width="10.28515625" style="3" customWidth="1"/>
    <col min="8" max="8" width="8.7109375" style="1" customWidth="1"/>
    <col min="9" max="9" width="13.140625" style="5" customWidth="1"/>
    <col min="10" max="10" width="11.85546875" style="1" customWidth="1"/>
    <col min="11" max="11" width="14.42578125" style="5" bestFit="1" customWidth="1"/>
    <col min="12" max="16384" width="9.140625" style="1"/>
  </cols>
  <sheetData>
    <row r="1" spans="1:7">
      <c r="A1" s="30" t="s">
        <v>496</v>
      </c>
      <c r="B1" s="30" t="s">
        <v>498</v>
      </c>
      <c r="C1" s="30" t="s">
        <v>497</v>
      </c>
      <c r="D1" s="30"/>
      <c r="E1" s="30"/>
      <c r="G1" s="1"/>
    </row>
    <row r="2" spans="1:7">
      <c r="A2" s="31" t="s">
        <v>323</v>
      </c>
      <c r="B2" s="31" t="s">
        <v>362</v>
      </c>
      <c r="C2" s="29"/>
    </row>
    <row r="3" spans="1:7">
      <c r="A3" s="31" t="s">
        <v>502</v>
      </c>
      <c r="B3" s="31" t="s">
        <v>659</v>
      </c>
      <c r="C3" s="29"/>
    </row>
    <row r="4" spans="1:7">
      <c r="A4" s="31" t="s">
        <v>500</v>
      </c>
      <c r="B4" s="31">
        <v>60</v>
      </c>
      <c r="C4" s="29"/>
    </row>
    <row r="5" spans="1:7">
      <c r="A5" s="31" t="s">
        <v>501</v>
      </c>
      <c r="B5" s="31">
        <v>500</v>
      </c>
      <c r="C5" s="29"/>
    </row>
    <row r="6" spans="1:7">
      <c r="A6" s="31" t="s">
        <v>609</v>
      </c>
      <c r="B6" s="31">
        <v>0.9</v>
      </c>
      <c r="C6" s="29" t="s">
        <v>616</v>
      </c>
    </row>
    <row r="7" spans="1:7">
      <c r="A7" s="31" t="s">
        <v>610</v>
      </c>
      <c r="B7" s="31">
        <v>200</v>
      </c>
      <c r="C7" s="29" t="s">
        <v>617</v>
      </c>
    </row>
    <row r="8" spans="1:7">
      <c r="A8" s="31" t="s">
        <v>611</v>
      </c>
      <c r="B8" s="31">
        <v>1</v>
      </c>
      <c r="C8" s="29" t="s">
        <v>618</v>
      </c>
    </row>
    <row r="9" spans="1:7">
      <c r="A9" s="31" t="s">
        <v>798</v>
      </c>
      <c r="B9" s="31">
        <v>80</v>
      </c>
      <c r="C9" s="29" t="s">
        <v>799</v>
      </c>
    </row>
    <row r="10" spans="1:7">
      <c r="A10" s="31" t="s">
        <v>771</v>
      </c>
      <c r="B10" s="31">
        <v>3</v>
      </c>
      <c r="C10" s="29" t="s">
        <v>772</v>
      </c>
    </row>
    <row r="11" spans="1:7">
      <c r="A11" s="31" t="s">
        <v>770</v>
      </c>
      <c r="B11" s="31" t="s">
        <v>333</v>
      </c>
      <c r="C11" s="29" t="s">
        <v>769</v>
      </c>
    </row>
    <row r="12" spans="1:7">
      <c r="A12" s="31" t="s">
        <v>803</v>
      </c>
      <c r="B12" s="31">
        <v>50</v>
      </c>
      <c r="C12" s="29" t="s">
        <v>799</v>
      </c>
    </row>
    <row r="13" spans="1:7">
      <c r="A13" s="31" t="s">
        <v>704</v>
      </c>
      <c r="B13" s="31" t="s">
        <v>802</v>
      </c>
      <c r="C13" s="29" t="s">
        <v>705</v>
      </c>
    </row>
    <row r="14" spans="1:7">
      <c r="A14" s="31" t="s">
        <v>706</v>
      </c>
      <c r="B14" s="31" t="s">
        <v>708</v>
      </c>
      <c r="C14" s="29" t="s">
        <v>707</v>
      </c>
    </row>
    <row r="15" spans="1:7">
      <c r="A15" s="31" t="s">
        <v>709</v>
      </c>
      <c r="B15" s="31">
        <v>10</v>
      </c>
      <c r="C15" s="29" t="s">
        <v>710</v>
      </c>
    </row>
    <row r="16" spans="1:7">
      <c r="A16" s="31"/>
      <c r="B16" s="31"/>
      <c r="C16" s="29"/>
    </row>
    <row r="17" spans="1:9">
      <c r="A17" s="30" t="s">
        <v>299</v>
      </c>
      <c r="B17" s="30" t="s">
        <v>288</v>
      </c>
      <c r="C17" s="30" t="s">
        <v>11</v>
      </c>
      <c r="D17" s="30"/>
      <c r="E17" s="30"/>
      <c r="G17" s="1"/>
    </row>
    <row r="18" spans="1:9">
      <c r="A18" s="23" t="s">
        <v>94</v>
      </c>
      <c r="B18" s="26" t="s">
        <v>94</v>
      </c>
      <c r="C18" s="26" t="s">
        <v>327</v>
      </c>
      <c r="G18" s="1"/>
    </row>
    <row r="19" spans="1:9">
      <c r="A19" s="23" t="s">
        <v>95</v>
      </c>
      <c r="B19" s="26" t="s">
        <v>95</v>
      </c>
      <c r="C19" s="26"/>
      <c r="G19" s="1"/>
    </row>
    <row r="20" spans="1:9">
      <c r="A20" s="23" t="s">
        <v>409</v>
      </c>
      <c r="B20" s="26" t="s">
        <v>349</v>
      </c>
      <c r="C20" s="26"/>
      <c r="G20" s="1"/>
    </row>
    <row r="21" spans="1:9">
      <c r="A21" s="23" t="s">
        <v>315</v>
      </c>
      <c r="B21" s="26" t="s">
        <v>346</v>
      </c>
      <c r="C21" s="26"/>
      <c r="G21" s="1"/>
    </row>
    <row r="22" spans="1:9">
      <c r="A22" s="23" t="s">
        <v>243</v>
      </c>
      <c r="B22" s="26" t="s">
        <v>243</v>
      </c>
      <c r="C22" s="26"/>
      <c r="G22" s="1"/>
    </row>
    <row r="23" spans="1:9">
      <c r="A23" s="1" t="s">
        <v>262</v>
      </c>
      <c r="B23" s="1" t="s">
        <v>134</v>
      </c>
      <c r="C23" s="1" t="s">
        <v>300</v>
      </c>
    </row>
    <row r="24" spans="1:9">
      <c r="A24" s="1" t="s">
        <v>10</v>
      </c>
      <c r="B24" s="1" t="s">
        <v>10</v>
      </c>
      <c r="C24" s="1" t="s">
        <v>301</v>
      </c>
    </row>
    <row r="25" spans="1:9">
      <c r="A25" s="1" t="s">
        <v>346</v>
      </c>
      <c r="B25" s="1" t="s">
        <v>346</v>
      </c>
      <c r="C25" s="1" t="s">
        <v>306</v>
      </c>
    </row>
    <row r="26" spans="1:9">
      <c r="A26" s="1" t="s">
        <v>86</v>
      </c>
      <c r="B26" s="1" t="s">
        <v>86</v>
      </c>
    </row>
    <row r="27" spans="1:9">
      <c r="A27" s="1" t="s">
        <v>97</v>
      </c>
      <c r="B27" s="1" t="s">
        <v>97</v>
      </c>
      <c r="G27" s="1"/>
      <c r="I27" s="1"/>
    </row>
    <row r="28" spans="1:9">
      <c r="A28" s="1" t="s">
        <v>16</v>
      </c>
      <c r="B28" s="1" t="s">
        <v>20</v>
      </c>
      <c r="G28" s="1"/>
      <c r="I28" s="1"/>
    </row>
    <row r="29" spans="1:9">
      <c r="A29" s="1" t="s">
        <v>402</v>
      </c>
      <c r="B29" s="1" t="s">
        <v>349</v>
      </c>
      <c r="G29" s="1"/>
      <c r="I29" s="1"/>
    </row>
    <row r="30" spans="1:9">
      <c r="A30" s="1" t="s">
        <v>15</v>
      </c>
      <c r="B30" s="1" t="s">
        <v>349</v>
      </c>
      <c r="G30" s="1"/>
    </row>
    <row r="31" spans="1:9">
      <c r="A31" s="1" t="s">
        <v>404</v>
      </c>
      <c r="B31" s="1" t="s">
        <v>342</v>
      </c>
      <c r="G31" s="1"/>
    </row>
    <row r="32" spans="1:9">
      <c r="A32" s="1" t="s">
        <v>8</v>
      </c>
      <c r="B32" s="1" t="s">
        <v>342</v>
      </c>
      <c r="G32" s="1"/>
    </row>
    <row r="33" spans="1:7">
      <c r="A33" s="1" t="s">
        <v>343</v>
      </c>
      <c r="B33" s="1" t="s">
        <v>343</v>
      </c>
      <c r="G33" s="1"/>
    </row>
    <row r="34" spans="1:7">
      <c r="A34" s="1" t="s">
        <v>345</v>
      </c>
      <c r="B34" s="1" t="s">
        <v>345</v>
      </c>
      <c r="G34" s="1"/>
    </row>
    <row r="35" spans="1:7">
      <c r="A35" s="1" t="s">
        <v>386</v>
      </c>
      <c r="B35" s="1" t="s">
        <v>387</v>
      </c>
      <c r="G35" s="1"/>
    </row>
    <row r="36" spans="1:7">
      <c r="A36" s="1" t="s">
        <v>821</v>
      </c>
      <c r="B36" s="1" t="s">
        <v>821</v>
      </c>
      <c r="G36" s="1"/>
    </row>
    <row r="37" spans="1:7">
      <c r="A37" s="1" t="s">
        <v>385</v>
      </c>
      <c r="B37" s="1" t="s">
        <v>316</v>
      </c>
      <c r="G37" s="1"/>
    </row>
    <row r="39" spans="1:7">
      <c r="A39" s="30" t="s">
        <v>505</v>
      </c>
      <c r="B39" s="30" t="s">
        <v>498</v>
      </c>
      <c r="C39" s="2" t="s">
        <v>3241</v>
      </c>
      <c r="D39" s="30" t="s">
        <v>145</v>
      </c>
      <c r="E39" s="30"/>
      <c r="F39" s="30"/>
    </row>
    <row r="40" spans="1:7">
      <c r="A40" s="1" t="s">
        <v>504</v>
      </c>
      <c r="B40" s="1" t="s">
        <v>386</v>
      </c>
      <c r="C40" s="1" t="s">
        <v>322</v>
      </c>
    </row>
    <row r="41" spans="1:7">
      <c r="A41" s="1" t="s">
        <v>508</v>
      </c>
      <c r="B41" s="1" t="s">
        <v>821</v>
      </c>
      <c r="C41" s="1" t="s">
        <v>322</v>
      </c>
    </row>
    <row r="42" spans="1:7">
      <c r="A42" s="1" t="s">
        <v>3279</v>
      </c>
      <c r="C42" s="1" t="s">
        <v>333</v>
      </c>
    </row>
    <row r="44" spans="1:7">
      <c r="A44" s="30" t="s">
        <v>140</v>
      </c>
      <c r="B44" s="30" t="s">
        <v>298</v>
      </c>
      <c r="C44" s="30" t="s">
        <v>297</v>
      </c>
      <c r="D44" s="30" t="s">
        <v>296</v>
      </c>
      <c r="E44" s="30" t="s">
        <v>384</v>
      </c>
      <c r="F44" s="30" t="s">
        <v>668</v>
      </c>
      <c r="G44" s="30" t="s">
        <v>703</v>
      </c>
    </row>
    <row r="45" spans="1:7">
      <c r="A45" s="1" t="s">
        <v>286</v>
      </c>
      <c r="B45" s="1" t="s">
        <v>425</v>
      </c>
      <c r="C45" s="1" t="s">
        <v>409</v>
      </c>
      <c r="D45" s="1" t="s">
        <v>406</v>
      </c>
      <c r="E45" s="1" t="s">
        <v>385</v>
      </c>
      <c r="F45" s="1" t="s">
        <v>670</v>
      </c>
      <c r="G45" s="3" t="s">
        <v>345</v>
      </c>
    </row>
    <row r="46" spans="1:7">
      <c r="A46" s="1" t="s">
        <v>345</v>
      </c>
      <c r="B46" s="1" t="s">
        <v>425</v>
      </c>
      <c r="C46" s="1" t="s">
        <v>345</v>
      </c>
      <c r="D46" s="1" t="s">
        <v>407</v>
      </c>
      <c r="E46" s="1" t="s">
        <v>386</v>
      </c>
      <c r="F46" s="1" t="s">
        <v>670</v>
      </c>
      <c r="G46" s="3" t="s">
        <v>345</v>
      </c>
    </row>
    <row r="47" spans="1:7">
      <c r="A47" s="1" t="s">
        <v>10</v>
      </c>
      <c r="B47" s="1" t="s">
        <v>426</v>
      </c>
      <c r="C47" s="1" t="s">
        <v>262</v>
      </c>
      <c r="D47" s="1" t="s">
        <v>406</v>
      </c>
      <c r="E47" s="1" t="s">
        <v>385</v>
      </c>
      <c r="F47" s="1" t="s">
        <v>670</v>
      </c>
      <c r="G47" s="3" t="s">
        <v>712</v>
      </c>
    </row>
    <row r="48" spans="1:7">
      <c r="A48" s="1" t="s">
        <v>97</v>
      </c>
      <c r="B48" s="1" t="s">
        <v>427</v>
      </c>
      <c r="C48" s="1" t="s">
        <v>313</v>
      </c>
      <c r="D48" s="1" t="s">
        <v>406</v>
      </c>
      <c r="E48" s="1" t="s">
        <v>385</v>
      </c>
      <c r="F48" s="1" t="s">
        <v>670</v>
      </c>
      <c r="G48" s="3" t="s">
        <v>713</v>
      </c>
    </row>
    <row r="49" spans="1:9">
      <c r="A49" s="1" t="s">
        <v>346</v>
      </c>
      <c r="B49" s="1" t="s">
        <v>428</v>
      </c>
      <c r="C49" s="1" t="s">
        <v>15</v>
      </c>
      <c r="D49" s="1" t="s">
        <v>406</v>
      </c>
      <c r="E49" s="1" t="s">
        <v>385</v>
      </c>
      <c r="F49" s="1" t="s">
        <v>670</v>
      </c>
      <c r="G49" s="3" t="s">
        <v>346</v>
      </c>
    </row>
    <row r="50" spans="1:9">
      <c r="A50" s="1" t="s">
        <v>287</v>
      </c>
      <c r="B50" s="1" t="s">
        <v>427</v>
      </c>
      <c r="D50" s="1" t="s">
        <v>405</v>
      </c>
      <c r="E50" s="1" t="s">
        <v>385</v>
      </c>
      <c r="F50" s="1" t="s">
        <v>670</v>
      </c>
      <c r="G50" s="1" t="s">
        <v>345</v>
      </c>
    </row>
    <row r="52" spans="1:9">
      <c r="A52" s="30" t="s">
        <v>141</v>
      </c>
      <c r="B52" s="30" t="s">
        <v>292</v>
      </c>
      <c r="C52" s="30" t="s">
        <v>145</v>
      </c>
      <c r="D52" s="30"/>
      <c r="E52" s="30"/>
    </row>
    <row r="53" spans="1:9">
      <c r="A53" s="1" t="s">
        <v>404</v>
      </c>
      <c r="B53" s="1" t="s">
        <v>397</v>
      </c>
      <c r="C53" s="1" t="s">
        <v>314</v>
      </c>
    </row>
    <row r="54" spans="1:9">
      <c r="A54" s="1" t="s">
        <v>402</v>
      </c>
      <c r="B54" s="1" t="s">
        <v>294</v>
      </c>
    </row>
    <row r="56" spans="1:9">
      <c r="A56" s="30" t="s">
        <v>325</v>
      </c>
      <c r="B56" s="30" t="s">
        <v>324</v>
      </c>
      <c r="C56" s="30" t="s">
        <v>330</v>
      </c>
      <c r="D56" s="30" t="s">
        <v>145</v>
      </c>
      <c r="E56" s="30"/>
      <c r="G56" s="25" t="s">
        <v>328</v>
      </c>
      <c r="H56" s="25"/>
    </row>
    <row r="57" spans="1:9">
      <c r="A57" s="23" t="s">
        <v>242</v>
      </c>
      <c r="B57" s="27">
        <v>2</v>
      </c>
      <c r="C57" s="1" t="s">
        <v>333</v>
      </c>
      <c r="D57" s="1" t="s">
        <v>326</v>
      </c>
      <c r="G57" s="73">
        <v>1</v>
      </c>
      <c r="H57" s="73">
        <v>11</v>
      </c>
      <c r="I57" s="90">
        <v>9</v>
      </c>
    </row>
    <row r="58" spans="1:9" ht="11.25" customHeight="1">
      <c r="A58" s="23" t="s">
        <v>334</v>
      </c>
      <c r="B58" s="27">
        <v>4</v>
      </c>
      <c r="C58" s="1" t="s">
        <v>322</v>
      </c>
      <c r="D58" s="1" t="s">
        <v>331</v>
      </c>
      <c r="G58" s="73">
        <v>2</v>
      </c>
      <c r="H58" s="89">
        <v>3</v>
      </c>
      <c r="I58" s="91"/>
    </row>
    <row r="59" spans="1:9" ht="11.25" customHeight="1">
      <c r="A59" s="23" t="s">
        <v>335</v>
      </c>
      <c r="B59" s="27">
        <v>3</v>
      </c>
      <c r="C59" s="1" t="s">
        <v>333</v>
      </c>
      <c r="D59" s="1" t="s">
        <v>329</v>
      </c>
      <c r="G59" s="73">
        <v>4</v>
      </c>
      <c r="H59" s="89"/>
      <c r="I59" s="91"/>
    </row>
    <row r="60" spans="1:9" ht="11.25" customHeight="1">
      <c r="A60" s="23" t="s">
        <v>336</v>
      </c>
      <c r="B60" s="27">
        <v>5</v>
      </c>
      <c r="C60" s="1" t="s">
        <v>333</v>
      </c>
      <c r="G60" s="89">
        <v>5</v>
      </c>
      <c r="H60" s="89"/>
      <c r="I60" s="91"/>
    </row>
    <row r="61" spans="1:9" ht="11.25" customHeight="1">
      <c r="A61" s="23" t="s">
        <v>337</v>
      </c>
      <c r="B61" s="27">
        <v>6</v>
      </c>
      <c r="C61" s="1" t="s">
        <v>333</v>
      </c>
      <c r="D61" s="1" t="s">
        <v>332</v>
      </c>
      <c r="G61" s="89">
        <v>6</v>
      </c>
      <c r="H61" s="89"/>
      <c r="I61" s="91"/>
    </row>
    <row r="62" spans="1:9" ht="11.25" customHeight="1">
      <c r="A62" s="23" t="s">
        <v>338</v>
      </c>
      <c r="B62" s="27">
        <v>7</v>
      </c>
      <c r="C62" s="1" t="s">
        <v>333</v>
      </c>
      <c r="G62" s="89">
        <v>7</v>
      </c>
      <c r="H62" s="89"/>
      <c r="I62" s="92"/>
    </row>
    <row r="63" spans="1:9" ht="11.25" customHeight="1">
      <c r="A63" s="23" t="s">
        <v>339</v>
      </c>
      <c r="B63" s="27">
        <v>8</v>
      </c>
      <c r="C63" s="1" t="s">
        <v>333</v>
      </c>
      <c r="G63" s="89">
        <v>8</v>
      </c>
      <c r="H63" s="89"/>
      <c r="I63" s="75">
        <v>10</v>
      </c>
    </row>
    <row r="64" spans="1:9">
      <c r="A64" s="23" t="s">
        <v>241</v>
      </c>
      <c r="B64" s="27">
        <v>1</v>
      </c>
      <c r="C64" s="1" t="s">
        <v>322</v>
      </c>
      <c r="E64" s="28"/>
      <c r="F64" s="28"/>
    </row>
    <row r="65" spans="1:14">
      <c r="A65" s="23" t="s">
        <v>510</v>
      </c>
      <c r="B65" s="27">
        <v>11</v>
      </c>
      <c r="C65" s="1" t="s">
        <v>333</v>
      </c>
      <c r="E65" s="28"/>
      <c r="F65" s="28"/>
    </row>
    <row r="66" spans="1:14" s="5" customFormat="1">
      <c r="A66" s="23" t="s">
        <v>702</v>
      </c>
      <c r="B66" s="27">
        <v>0</v>
      </c>
      <c r="C66" s="1" t="s">
        <v>333</v>
      </c>
      <c r="D66" s="1"/>
      <c r="E66" s="28"/>
      <c r="F66" s="28"/>
      <c r="G66" s="3"/>
      <c r="H66" s="1"/>
      <c r="J66" s="1"/>
      <c r="L66" s="1"/>
      <c r="M66" s="1"/>
      <c r="N66" s="1"/>
    </row>
    <row r="67" spans="1:14">
      <c r="G67" s="1"/>
      <c r="I67" s="1"/>
    </row>
    <row r="68" spans="1:14">
      <c r="A68" s="30" t="s">
        <v>410</v>
      </c>
      <c r="B68" s="30" t="s">
        <v>418</v>
      </c>
      <c r="C68" s="30" t="s">
        <v>145</v>
      </c>
      <c r="D68" s="30"/>
      <c r="E68" s="30"/>
    </row>
    <row r="69" spans="1:14">
      <c r="A69" s="1" t="s">
        <v>134</v>
      </c>
      <c r="B69" s="1" t="s">
        <v>156</v>
      </c>
      <c r="C69" s="1" t="s">
        <v>419</v>
      </c>
    </row>
    <row r="70" spans="1:14">
      <c r="A70" s="1" t="s">
        <v>295</v>
      </c>
      <c r="B70" s="1" t="s">
        <v>156</v>
      </c>
    </row>
    <row r="71" spans="1:14">
      <c r="A71" s="1" t="s">
        <v>86</v>
      </c>
      <c r="B71" s="1" t="s">
        <v>156</v>
      </c>
    </row>
    <row r="72" spans="1:14">
      <c r="A72" s="1" t="s">
        <v>97</v>
      </c>
      <c r="B72" s="1" t="s">
        <v>156</v>
      </c>
      <c r="G72" s="1"/>
      <c r="I72" s="1"/>
    </row>
    <row r="73" spans="1:14">
      <c r="A73" s="1" t="s">
        <v>346</v>
      </c>
      <c r="B73" s="1" t="s">
        <v>156</v>
      </c>
      <c r="G73" s="1"/>
      <c r="I73" s="1"/>
    </row>
    <row r="74" spans="1:14">
      <c r="A74" s="1" t="s">
        <v>20</v>
      </c>
      <c r="B74" s="1" t="s">
        <v>156</v>
      </c>
      <c r="G74" s="1"/>
      <c r="I74" s="1"/>
    </row>
    <row r="75" spans="1:14">
      <c r="A75" s="1" t="s">
        <v>94</v>
      </c>
      <c r="B75" s="1" t="s">
        <v>156</v>
      </c>
      <c r="G75" s="1"/>
    </row>
    <row r="76" spans="1:14">
      <c r="A76" s="1" t="s">
        <v>95</v>
      </c>
      <c r="B76" s="1" t="s">
        <v>156</v>
      </c>
      <c r="G76" s="1"/>
    </row>
    <row r="77" spans="1:14">
      <c r="A77" s="1" t="s">
        <v>243</v>
      </c>
      <c r="B77" s="1" t="s">
        <v>156</v>
      </c>
      <c r="G77" s="1"/>
    </row>
    <row r="78" spans="1:14">
      <c r="A78" s="1" t="s">
        <v>821</v>
      </c>
      <c r="B78" s="1" t="s">
        <v>156</v>
      </c>
      <c r="G78" s="1"/>
    </row>
    <row r="79" spans="1:14">
      <c r="A79" s="1" t="s">
        <v>316</v>
      </c>
      <c r="B79" s="1" t="s">
        <v>156</v>
      </c>
      <c r="G79" s="1"/>
    </row>
    <row r="80" spans="1:14">
      <c r="A80" s="1" t="s">
        <v>345</v>
      </c>
      <c r="B80" s="1" t="s">
        <v>413</v>
      </c>
    </row>
    <row r="81" spans="1:7">
      <c r="A81" s="1" t="s">
        <v>387</v>
      </c>
      <c r="B81" s="1" t="s">
        <v>413</v>
      </c>
    </row>
    <row r="83" spans="1:7">
      <c r="A83" s="30" t="s">
        <v>147</v>
      </c>
      <c r="B83" s="30" t="s">
        <v>146</v>
      </c>
      <c r="C83" s="30" t="s">
        <v>153</v>
      </c>
      <c r="D83" s="30" t="s">
        <v>145</v>
      </c>
      <c r="E83" s="30"/>
    </row>
    <row r="84" spans="1:7">
      <c r="A84" s="33" t="s">
        <v>156</v>
      </c>
      <c r="B84" s="1" t="s">
        <v>363</v>
      </c>
      <c r="C84" s="1" t="s">
        <v>349</v>
      </c>
      <c r="D84" s="1" t="s">
        <v>414</v>
      </c>
    </row>
    <row r="85" spans="1:7">
      <c r="A85" s="33" t="s">
        <v>149</v>
      </c>
      <c r="B85" s="1" t="s">
        <v>364</v>
      </c>
      <c r="D85" s="1" t="s">
        <v>415</v>
      </c>
    </row>
    <row r="86" spans="1:7">
      <c r="A86" s="33" t="s">
        <v>153</v>
      </c>
      <c r="B86" s="1" t="s">
        <v>365</v>
      </c>
      <c r="D86" s="1" t="s">
        <v>416</v>
      </c>
    </row>
    <row r="87" spans="1:7">
      <c r="A87" s="33" t="s">
        <v>413</v>
      </c>
      <c r="B87" s="1" t="s">
        <v>411</v>
      </c>
      <c r="C87" s="1" t="s">
        <v>412</v>
      </c>
      <c r="D87" s="1" t="s">
        <v>417</v>
      </c>
    </row>
    <row r="89" spans="1:7">
      <c r="A89" s="30" t="s">
        <v>408</v>
      </c>
      <c r="B89" s="30" t="s">
        <v>262</v>
      </c>
      <c r="C89" s="30" t="s">
        <v>11</v>
      </c>
      <c r="D89" s="30"/>
      <c r="E89" s="30"/>
    </row>
    <row r="90" spans="1:7">
      <c r="A90" s="23" t="s">
        <v>269</v>
      </c>
      <c r="B90" s="7" t="s">
        <v>511</v>
      </c>
      <c r="C90" s="29" t="s">
        <v>319</v>
      </c>
    </row>
    <row r="91" spans="1:7" ht="24" customHeight="1">
      <c r="A91" s="23" t="s">
        <v>266</v>
      </c>
      <c r="B91" s="12" t="s">
        <v>3281</v>
      </c>
      <c r="C91" s="29" t="s">
        <v>320</v>
      </c>
    </row>
    <row r="92" spans="1:7" ht="15" customHeight="1">
      <c r="A92" s="23" t="s">
        <v>321</v>
      </c>
      <c r="B92" s="24" t="s">
        <v>836</v>
      </c>
      <c r="C92" s="29" t="s">
        <v>267</v>
      </c>
      <c r="G92" s="20"/>
    </row>
    <row r="94" spans="1:7">
      <c r="A94" s="30" t="s">
        <v>18</v>
      </c>
      <c r="B94" s="30" t="s">
        <v>113</v>
      </c>
      <c r="C94" s="30" t="s">
        <v>11</v>
      </c>
      <c r="D94" s="30"/>
      <c r="E94" s="30"/>
    </row>
    <row r="95" spans="1:7">
      <c r="A95" s="1" t="s">
        <v>15</v>
      </c>
      <c r="B95" s="1" t="s">
        <v>349</v>
      </c>
      <c r="C95" s="1" t="s">
        <v>114</v>
      </c>
    </row>
    <row r="96" spans="1:7">
      <c r="A96" s="1" t="s">
        <v>16</v>
      </c>
      <c r="B96" s="1" t="s">
        <v>87</v>
      </c>
      <c r="C96" s="1" t="s">
        <v>115</v>
      </c>
    </row>
    <row r="102" spans="3:3">
      <c r="C102" s="1" t="s">
        <v>662</v>
      </c>
    </row>
    <row r="103" spans="3:3" ht="15">
      <c r="C103" s="21" t="s">
        <v>661</v>
      </c>
    </row>
  </sheetData>
  <mergeCells count="6">
    <mergeCell ref="I57:I62"/>
    <mergeCell ref="G63:H63"/>
    <mergeCell ref="H58:H59"/>
    <mergeCell ref="G60:H60"/>
    <mergeCell ref="G61:H61"/>
    <mergeCell ref="G62:H62"/>
  </mergeCells>
  <dataValidations count="9">
    <dataValidation type="list" allowBlank="1" showInputMessage="1" showErrorMessage="1" sqref="C57:C66">
      <formula1>"yes,no"</formula1>
    </dataValidation>
    <dataValidation type="list" allowBlank="1" showInputMessage="1" showErrorMessage="1" sqref="B53:B54">
      <formula1>"sum,count,average,min,max"</formula1>
    </dataValidation>
    <dataValidation type="list" allowBlank="1" showInputMessage="1" showErrorMessage="1" sqref="B2">
      <formula1>"default,none"</formula1>
    </dataValidation>
    <dataValidation type="list" allowBlank="1" showInputMessage="1" showErrorMessage="1" sqref="B3">
      <formula1>"google maps,google earth"</formula1>
    </dataValidation>
    <dataValidation type="decimal" allowBlank="1" showInputMessage="1" showErrorMessage="1" sqref="B4">
      <formula1>0</formula1>
      <formula2>180</formula2>
    </dataValidation>
    <dataValidation type="decimal" operator="greaterThan" allowBlank="1" showInputMessage="1" showErrorMessage="1" sqref="B16 B5:B10 B12">
      <formula1>0</formula1>
    </dataValidation>
    <dataValidation type="list" allowBlank="1" showInputMessage="1" showErrorMessage="1" sqref="F45:F50">
      <formula1>"barchart,orgchart,none"</formula1>
    </dataValidation>
    <dataValidation operator="greaterThan" allowBlank="1" showInputMessage="1" showErrorMessage="1" sqref="B13:B15"/>
    <dataValidation type="list" operator="greaterThan" allowBlank="1" showInputMessage="1" showErrorMessage="1" sqref="B11">
      <formula1>"yes,no"</formula1>
    </dataValidation>
  </dataValidations>
  <hyperlinks>
    <hyperlink ref="C103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9"/>
  <dimension ref="A1:N128"/>
  <sheetViews>
    <sheetView topLeftCell="A10" workbookViewId="0">
      <selection activeCell="B30" sqref="B30"/>
    </sheetView>
  </sheetViews>
  <sheetFormatPr defaultColWidth="9.140625" defaultRowHeight="11.25"/>
  <cols>
    <col min="1" max="1" width="14.85546875" style="1" customWidth="1"/>
    <col min="2" max="2" width="30.85546875" style="1" customWidth="1"/>
    <col min="3" max="3" width="20.5703125" style="1" customWidth="1"/>
    <col min="4" max="4" width="41.85546875" style="1" customWidth="1"/>
    <col min="5" max="5" width="10.7109375" style="1" customWidth="1"/>
    <col min="6" max="6" width="8.5703125" style="1" customWidth="1"/>
    <col min="7" max="7" width="10.28515625" style="3" customWidth="1"/>
    <col min="8" max="8" width="8.7109375" style="1" customWidth="1"/>
    <col min="9" max="9" width="13.5703125" style="5" customWidth="1"/>
    <col min="10" max="10" width="11.85546875" style="1" customWidth="1"/>
    <col min="11" max="11" width="14.42578125" style="5" bestFit="1" customWidth="1"/>
    <col min="12" max="16384" width="9.140625" style="1"/>
  </cols>
  <sheetData>
    <row r="1" spans="1:7">
      <c r="A1" s="30" t="s">
        <v>496</v>
      </c>
      <c r="B1" s="30" t="s">
        <v>498</v>
      </c>
      <c r="C1" s="30" t="s">
        <v>497</v>
      </c>
      <c r="D1" s="30"/>
      <c r="E1" s="30"/>
      <c r="G1" s="1"/>
    </row>
    <row r="2" spans="1:7">
      <c r="A2" s="31" t="s">
        <v>323</v>
      </c>
      <c r="B2" s="31" t="s">
        <v>362</v>
      </c>
      <c r="C2" s="29"/>
    </row>
    <row r="3" spans="1:7">
      <c r="A3" s="31" t="s">
        <v>502</v>
      </c>
      <c r="B3" s="31" t="s">
        <v>503</v>
      </c>
      <c r="C3" s="29"/>
    </row>
    <row r="4" spans="1:7">
      <c r="A4" s="31" t="s">
        <v>500</v>
      </c>
      <c r="B4" s="31">
        <v>60</v>
      </c>
      <c r="C4" s="29"/>
    </row>
    <row r="5" spans="1:7">
      <c r="A5" s="31" t="s">
        <v>501</v>
      </c>
      <c r="B5" s="31">
        <v>500</v>
      </c>
      <c r="C5" s="29"/>
    </row>
    <row r="6" spans="1:7">
      <c r="A6" s="31" t="s">
        <v>609</v>
      </c>
      <c r="B6" s="31">
        <v>0.9</v>
      </c>
      <c r="C6" s="29" t="s">
        <v>616</v>
      </c>
    </row>
    <row r="7" spans="1:7">
      <c r="A7" s="31" t="s">
        <v>610</v>
      </c>
      <c r="B7" s="31">
        <v>200</v>
      </c>
      <c r="C7" s="29" t="s">
        <v>617</v>
      </c>
    </row>
    <row r="8" spans="1:7">
      <c r="A8" s="31" t="s">
        <v>611</v>
      </c>
      <c r="B8" s="31">
        <v>1</v>
      </c>
      <c r="C8" s="29" t="s">
        <v>618</v>
      </c>
    </row>
    <row r="9" spans="1:7">
      <c r="A9" s="31" t="s">
        <v>798</v>
      </c>
      <c r="B9" s="31">
        <v>80</v>
      </c>
      <c r="C9" s="29" t="s">
        <v>799</v>
      </c>
    </row>
    <row r="10" spans="1:7">
      <c r="A10" s="31" t="s">
        <v>771</v>
      </c>
      <c r="B10" s="31">
        <v>3</v>
      </c>
      <c r="C10" s="29" t="s">
        <v>772</v>
      </c>
    </row>
    <row r="11" spans="1:7">
      <c r="A11" s="31" t="s">
        <v>770</v>
      </c>
      <c r="B11" s="31" t="s">
        <v>333</v>
      </c>
      <c r="C11" s="29" t="s">
        <v>769</v>
      </c>
    </row>
    <row r="12" spans="1:7">
      <c r="A12" s="31" t="s">
        <v>803</v>
      </c>
      <c r="B12" s="31">
        <v>50</v>
      </c>
      <c r="C12" s="29" t="s">
        <v>799</v>
      </c>
    </row>
    <row r="13" spans="1:7">
      <c r="A13" s="31" t="s">
        <v>704</v>
      </c>
      <c r="B13" s="31" t="s">
        <v>802</v>
      </c>
      <c r="C13" s="29" t="s">
        <v>705</v>
      </c>
    </row>
    <row r="14" spans="1:7">
      <c r="A14" s="31" t="s">
        <v>706</v>
      </c>
      <c r="B14" s="31" t="s">
        <v>708</v>
      </c>
      <c r="C14" s="29" t="s">
        <v>707</v>
      </c>
    </row>
    <row r="15" spans="1:7">
      <c r="A15" s="31" t="s">
        <v>709</v>
      </c>
      <c r="B15" s="31">
        <v>10</v>
      </c>
      <c r="C15" s="29" t="s">
        <v>710</v>
      </c>
    </row>
    <row r="16" spans="1:7">
      <c r="A16" s="31"/>
      <c r="B16" s="31"/>
      <c r="C16" s="29"/>
    </row>
    <row r="17" spans="1:14">
      <c r="A17" s="30" t="s">
        <v>299</v>
      </c>
      <c r="B17" s="30" t="s">
        <v>288</v>
      </c>
      <c r="C17" s="30" t="s">
        <v>11</v>
      </c>
      <c r="D17" s="30"/>
      <c r="E17" s="30"/>
      <c r="G17" s="1"/>
    </row>
    <row r="18" spans="1:14">
      <c r="A18" s="23" t="s">
        <v>94</v>
      </c>
      <c r="B18" s="26" t="s">
        <v>94</v>
      </c>
      <c r="C18" s="26" t="s">
        <v>327</v>
      </c>
      <c r="G18" s="1"/>
    </row>
    <row r="19" spans="1:14">
      <c r="A19" s="23" t="s">
        <v>95</v>
      </c>
      <c r="B19" s="26" t="s">
        <v>95</v>
      </c>
      <c r="C19" s="26"/>
      <c r="G19" s="1"/>
    </row>
    <row r="20" spans="1:14">
      <c r="A20" s="23" t="s">
        <v>315</v>
      </c>
      <c r="B20" s="26" t="s">
        <v>433</v>
      </c>
      <c r="C20" s="26"/>
      <c r="G20" s="1"/>
    </row>
    <row r="21" spans="1:14">
      <c r="A21" s="23" t="s">
        <v>409</v>
      </c>
      <c r="B21" s="26" t="s">
        <v>434</v>
      </c>
      <c r="C21" s="26"/>
      <c r="G21" s="1"/>
    </row>
    <row r="22" spans="1:14">
      <c r="A22" s="23" t="s">
        <v>243</v>
      </c>
      <c r="B22" s="26" t="s">
        <v>243</v>
      </c>
      <c r="C22" s="26"/>
      <c r="G22" s="1"/>
    </row>
    <row r="23" spans="1:14">
      <c r="A23" s="1" t="s">
        <v>134</v>
      </c>
      <c r="B23" s="1" t="s">
        <v>134</v>
      </c>
      <c r="C23" s="1" t="s">
        <v>300</v>
      </c>
    </row>
    <row r="24" spans="1:14">
      <c r="A24" s="1" t="str">
        <f t="shared" ref="A24:A30" si="0">B24</f>
        <v>Country</v>
      </c>
      <c r="B24" s="1" t="s">
        <v>10</v>
      </c>
      <c r="C24" s="1" t="s">
        <v>301</v>
      </c>
    </row>
    <row r="25" spans="1:14">
      <c r="A25" s="1" t="str">
        <f t="shared" si="0"/>
        <v>Build Cost</v>
      </c>
      <c r="B25" s="1" t="s">
        <v>435</v>
      </c>
    </row>
    <row r="26" spans="1:14">
      <c r="A26" s="1" t="str">
        <f t="shared" si="0"/>
        <v>State</v>
      </c>
      <c r="B26" s="1" t="s">
        <v>86</v>
      </c>
      <c r="C26" s="1" t="s">
        <v>361</v>
      </c>
    </row>
    <row r="27" spans="1:14">
      <c r="A27" s="1" t="str">
        <f t="shared" si="0"/>
        <v>City</v>
      </c>
      <c r="B27" s="1" t="s">
        <v>97</v>
      </c>
      <c r="G27" s="1"/>
      <c r="I27" s="1"/>
    </row>
    <row r="28" spans="1:14">
      <c r="A28" s="1" t="str">
        <f t="shared" si="0"/>
        <v>Clean Address</v>
      </c>
      <c r="B28" s="1" t="s">
        <v>20</v>
      </c>
      <c r="G28" s="1"/>
      <c r="I28" s="1"/>
    </row>
    <row r="29" spans="1:14">
      <c r="A29" s="1" t="str">
        <f t="shared" si="0"/>
        <v>Palace ID</v>
      </c>
      <c r="B29" s="1" t="s">
        <v>434</v>
      </c>
      <c r="G29" s="1"/>
    </row>
    <row r="30" spans="1:14">
      <c r="A30" s="1" t="str">
        <f t="shared" si="0"/>
        <v>Palace</v>
      </c>
      <c r="B30" s="1" t="s">
        <v>433</v>
      </c>
      <c r="G30" s="1"/>
    </row>
    <row r="31" spans="1:14">
      <c r="A31" s="1" t="s">
        <v>473</v>
      </c>
      <c r="B31" s="1" t="s">
        <v>473</v>
      </c>
      <c r="E31" s="43"/>
      <c r="F31" s="43"/>
      <c r="G31" s="43"/>
      <c r="H31" s="43"/>
      <c r="I31" s="44"/>
      <c r="J31" s="43"/>
      <c r="K31" s="44"/>
      <c r="L31" s="43"/>
      <c r="M31" s="43"/>
      <c r="N31" s="43"/>
    </row>
    <row r="32" spans="1:14">
      <c r="A32" s="1" t="s">
        <v>431</v>
      </c>
      <c r="B32" s="1" t="s">
        <v>316</v>
      </c>
      <c r="G32" s="1"/>
    </row>
    <row r="33" spans="1:7">
      <c r="A33" s="1" t="s">
        <v>472</v>
      </c>
      <c r="B33" s="1" t="s">
        <v>472</v>
      </c>
      <c r="G33" s="1"/>
    </row>
    <row r="34" spans="1:7">
      <c r="A34" s="1" t="str">
        <f>B34</f>
        <v>Dynasty ID</v>
      </c>
      <c r="B34" s="1" t="s">
        <v>456</v>
      </c>
      <c r="G34" s="1"/>
    </row>
    <row r="35" spans="1:7">
      <c r="A35" s="1" t="str">
        <f t="shared" ref="A35:A47" si="1">B35</f>
        <v>Called</v>
      </c>
      <c r="B35" s="1" t="s">
        <v>445</v>
      </c>
      <c r="G35" s="1"/>
    </row>
    <row r="36" spans="1:7">
      <c r="A36" s="1" t="s">
        <v>480</v>
      </c>
      <c r="B36" s="1" t="s">
        <v>480</v>
      </c>
      <c r="G36" s="1"/>
    </row>
    <row r="37" spans="1:7">
      <c r="A37" s="1" t="str">
        <f t="shared" si="1"/>
        <v>Dynasty Age</v>
      </c>
      <c r="B37" s="1" t="s">
        <v>443</v>
      </c>
      <c r="G37" s="1"/>
    </row>
    <row r="38" spans="1:7">
      <c r="A38" s="1" t="str">
        <f t="shared" si="1"/>
        <v>Dynasty</v>
      </c>
      <c r="B38" s="1" t="s">
        <v>453</v>
      </c>
      <c r="G38" s="1"/>
    </row>
    <row r="39" spans="1:7">
      <c r="A39" s="1" t="str">
        <f t="shared" si="1"/>
        <v>Ruler Url</v>
      </c>
      <c r="B39" s="1" t="s">
        <v>487</v>
      </c>
      <c r="G39" s="1"/>
    </row>
    <row r="40" spans="1:7">
      <c r="A40" s="1" t="str">
        <f t="shared" si="1"/>
        <v>Ruler</v>
      </c>
      <c r="B40" s="1" t="s">
        <v>444</v>
      </c>
      <c r="G40" s="1"/>
    </row>
    <row r="41" spans="1:7" ht="12.75" customHeight="1">
      <c r="A41" s="1" t="str">
        <f t="shared" si="1"/>
        <v>Personal Wealth</v>
      </c>
      <c r="B41" s="1" t="s">
        <v>437</v>
      </c>
      <c r="G41" s="1"/>
    </row>
    <row r="42" spans="1:7" ht="12.75" customHeight="1">
      <c r="A42" s="1" t="str">
        <f t="shared" si="1"/>
        <v>Age</v>
      </c>
      <c r="B42" s="1" t="s">
        <v>438</v>
      </c>
      <c r="G42" s="1"/>
    </row>
    <row r="43" spans="1:7" ht="12.75" customHeight="1">
      <c r="A43" s="1" t="s">
        <v>317</v>
      </c>
      <c r="B43" s="1" t="s">
        <v>449</v>
      </c>
      <c r="G43" s="1"/>
    </row>
    <row r="44" spans="1:7" ht="12.75" customHeight="1">
      <c r="A44" s="1" t="s">
        <v>432</v>
      </c>
      <c r="B44" s="1" t="s">
        <v>450</v>
      </c>
      <c r="G44" s="1"/>
    </row>
    <row r="45" spans="1:7" ht="12.75" customHeight="1">
      <c r="A45" s="1" t="str">
        <f t="shared" si="1"/>
        <v>GDP</v>
      </c>
      <c r="B45" s="1" t="s">
        <v>430</v>
      </c>
      <c r="G45" s="1"/>
    </row>
    <row r="46" spans="1:7" ht="12.75" customHeight="1">
      <c r="A46" s="1" t="str">
        <f t="shared" si="1"/>
        <v>Average Income</v>
      </c>
      <c r="B46" s="1" t="s">
        <v>459</v>
      </c>
      <c r="G46" s="1"/>
    </row>
    <row r="47" spans="1:7" ht="12.75" customHeight="1">
      <c r="A47" s="1" t="str">
        <f t="shared" si="1"/>
        <v>Population</v>
      </c>
      <c r="B47" s="1" t="s">
        <v>429</v>
      </c>
      <c r="G47" s="1"/>
    </row>
    <row r="49" spans="1:7">
      <c r="A49" s="30" t="s">
        <v>505</v>
      </c>
      <c r="B49" s="30" t="s">
        <v>498</v>
      </c>
      <c r="C49" s="2" t="s">
        <v>3241</v>
      </c>
      <c r="D49" s="30" t="s">
        <v>145</v>
      </c>
      <c r="E49" s="30"/>
      <c r="F49" s="30"/>
    </row>
    <row r="50" spans="1:7">
      <c r="A50" s="1" t="s">
        <v>504</v>
      </c>
      <c r="B50" s="1" t="s">
        <v>317</v>
      </c>
      <c r="C50" s="1" t="s">
        <v>322</v>
      </c>
    </row>
    <row r="51" spans="1:7">
      <c r="A51" s="1" t="s">
        <v>508</v>
      </c>
      <c r="C51" s="1" t="s">
        <v>322</v>
      </c>
    </row>
    <row r="52" spans="1:7">
      <c r="A52" s="1" t="s">
        <v>3279</v>
      </c>
      <c r="C52" s="1" t="s">
        <v>333</v>
      </c>
    </row>
    <row r="54" spans="1:7">
      <c r="A54" s="30" t="s">
        <v>140</v>
      </c>
      <c r="B54" s="30" t="s">
        <v>298</v>
      </c>
      <c r="C54" s="30" t="s">
        <v>297</v>
      </c>
      <c r="D54" s="30" t="s">
        <v>296</v>
      </c>
      <c r="E54" s="30" t="s">
        <v>384</v>
      </c>
      <c r="F54" s="30" t="s">
        <v>668</v>
      </c>
      <c r="G54" s="30" t="s">
        <v>703</v>
      </c>
    </row>
    <row r="55" spans="1:7">
      <c r="A55" s="1" t="s">
        <v>433</v>
      </c>
      <c r="B55" s="1" t="s">
        <v>489</v>
      </c>
      <c r="C55" s="1" t="s">
        <v>434</v>
      </c>
      <c r="D55" s="1" t="s">
        <v>475</v>
      </c>
      <c r="E55" s="1" t="s">
        <v>431</v>
      </c>
      <c r="F55" s="1" t="s">
        <v>670</v>
      </c>
    </row>
    <row r="56" spans="1:7">
      <c r="A56" s="1" t="s">
        <v>444</v>
      </c>
      <c r="B56" s="1" t="s">
        <v>482</v>
      </c>
      <c r="C56" s="1" t="s">
        <v>456</v>
      </c>
      <c r="D56" s="1" t="s">
        <v>475</v>
      </c>
      <c r="E56" s="1" t="s">
        <v>317</v>
      </c>
      <c r="F56" s="1" t="s">
        <v>670</v>
      </c>
      <c r="G56" s="3" t="s">
        <v>444</v>
      </c>
    </row>
    <row r="57" spans="1:7">
      <c r="A57" s="1" t="s">
        <v>483</v>
      </c>
      <c r="B57" s="1" t="s">
        <v>482</v>
      </c>
      <c r="C57" s="1" t="s">
        <v>456</v>
      </c>
      <c r="D57" s="1" t="s">
        <v>488</v>
      </c>
      <c r="E57" s="1" t="s">
        <v>317</v>
      </c>
      <c r="F57" s="1" t="s">
        <v>670</v>
      </c>
      <c r="G57" s="3" t="s">
        <v>444</v>
      </c>
    </row>
    <row r="58" spans="1:7">
      <c r="A58" s="1" t="s">
        <v>287</v>
      </c>
      <c r="B58" s="1" t="s">
        <v>494</v>
      </c>
      <c r="D58" s="1" t="s">
        <v>495</v>
      </c>
      <c r="E58" s="1" t="s">
        <v>431</v>
      </c>
      <c r="F58" s="1" t="s">
        <v>670</v>
      </c>
      <c r="G58" s="3" t="s">
        <v>444</v>
      </c>
    </row>
    <row r="60" spans="1:7">
      <c r="A60" s="30" t="s">
        <v>141</v>
      </c>
      <c r="B60" s="30" t="s">
        <v>292</v>
      </c>
      <c r="C60" s="30" t="s">
        <v>145</v>
      </c>
      <c r="D60" s="30"/>
      <c r="E60" s="30"/>
      <c r="G60" s="1"/>
    </row>
    <row r="61" spans="1:7">
      <c r="A61" s="1" t="s">
        <v>430</v>
      </c>
      <c r="B61" s="1" t="s">
        <v>397</v>
      </c>
      <c r="C61" s="1" t="s">
        <v>314</v>
      </c>
    </row>
    <row r="62" spans="1:7">
      <c r="A62" s="1" t="s">
        <v>473</v>
      </c>
      <c r="B62" s="1" t="s">
        <v>397</v>
      </c>
    </row>
    <row r="63" spans="1:7">
      <c r="A63" s="1" t="s">
        <v>435</v>
      </c>
      <c r="B63" s="1" t="s">
        <v>293</v>
      </c>
    </row>
    <row r="64" spans="1:7">
      <c r="A64" s="1" t="s">
        <v>437</v>
      </c>
      <c r="B64" s="1" t="s">
        <v>397</v>
      </c>
    </row>
    <row r="65" spans="1:10">
      <c r="A65" s="1" t="s">
        <v>429</v>
      </c>
      <c r="B65" s="1" t="s">
        <v>397</v>
      </c>
    </row>
    <row r="66" spans="1:10">
      <c r="A66" s="1" t="s">
        <v>459</v>
      </c>
      <c r="B66" s="1" t="s">
        <v>397</v>
      </c>
    </row>
    <row r="68" spans="1:10">
      <c r="A68" s="30" t="s">
        <v>18</v>
      </c>
      <c r="B68" s="30" t="s">
        <v>113</v>
      </c>
      <c r="C68" s="30" t="s">
        <v>11</v>
      </c>
      <c r="D68" s="30"/>
      <c r="E68" s="30"/>
    </row>
    <row r="69" spans="1:10">
      <c r="A69" s="1" t="s">
        <v>15</v>
      </c>
      <c r="B69" s="1" t="s">
        <v>434</v>
      </c>
      <c r="C69" s="1" t="s">
        <v>114</v>
      </c>
    </row>
    <row r="70" spans="1:10" s="5" customFormat="1">
      <c r="A70" s="1" t="s">
        <v>16</v>
      </c>
      <c r="B70" s="1" t="s">
        <v>87</v>
      </c>
      <c r="C70" s="1" t="s">
        <v>115</v>
      </c>
      <c r="D70" s="1"/>
      <c r="E70" s="1"/>
      <c r="F70" s="1"/>
      <c r="G70" s="3"/>
      <c r="H70" s="1"/>
      <c r="J70" s="1"/>
    </row>
    <row r="72" spans="1:10" s="5" customFormat="1">
      <c r="A72" s="30" t="s">
        <v>325</v>
      </c>
      <c r="B72" s="30" t="s">
        <v>324</v>
      </c>
      <c r="C72" s="30" t="s">
        <v>330</v>
      </c>
      <c r="D72" s="30" t="s">
        <v>145</v>
      </c>
      <c r="E72" s="30"/>
      <c r="F72" s="1"/>
      <c r="G72" s="25" t="s">
        <v>328</v>
      </c>
      <c r="H72" s="25"/>
      <c r="J72" s="1"/>
    </row>
    <row r="73" spans="1:10" s="5" customFormat="1">
      <c r="A73" s="23" t="s">
        <v>242</v>
      </c>
      <c r="B73" s="27">
        <v>2</v>
      </c>
      <c r="C73" s="1" t="s">
        <v>333</v>
      </c>
      <c r="D73" s="1" t="s">
        <v>326</v>
      </c>
      <c r="E73" s="1"/>
      <c r="F73" s="1"/>
      <c r="G73" s="73">
        <v>1</v>
      </c>
      <c r="H73" s="73">
        <v>11</v>
      </c>
      <c r="I73" s="90">
        <v>9</v>
      </c>
      <c r="J73" s="1"/>
    </row>
    <row r="74" spans="1:10" s="5" customFormat="1" ht="11.25" customHeight="1">
      <c r="A74" s="23" t="s">
        <v>334</v>
      </c>
      <c r="B74" s="27">
        <v>4</v>
      </c>
      <c r="C74" s="1" t="s">
        <v>322</v>
      </c>
      <c r="D74" s="1" t="s">
        <v>331</v>
      </c>
      <c r="E74" s="1"/>
      <c r="F74" s="1"/>
      <c r="G74" s="73">
        <v>2</v>
      </c>
      <c r="H74" s="89">
        <v>3</v>
      </c>
      <c r="I74" s="91"/>
      <c r="J74" s="1"/>
    </row>
    <row r="75" spans="1:10" s="5" customFormat="1" ht="11.25" customHeight="1">
      <c r="A75" s="23" t="s">
        <v>335</v>
      </c>
      <c r="B75" s="27">
        <v>3</v>
      </c>
      <c r="C75" s="1" t="s">
        <v>333</v>
      </c>
      <c r="D75" s="1" t="s">
        <v>329</v>
      </c>
      <c r="E75" s="1"/>
      <c r="F75" s="1"/>
      <c r="G75" s="73">
        <v>4</v>
      </c>
      <c r="H75" s="89"/>
      <c r="I75" s="91"/>
      <c r="J75" s="1"/>
    </row>
    <row r="76" spans="1:10" s="5" customFormat="1" ht="11.25" customHeight="1">
      <c r="A76" s="23" t="s">
        <v>336</v>
      </c>
      <c r="B76" s="27">
        <v>5</v>
      </c>
      <c r="C76" s="1" t="s">
        <v>333</v>
      </c>
      <c r="D76" s="1"/>
      <c r="E76" s="1"/>
      <c r="F76" s="1"/>
      <c r="G76" s="89">
        <v>5</v>
      </c>
      <c r="H76" s="89"/>
      <c r="I76" s="91"/>
      <c r="J76" s="1"/>
    </row>
    <row r="77" spans="1:10" s="5" customFormat="1" ht="11.25" customHeight="1">
      <c r="A77" s="23" t="s">
        <v>337</v>
      </c>
      <c r="B77" s="27">
        <v>6</v>
      </c>
      <c r="C77" s="1" t="s">
        <v>333</v>
      </c>
      <c r="D77" s="1" t="s">
        <v>332</v>
      </c>
      <c r="E77" s="1"/>
      <c r="F77" s="1"/>
      <c r="G77" s="89">
        <v>6</v>
      </c>
      <c r="H77" s="89"/>
      <c r="I77" s="91"/>
      <c r="J77" s="1"/>
    </row>
    <row r="78" spans="1:10" s="5" customFormat="1" ht="11.25" customHeight="1">
      <c r="A78" s="23" t="s">
        <v>338</v>
      </c>
      <c r="B78" s="27">
        <v>7</v>
      </c>
      <c r="C78" s="1" t="s">
        <v>333</v>
      </c>
      <c r="D78" s="1"/>
      <c r="E78" s="1"/>
      <c r="F78" s="1"/>
      <c r="G78" s="89">
        <v>7</v>
      </c>
      <c r="H78" s="89"/>
      <c r="I78" s="92"/>
      <c r="J78" s="1"/>
    </row>
    <row r="79" spans="1:10" s="5" customFormat="1" ht="11.25" customHeight="1">
      <c r="A79" s="23" t="s">
        <v>339</v>
      </c>
      <c r="B79" s="27">
        <v>8</v>
      </c>
      <c r="C79" s="1" t="s">
        <v>333</v>
      </c>
      <c r="D79" s="1"/>
      <c r="E79" s="1"/>
      <c r="F79" s="1"/>
      <c r="G79" s="89">
        <v>8</v>
      </c>
      <c r="H79" s="89"/>
      <c r="I79" s="75">
        <v>10</v>
      </c>
      <c r="J79" s="1"/>
    </row>
    <row r="80" spans="1:10" s="5" customFormat="1">
      <c r="A80" s="23" t="s">
        <v>241</v>
      </c>
      <c r="B80" s="27">
        <v>1</v>
      </c>
      <c r="C80" s="1" t="s">
        <v>333</v>
      </c>
      <c r="D80" s="1"/>
      <c r="E80" s="28"/>
      <c r="F80" s="28"/>
      <c r="G80" s="3"/>
      <c r="H80" s="1"/>
      <c r="J80" s="1"/>
    </row>
    <row r="81" spans="1:14">
      <c r="A81" s="23" t="s">
        <v>510</v>
      </c>
      <c r="B81" s="27">
        <v>11</v>
      </c>
      <c r="C81" s="1" t="s">
        <v>333</v>
      </c>
      <c r="E81" s="28"/>
      <c r="F81" s="28"/>
    </row>
    <row r="82" spans="1:14" s="5" customFormat="1">
      <c r="A82" s="23" t="s">
        <v>702</v>
      </c>
      <c r="B82" s="27">
        <v>9</v>
      </c>
      <c r="C82" s="1" t="s">
        <v>333</v>
      </c>
      <c r="D82" s="1"/>
      <c r="E82" s="28"/>
      <c r="F82" s="28"/>
      <c r="G82" s="3"/>
      <c r="H82" s="1"/>
      <c r="J82" s="1"/>
      <c r="L82" s="1"/>
      <c r="M82" s="1"/>
      <c r="N82" s="1"/>
    </row>
    <row r="84" spans="1:14" s="5" customFormat="1">
      <c r="A84" s="30" t="s">
        <v>410</v>
      </c>
      <c r="B84" s="30" t="s">
        <v>418</v>
      </c>
      <c r="C84" s="30" t="s">
        <v>145</v>
      </c>
      <c r="D84" s="30"/>
      <c r="E84" s="30"/>
      <c r="F84" s="1"/>
      <c r="G84" s="3"/>
      <c r="H84" s="1"/>
      <c r="J84" s="1"/>
    </row>
    <row r="85" spans="1:14">
      <c r="A85" s="23" t="s">
        <v>94</v>
      </c>
      <c r="B85" s="26" t="s">
        <v>461</v>
      </c>
      <c r="C85" s="26" t="s">
        <v>327</v>
      </c>
      <c r="G85" s="1"/>
    </row>
    <row r="86" spans="1:14">
      <c r="A86" s="23" t="s">
        <v>95</v>
      </c>
      <c r="B86" s="26" t="s">
        <v>461</v>
      </c>
      <c r="C86" s="26"/>
      <c r="G86" s="1"/>
    </row>
    <row r="87" spans="1:14">
      <c r="A87" s="23" t="s">
        <v>433</v>
      </c>
      <c r="B87" s="26" t="s">
        <v>461</v>
      </c>
      <c r="C87" s="26"/>
      <c r="G87" s="1"/>
    </row>
    <row r="88" spans="1:14">
      <c r="A88" s="23" t="s">
        <v>243</v>
      </c>
      <c r="B88" s="26" t="s">
        <v>461</v>
      </c>
      <c r="C88" s="26"/>
      <c r="G88" s="1"/>
    </row>
    <row r="89" spans="1:14">
      <c r="A89" s="1" t="s">
        <v>134</v>
      </c>
      <c r="B89" s="1" t="s">
        <v>461</v>
      </c>
    </row>
    <row r="90" spans="1:14">
      <c r="A90" s="1" t="s">
        <v>10</v>
      </c>
      <c r="B90" s="1" t="s">
        <v>461</v>
      </c>
    </row>
    <row r="91" spans="1:14">
      <c r="A91" s="1" t="s">
        <v>435</v>
      </c>
      <c r="B91" s="1" t="s">
        <v>461</v>
      </c>
    </row>
    <row r="92" spans="1:14">
      <c r="A92" s="1" t="s">
        <v>86</v>
      </c>
      <c r="B92" s="1" t="s">
        <v>461</v>
      </c>
    </row>
    <row r="93" spans="1:14">
      <c r="A93" s="1" t="s">
        <v>97</v>
      </c>
      <c r="B93" s="1" t="s">
        <v>461</v>
      </c>
      <c r="G93" s="1"/>
      <c r="I93" s="1"/>
    </row>
    <row r="94" spans="1:14">
      <c r="A94" s="1" t="s">
        <v>20</v>
      </c>
      <c r="B94" s="1" t="s">
        <v>461</v>
      </c>
      <c r="D94" s="43"/>
      <c r="E94" s="43"/>
      <c r="F94" s="43"/>
      <c r="G94" s="43"/>
      <c r="H94" s="43"/>
      <c r="I94" s="43"/>
    </row>
    <row r="95" spans="1:14" ht="16.5" customHeight="1">
      <c r="A95" s="1" t="s">
        <v>473</v>
      </c>
      <c r="B95" s="1" t="s">
        <v>461</v>
      </c>
      <c r="D95" s="42"/>
      <c r="E95" s="42"/>
      <c r="F95" s="42"/>
      <c r="G95" s="42"/>
      <c r="H95" s="42"/>
      <c r="I95" s="42"/>
    </row>
    <row r="96" spans="1:14" ht="16.5" customHeight="1">
      <c r="A96" s="1" t="s">
        <v>472</v>
      </c>
      <c r="B96" s="1" t="s">
        <v>461</v>
      </c>
      <c r="D96" s="42"/>
      <c r="E96" s="42"/>
      <c r="F96" s="42"/>
      <c r="G96" s="42"/>
      <c r="H96" s="42"/>
      <c r="I96" s="42"/>
    </row>
    <row r="97" spans="1:7">
      <c r="A97" s="1" t="s">
        <v>316</v>
      </c>
      <c r="B97" s="1" t="s">
        <v>461</v>
      </c>
      <c r="G97" s="1"/>
    </row>
    <row r="98" spans="1:7">
      <c r="A98" s="1" t="s">
        <v>480</v>
      </c>
      <c r="B98" s="1" t="s">
        <v>462</v>
      </c>
      <c r="G98" s="1"/>
    </row>
    <row r="99" spans="1:7">
      <c r="A99" s="1" t="s">
        <v>456</v>
      </c>
      <c r="B99" s="1" t="s">
        <v>462</v>
      </c>
      <c r="G99" s="1"/>
    </row>
    <row r="100" spans="1:7">
      <c r="A100" s="1" t="s">
        <v>445</v>
      </c>
      <c r="B100" s="1" t="s">
        <v>462</v>
      </c>
      <c r="G100" s="1"/>
    </row>
    <row r="101" spans="1:7">
      <c r="A101" s="1" t="s">
        <v>443</v>
      </c>
      <c r="B101" s="1" t="s">
        <v>462</v>
      </c>
      <c r="G101" s="1"/>
    </row>
    <row r="102" spans="1:7">
      <c r="A102" s="1" t="s">
        <v>460</v>
      </c>
      <c r="B102" s="1" t="s">
        <v>462</v>
      </c>
      <c r="G102" s="1"/>
    </row>
    <row r="103" spans="1:7">
      <c r="A103" s="1" t="s">
        <v>449</v>
      </c>
      <c r="B103" s="1" t="s">
        <v>462</v>
      </c>
      <c r="G103" s="1"/>
    </row>
    <row r="104" spans="1:7">
      <c r="A104" s="1" t="s">
        <v>450</v>
      </c>
      <c r="B104" s="1" t="s">
        <v>462</v>
      </c>
      <c r="G104" s="1"/>
    </row>
    <row r="105" spans="1:7">
      <c r="A105" s="1" t="s">
        <v>444</v>
      </c>
      <c r="B105" s="1" t="s">
        <v>462</v>
      </c>
      <c r="G105" s="1"/>
    </row>
    <row r="106" spans="1:7" ht="12.75" customHeight="1">
      <c r="A106" s="1" t="s">
        <v>437</v>
      </c>
      <c r="B106" s="1" t="s">
        <v>462</v>
      </c>
      <c r="G106" s="1"/>
    </row>
    <row r="107" spans="1:7" ht="12.75" customHeight="1">
      <c r="A107" s="1" t="s">
        <v>438</v>
      </c>
      <c r="B107" s="1" t="s">
        <v>462</v>
      </c>
      <c r="G107" s="1"/>
    </row>
    <row r="108" spans="1:7" ht="12.75" customHeight="1">
      <c r="A108" s="1" t="s">
        <v>430</v>
      </c>
      <c r="B108" s="1" t="s">
        <v>462</v>
      </c>
      <c r="G108" s="1"/>
    </row>
    <row r="109" spans="1:7" ht="12.75" customHeight="1">
      <c r="A109" s="1" t="s">
        <v>459</v>
      </c>
      <c r="B109" s="1" t="s">
        <v>462</v>
      </c>
      <c r="G109" s="1"/>
    </row>
    <row r="110" spans="1:7" ht="12.75" customHeight="1">
      <c r="A110" s="1" t="s">
        <v>429</v>
      </c>
      <c r="B110" s="1" t="s">
        <v>462</v>
      </c>
      <c r="G110" s="1"/>
    </row>
    <row r="111" spans="1:7" ht="12.75" customHeight="1">
      <c r="G111" s="1"/>
    </row>
    <row r="112" spans="1:7">
      <c r="A112" s="30" t="s">
        <v>147</v>
      </c>
      <c r="B112" s="30" t="s">
        <v>146</v>
      </c>
      <c r="C112" s="30" t="s">
        <v>153</v>
      </c>
      <c r="D112" s="30" t="s">
        <v>145</v>
      </c>
      <c r="E112" s="30"/>
    </row>
    <row r="113" spans="1:7">
      <c r="A113" s="31" t="s">
        <v>156</v>
      </c>
      <c r="B113" s="1" t="s">
        <v>464</v>
      </c>
      <c r="C113" s="1" t="s">
        <v>434</v>
      </c>
      <c r="D113" s="1" t="s">
        <v>151</v>
      </c>
    </row>
    <row r="114" spans="1:7">
      <c r="A114" s="31" t="s">
        <v>149</v>
      </c>
      <c r="B114" s="1" t="s">
        <v>463</v>
      </c>
      <c r="D114" s="1" t="s">
        <v>152</v>
      </c>
    </row>
    <row r="115" spans="1:7">
      <c r="A115" s="31" t="s">
        <v>153</v>
      </c>
      <c r="B115" s="1" t="s">
        <v>465</v>
      </c>
      <c r="D115" s="1" t="s">
        <v>155</v>
      </c>
    </row>
    <row r="116" spans="1:7">
      <c r="A116" s="31" t="s">
        <v>453</v>
      </c>
      <c r="B116" s="1" t="s">
        <v>466</v>
      </c>
      <c r="C116" s="1" t="s">
        <v>456</v>
      </c>
      <c r="D116" s="1" t="s">
        <v>155</v>
      </c>
    </row>
    <row r="118" spans="1:7">
      <c r="A118" s="30" t="s">
        <v>408</v>
      </c>
      <c r="B118" s="30" t="s">
        <v>262</v>
      </c>
      <c r="C118" s="30" t="s">
        <v>11</v>
      </c>
      <c r="D118" s="30"/>
      <c r="E118" s="30"/>
    </row>
    <row r="119" spans="1:7">
      <c r="A119" s="23" t="s">
        <v>269</v>
      </c>
      <c r="B119" s="7" t="s">
        <v>512</v>
      </c>
      <c r="C119" s="29" t="s">
        <v>319</v>
      </c>
    </row>
    <row r="120" spans="1:7" ht="24" customHeight="1">
      <c r="A120" s="23" t="s">
        <v>266</v>
      </c>
      <c r="B120" s="12" t="s">
        <v>3281</v>
      </c>
      <c r="C120" s="29" t="s">
        <v>320</v>
      </c>
    </row>
    <row r="121" spans="1:7" ht="15" customHeight="1">
      <c r="A121" s="23" t="s">
        <v>321</v>
      </c>
      <c r="B121" s="24" t="s">
        <v>836</v>
      </c>
      <c r="C121" s="29" t="s">
        <v>267</v>
      </c>
      <c r="G121" s="20"/>
    </row>
    <row r="122" spans="1:7" ht="15" customHeight="1">
      <c r="A122" s="35"/>
      <c r="B122" s="36"/>
      <c r="C122" s="29"/>
      <c r="G122" s="20"/>
    </row>
    <row r="127" spans="1:7">
      <c r="C127" s="1" t="s">
        <v>662</v>
      </c>
    </row>
    <row r="128" spans="1:7" ht="15">
      <c r="C128" s="21" t="s">
        <v>661</v>
      </c>
    </row>
  </sheetData>
  <mergeCells count="6">
    <mergeCell ref="I73:I78"/>
    <mergeCell ref="G79:H79"/>
    <mergeCell ref="H74:H75"/>
    <mergeCell ref="G76:H76"/>
    <mergeCell ref="G77:H77"/>
    <mergeCell ref="G78:H78"/>
  </mergeCells>
  <dataValidations count="10">
    <dataValidation type="list" allowBlank="1" showInputMessage="1" showErrorMessage="1" sqref="B61:B66">
      <formula1>"sum,count,average,min,max"</formula1>
    </dataValidation>
    <dataValidation type="list" allowBlank="1" showInputMessage="1" showErrorMessage="1" sqref="B67">
      <formula1>"sum,count"</formula1>
    </dataValidation>
    <dataValidation type="list" allowBlank="1" showInputMessage="1" showErrorMessage="1" sqref="C73:C82">
      <formula1>"yes,no"</formula1>
    </dataValidation>
    <dataValidation type="list" allowBlank="1" showInputMessage="1" showErrorMessage="1" sqref="F55:F60">
      <formula1>"barchart,orgchart,none"</formula1>
    </dataValidation>
    <dataValidation operator="greaterThan" allowBlank="1" showInputMessage="1" showErrorMessage="1" sqref="B13:B15"/>
    <dataValidation type="decimal" operator="greaterThan" allowBlank="1" showInputMessage="1" showErrorMessage="1" sqref="B16 B5:B10 B12">
      <formula1>0</formula1>
    </dataValidation>
    <dataValidation type="decimal" allowBlank="1" showInputMessage="1" showErrorMessage="1" sqref="B4">
      <formula1>0</formula1>
      <formula2>180</formula2>
    </dataValidation>
    <dataValidation type="list" allowBlank="1" showInputMessage="1" showErrorMessage="1" sqref="B3">
      <formula1>"google maps,google earth"</formula1>
    </dataValidation>
    <dataValidation type="list" allowBlank="1" showInputMessage="1" showErrorMessage="1" sqref="B2">
      <formula1>"default,none"</formula1>
    </dataValidation>
    <dataValidation type="list" operator="greaterThan" allowBlank="1" showInputMessage="1" showErrorMessage="1" sqref="B11">
      <formula1>"yes,no"</formula1>
    </dataValidation>
  </dataValidations>
  <hyperlinks>
    <hyperlink ref="C128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4"/>
  <dimension ref="A1:I70"/>
  <sheetViews>
    <sheetView topLeftCell="D45" workbookViewId="0">
      <selection activeCell="G63" sqref="G63"/>
    </sheetView>
  </sheetViews>
  <sheetFormatPr defaultRowHeight="15"/>
  <cols>
    <col min="1" max="1" width="12.7109375" customWidth="1"/>
    <col min="3" max="3" width="13.28515625" customWidth="1"/>
    <col min="4" max="4" width="20.28515625" customWidth="1"/>
    <col min="5" max="5" width="23.42578125" customWidth="1"/>
    <col min="6" max="6" width="9.7109375" customWidth="1"/>
    <col min="7" max="7" width="11.5703125" customWidth="1"/>
    <col min="8" max="8" width="9.28515625" customWidth="1"/>
  </cols>
  <sheetData>
    <row r="1" spans="1:9">
      <c r="A1" s="6" t="s">
        <v>2010</v>
      </c>
      <c r="B1" s="6" t="s">
        <v>94</v>
      </c>
      <c r="C1" s="6" t="s">
        <v>95</v>
      </c>
      <c r="D1" s="6" t="s">
        <v>840</v>
      </c>
      <c r="E1" s="6" t="s">
        <v>2009</v>
      </c>
      <c r="F1" s="6" t="s">
        <v>65</v>
      </c>
      <c r="G1" s="6" t="s">
        <v>67</v>
      </c>
      <c r="H1" s="6" t="s">
        <v>499</v>
      </c>
      <c r="I1" s="6" t="s">
        <v>243</v>
      </c>
    </row>
    <row r="2" spans="1:9">
      <c r="A2" t="s">
        <v>1451</v>
      </c>
      <c r="B2">
        <v>-34.927199999999999</v>
      </c>
      <c r="C2">
        <v>138.61699999999999</v>
      </c>
      <c r="D2" t="s">
        <v>1450</v>
      </c>
      <c r="E2" t="s">
        <v>1452</v>
      </c>
      <c r="F2" t="s">
        <v>1453</v>
      </c>
      <c r="G2" t="s">
        <v>1454</v>
      </c>
      <c r="H2" t="str">
        <f t="shared" ref="H2:H33" si="0">E2</f>
        <v>Adelaide Street Circuit</v>
      </c>
      <c r="I2" t="str">
        <f>"&lt;b&gt;"&amp;D2&amp;"&lt;/b&gt; &lt;br/&gt; "&amp;E2&amp;"&lt;br/&gt;"&amp;F2&amp;"&lt;br/&gt;"&amp;G2</f>
        <v>&lt;b&gt;Australian Grand Prix&lt;/b&gt; &lt;br/&gt; Adelaide Street Circuit&lt;br/&gt;Adelaide&lt;br/&gt;Australia</v>
      </c>
    </row>
    <row r="3" spans="1:9">
      <c r="A3" t="s">
        <v>988</v>
      </c>
      <c r="B3">
        <v>33.578600000000002</v>
      </c>
      <c r="C3">
        <v>-7.6875</v>
      </c>
      <c r="D3" t="s">
        <v>987</v>
      </c>
      <c r="E3" t="s">
        <v>989</v>
      </c>
      <c r="F3" t="s">
        <v>990</v>
      </c>
      <c r="G3" t="s">
        <v>991</v>
      </c>
      <c r="H3" t="str">
        <f t="shared" si="0"/>
        <v>Ain Diab</v>
      </c>
      <c r="I3" t="str">
        <f t="shared" ref="I3:I66" si="1">"&lt;b&gt;"&amp;D3&amp;"&lt;/b&gt; &lt;br/&gt; "&amp;E3&amp;"&lt;br/&gt;"&amp;F3&amp;"&lt;br/&gt;"&amp;G3</f>
        <v>&lt;b&gt;Moroccan Grand Prix&lt;/b&gt; &lt;br/&gt; Ain Diab&lt;br/&gt;Casablanca&lt;br/&gt;Morocco</v>
      </c>
    </row>
    <row r="4" spans="1:9">
      <c r="A4" t="s">
        <v>947</v>
      </c>
      <c r="B4">
        <v>53.476900000000001</v>
      </c>
      <c r="C4">
        <v>-2.9405600000000001</v>
      </c>
      <c r="D4" t="s">
        <v>850</v>
      </c>
      <c r="E4" t="s">
        <v>948</v>
      </c>
      <c r="F4" t="s">
        <v>949</v>
      </c>
      <c r="G4" t="s">
        <v>854</v>
      </c>
      <c r="H4" t="str">
        <f t="shared" si="0"/>
        <v>Aintree</v>
      </c>
      <c r="I4" t="str">
        <f t="shared" si="1"/>
        <v>&lt;b&gt;British Grand Prix&lt;/b&gt; &lt;br/&gt; Aintree&lt;br/&gt;Liverpool&lt;br/&gt;UK</v>
      </c>
    </row>
    <row r="5" spans="1:9">
      <c r="A5" t="s">
        <v>1644</v>
      </c>
      <c r="B5">
        <v>-37.849699999999999</v>
      </c>
      <c r="C5">
        <v>144.96799999999999</v>
      </c>
      <c r="D5" t="s">
        <v>1450</v>
      </c>
      <c r="E5" t="s">
        <v>1645</v>
      </c>
      <c r="F5" t="s">
        <v>1646</v>
      </c>
      <c r="G5" t="s">
        <v>1454</v>
      </c>
      <c r="H5" t="str">
        <f t="shared" si="0"/>
        <v>Albert Park Grand Prix Circuit</v>
      </c>
      <c r="I5" t="str">
        <f t="shared" si="1"/>
        <v>&lt;b&gt;Australian Grand Prix&lt;/b&gt; &lt;br/&gt; Albert Park Grand Prix Circuit&lt;br/&gt;Melbourne&lt;br/&gt;Australia</v>
      </c>
    </row>
    <row r="6" spans="1:9">
      <c r="A6" t="s">
        <v>2004</v>
      </c>
      <c r="B6">
        <v>30.1328</v>
      </c>
      <c r="C6">
        <v>-97.641099999999994</v>
      </c>
      <c r="D6" t="s">
        <v>2003</v>
      </c>
      <c r="E6" t="s">
        <v>2005</v>
      </c>
      <c r="F6" t="s">
        <v>2006</v>
      </c>
      <c r="G6" t="s">
        <v>1010</v>
      </c>
      <c r="H6" t="str">
        <f t="shared" si="0"/>
        <v>Circuit of the Americas</v>
      </c>
      <c r="I6" t="str">
        <f t="shared" si="1"/>
        <v>&lt;b&gt;United States GP&lt;/b&gt; &lt;br/&gt; Circuit of the Americas&lt;br/&gt;Austin&lt;br/&gt;USA</v>
      </c>
    </row>
    <row r="7" spans="1:9">
      <c r="A7" t="s">
        <v>1217</v>
      </c>
      <c r="B7">
        <v>57.265300000000003</v>
      </c>
      <c r="C7">
        <v>13.604200000000001</v>
      </c>
      <c r="D7" t="s">
        <v>1216</v>
      </c>
      <c r="E7" t="s">
        <v>1218</v>
      </c>
      <c r="F7" t="s">
        <v>1219</v>
      </c>
      <c r="G7" t="s">
        <v>1220</v>
      </c>
      <c r="H7" t="str">
        <f t="shared" si="0"/>
        <v>Scandinavian Raceway</v>
      </c>
      <c r="I7" t="str">
        <f t="shared" si="1"/>
        <v>&lt;b&gt;Swedish Grand Prix&lt;/b&gt; &lt;br/&gt; Scandinavian Raceway&lt;br/&gt;Anderstorp&lt;br/&gt;Sweden</v>
      </c>
    </row>
    <row r="8" spans="1:9">
      <c r="A8" t="s">
        <v>998</v>
      </c>
      <c r="B8">
        <v>52.480600000000003</v>
      </c>
      <c r="C8">
        <v>13.2514</v>
      </c>
      <c r="D8" t="s">
        <v>893</v>
      </c>
      <c r="E8" t="s">
        <v>999</v>
      </c>
      <c r="F8" t="s">
        <v>762</v>
      </c>
      <c r="G8" t="s">
        <v>761</v>
      </c>
      <c r="H8" t="str">
        <f t="shared" si="0"/>
        <v>AVUS</v>
      </c>
      <c r="I8" t="str">
        <f t="shared" si="1"/>
        <v>&lt;b&gt;German Grand Prix&lt;/b&gt; &lt;br/&gt; AVUS&lt;br/&gt;Berlin&lt;br/&gt;Germany</v>
      </c>
    </row>
    <row r="9" spans="1:9">
      <c r="A9" t="s">
        <v>1788</v>
      </c>
      <c r="B9">
        <v>26.032499999999999</v>
      </c>
      <c r="C9">
        <v>50.510599999999997</v>
      </c>
      <c r="D9" t="s">
        <v>1787</v>
      </c>
      <c r="E9" t="s">
        <v>1789</v>
      </c>
      <c r="F9" t="s">
        <v>1790</v>
      </c>
      <c r="G9" t="s">
        <v>1791</v>
      </c>
      <c r="H9" t="str">
        <f t="shared" si="0"/>
        <v>Bahrain International Circuit</v>
      </c>
      <c r="I9" t="str">
        <f t="shared" si="1"/>
        <v>&lt;b&gt;Bahrain Grand Prix&lt;/b&gt; &lt;br/&gt; Bahrain International Circuit&lt;br/&gt;Sakhir&lt;br/&gt;Bahrain</v>
      </c>
    </row>
    <row r="10" spans="1:9">
      <c r="A10" t="s">
        <v>981</v>
      </c>
      <c r="B10">
        <v>41.170499999999997</v>
      </c>
      <c r="C10">
        <v>-8.6732499999999995</v>
      </c>
      <c r="D10" t="s">
        <v>980</v>
      </c>
      <c r="E10" t="s">
        <v>982</v>
      </c>
      <c r="F10" t="s">
        <v>983</v>
      </c>
      <c r="G10" t="s">
        <v>984</v>
      </c>
      <c r="H10" t="str">
        <f t="shared" si="0"/>
        <v>Circuito da Boavista</v>
      </c>
      <c r="I10" t="str">
        <f t="shared" si="1"/>
        <v>&lt;b&gt;Portuguese Grand Prix&lt;/b&gt; &lt;br/&gt; Circuito da Boavista&lt;br/&gt;Oporto&lt;br/&gt;Portugal</v>
      </c>
    </row>
    <row r="11" spans="1:9">
      <c r="A11" t="s">
        <v>1067</v>
      </c>
      <c r="B11">
        <v>51.356900000000003</v>
      </c>
      <c r="C11">
        <v>0.26305600000000001</v>
      </c>
      <c r="D11" t="s">
        <v>850</v>
      </c>
      <c r="E11" t="s">
        <v>1068</v>
      </c>
      <c r="F11" t="s">
        <v>1069</v>
      </c>
      <c r="G11" t="s">
        <v>854</v>
      </c>
      <c r="H11" t="str">
        <f t="shared" si="0"/>
        <v>Brands Hatch</v>
      </c>
      <c r="I11" t="str">
        <f t="shared" si="1"/>
        <v>&lt;b&gt;British Grand Prix&lt;/b&gt; &lt;br/&gt; Brands Hatch&lt;br/&gt;Kent&lt;br/&gt;UK</v>
      </c>
    </row>
    <row r="12" spans="1:9">
      <c r="A12" t="s">
        <v>868</v>
      </c>
      <c r="B12">
        <v>46.9589</v>
      </c>
      <c r="C12">
        <v>7.4019399999999997</v>
      </c>
      <c r="D12" t="s">
        <v>867</v>
      </c>
      <c r="E12" t="s">
        <v>869</v>
      </c>
      <c r="F12" t="s">
        <v>870</v>
      </c>
      <c r="G12" t="s">
        <v>468</v>
      </c>
      <c r="H12" t="str">
        <f t="shared" si="0"/>
        <v>Circuit Bremgarten</v>
      </c>
      <c r="I12" t="str">
        <f t="shared" si="1"/>
        <v>&lt;b&gt;Swiss Grand Prix&lt;/b&gt; &lt;br/&gt; Circuit Bremgarten&lt;br/&gt;Bern&lt;br/&gt;Switzerland</v>
      </c>
    </row>
    <row r="13" spans="1:9">
      <c r="A13" t="s">
        <v>1977</v>
      </c>
      <c r="B13">
        <v>28.4072</v>
      </c>
      <c r="C13">
        <v>77.514200000000002</v>
      </c>
      <c r="D13" t="s">
        <v>1976</v>
      </c>
      <c r="E13" t="s">
        <v>1978</v>
      </c>
      <c r="F13" t="s">
        <v>1979</v>
      </c>
      <c r="G13" t="s">
        <v>128</v>
      </c>
      <c r="H13" t="str">
        <f t="shared" si="0"/>
        <v>Buddh International Circuit</v>
      </c>
      <c r="I13" t="str">
        <f t="shared" si="1"/>
        <v>&lt;b&gt;Indian GP&lt;/b&gt; &lt;br/&gt; Buddh International Circuit&lt;br/&gt;Uttar Pradesh&lt;br/&gt;India</v>
      </c>
    </row>
    <row r="14" spans="1:9">
      <c r="A14" t="s">
        <v>1566</v>
      </c>
      <c r="B14">
        <v>41.57</v>
      </c>
      <c r="C14">
        <v>2.26111</v>
      </c>
      <c r="D14" t="s">
        <v>899</v>
      </c>
      <c r="E14" t="s">
        <v>1567</v>
      </c>
      <c r="F14" t="s">
        <v>1568</v>
      </c>
      <c r="G14" t="s">
        <v>903</v>
      </c>
      <c r="H14" t="str">
        <f t="shared" si="0"/>
        <v>Circuit de Catalunya</v>
      </c>
      <c r="I14" t="str">
        <f t="shared" si="1"/>
        <v>&lt;b&gt;Spanish Grand Prix&lt;/b&gt; &lt;br/&gt; Circuit de Catalunya&lt;br/&gt;Montmeló&lt;br/&gt;Spain</v>
      </c>
    </row>
    <row r="15" spans="1:9">
      <c r="A15" t="s">
        <v>1084</v>
      </c>
      <c r="B15">
        <v>45.747199999999999</v>
      </c>
      <c r="C15">
        <v>3.0388899999999999</v>
      </c>
      <c r="D15" t="s">
        <v>877</v>
      </c>
      <c r="E15" t="s">
        <v>1085</v>
      </c>
      <c r="F15" t="s">
        <v>1086</v>
      </c>
      <c r="G15" t="s">
        <v>755</v>
      </c>
      <c r="H15" t="str">
        <f t="shared" si="0"/>
        <v>Charade Circuit</v>
      </c>
      <c r="I15" t="str">
        <f t="shared" si="1"/>
        <v>&lt;b&gt;French Grand Prix&lt;/b&gt; &lt;br/&gt; Charade Circuit&lt;br/&gt;Clermont-Ferrand&lt;br/&gt;France</v>
      </c>
    </row>
    <row r="16" spans="1:9">
      <c r="A16" t="s">
        <v>1421</v>
      </c>
      <c r="B16">
        <v>32.7774</v>
      </c>
      <c r="C16">
        <v>-96.758700000000005</v>
      </c>
      <c r="D16" t="s">
        <v>1420</v>
      </c>
      <c r="E16" t="s">
        <v>1422</v>
      </c>
      <c r="F16" t="s">
        <v>1423</v>
      </c>
      <c r="G16" t="s">
        <v>1010</v>
      </c>
      <c r="H16" t="str">
        <f t="shared" si="0"/>
        <v>Fair Park</v>
      </c>
      <c r="I16" t="str">
        <f t="shared" si="1"/>
        <v>&lt;b&gt;Dallas Grand Prix&lt;/b&gt; &lt;br/&gt; Fair Park&lt;br/&gt;Dallas&lt;br/&gt;USA</v>
      </c>
    </row>
    <row r="17" spans="1:9">
      <c r="A17" t="s">
        <v>1383</v>
      </c>
      <c r="B17">
        <v>42.329799999999999</v>
      </c>
      <c r="C17">
        <v>-83.040099999999995</v>
      </c>
      <c r="D17" t="s">
        <v>1382</v>
      </c>
      <c r="E17" t="s">
        <v>1384</v>
      </c>
      <c r="F17" t="s">
        <v>1385</v>
      </c>
      <c r="G17" t="s">
        <v>1010</v>
      </c>
      <c r="H17" t="str">
        <f t="shared" si="0"/>
        <v>Detroit Street Circuit</v>
      </c>
      <c r="I17" t="str">
        <f t="shared" si="1"/>
        <v>&lt;b&gt;Detroit Grand Prix&lt;/b&gt; &lt;br/&gt; Detroit Street Circuit&lt;br/&gt;Detroit&lt;br/&gt;USA</v>
      </c>
    </row>
    <row r="18" spans="1:9">
      <c r="A18" t="s">
        <v>1238</v>
      </c>
      <c r="B18">
        <v>47.362499999999997</v>
      </c>
      <c r="C18">
        <v>47.362499999999997</v>
      </c>
      <c r="D18" t="s">
        <v>877</v>
      </c>
      <c r="E18" t="s">
        <v>1239</v>
      </c>
      <c r="F18" t="s">
        <v>1240</v>
      </c>
      <c r="G18" t="s">
        <v>755</v>
      </c>
      <c r="H18" t="str">
        <f t="shared" si="0"/>
        <v>Dijon-Prenois</v>
      </c>
      <c r="I18" t="str">
        <f t="shared" si="1"/>
        <v>&lt;b&gt;French Grand Prix&lt;/b&gt; &lt;br/&gt; Dijon-Prenois&lt;br/&gt;Dijon&lt;br/&gt;France</v>
      </c>
    </row>
    <row r="19" spans="1:9">
      <c r="A19" t="s">
        <v>1590</v>
      </c>
      <c r="B19">
        <v>52.830599999999997</v>
      </c>
      <c r="C19">
        <v>-1.3752800000000001</v>
      </c>
      <c r="D19" t="s">
        <v>1409</v>
      </c>
      <c r="E19" t="s">
        <v>1591</v>
      </c>
      <c r="F19" t="s">
        <v>1592</v>
      </c>
      <c r="G19" t="s">
        <v>854</v>
      </c>
      <c r="H19" t="str">
        <f t="shared" si="0"/>
        <v>Donington Park</v>
      </c>
      <c r="I19" t="str">
        <f t="shared" si="1"/>
        <v>&lt;b&gt;European Grand Prix&lt;/b&gt; &lt;br/&gt; Donington Park&lt;br/&gt;Castle Donington&lt;br/&gt;UK</v>
      </c>
    </row>
    <row r="20" spans="1:9">
      <c r="A20" t="s">
        <v>908</v>
      </c>
      <c r="B20">
        <v>49.330599999999997</v>
      </c>
      <c r="C20">
        <v>1.00458</v>
      </c>
      <c r="D20" t="s">
        <v>877</v>
      </c>
      <c r="E20" t="s">
        <v>909</v>
      </c>
      <c r="F20" t="s">
        <v>910</v>
      </c>
      <c r="G20" t="s">
        <v>755</v>
      </c>
      <c r="H20" t="str">
        <f t="shared" si="0"/>
        <v>Rouen-Les-Essarts</v>
      </c>
      <c r="I20" t="str">
        <f t="shared" si="1"/>
        <v>&lt;b&gt;French Grand Prix&lt;/b&gt; &lt;br/&gt; Rouen-Les-Essarts&lt;br/&gt;Rouen&lt;br/&gt;France</v>
      </c>
    </row>
    <row r="21" spans="1:9">
      <c r="A21" t="s">
        <v>1431</v>
      </c>
      <c r="B21">
        <v>38.750599999999999</v>
      </c>
      <c r="C21">
        <v>-9.3941700000000008</v>
      </c>
      <c r="D21" t="s">
        <v>980</v>
      </c>
      <c r="E21" t="s">
        <v>1432</v>
      </c>
      <c r="F21" t="s">
        <v>1433</v>
      </c>
      <c r="G21" t="s">
        <v>984</v>
      </c>
      <c r="H21" t="str">
        <f t="shared" si="0"/>
        <v>Autódromo do Estoril</v>
      </c>
      <c r="I21" t="str">
        <f t="shared" si="1"/>
        <v>&lt;b&gt;Portuguese Grand Prix&lt;/b&gt; &lt;br/&gt; Autódromo do Estoril&lt;br/&gt;Estoril&lt;br/&gt;Portugal</v>
      </c>
    </row>
    <row r="22" spans="1:9">
      <c r="A22" t="s">
        <v>1281</v>
      </c>
      <c r="B22">
        <v>35.371699999999997</v>
      </c>
      <c r="C22">
        <v>138.92699999999999</v>
      </c>
      <c r="D22" t="s">
        <v>1280</v>
      </c>
      <c r="E22" t="s">
        <v>1282</v>
      </c>
      <c r="F22" t="s">
        <v>1283</v>
      </c>
      <c r="G22" t="s">
        <v>375</v>
      </c>
      <c r="H22" t="str">
        <f t="shared" si="0"/>
        <v>Fuji Speedway</v>
      </c>
      <c r="I22" t="str">
        <f t="shared" si="1"/>
        <v>&lt;b&gt;Japanese Grand Prix&lt;/b&gt; &lt;br/&gt; Fuji Speedway&lt;br/&gt;Oyama&lt;br/&gt;Japan</v>
      </c>
    </row>
    <row r="23" spans="1:9">
      <c r="A23" t="s">
        <v>922</v>
      </c>
      <c r="B23">
        <v>-34.694299999999998</v>
      </c>
      <c r="C23">
        <v>-58.459299999999999</v>
      </c>
      <c r="D23" t="s">
        <v>921</v>
      </c>
      <c r="E23" t="s">
        <v>923</v>
      </c>
      <c r="F23" t="s">
        <v>253</v>
      </c>
      <c r="G23" t="s">
        <v>252</v>
      </c>
      <c r="H23" t="str">
        <f t="shared" si="0"/>
        <v>Autódromo Juan y Oscar Gálvez</v>
      </c>
      <c r="I23" t="str">
        <f t="shared" si="1"/>
        <v>&lt;b&gt;Argentine Grand Prix&lt;/b&gt; &lt;br/&gt; Autódromo Juan y Oscar Gálvez&lt;br/&gt;Buenos Aires&lt;br/&gt;Argentina</v>
      </c>
    </row>
    <row r="24" spans="1:9">
      <c r="A24" t="s">
        <v>1043</v>
      </c>
      <c r="B24">
        <v>-33.0486</v>
      </c>
      <c r="C24">
        <v>27.8736</v>
      </c>
      <c r="D24" t="s">
        <v>1042</v>
      </c>
      <c r="E24" t="s">
        <v>1044</v>
      </c>
      <c r="F24" t="s">
        <v>1045</v>
      </c>
      <c r="G24" t="s">
        <v>1046</v>
      </c>
      <c r="H24" t="str">
        <f t="shared" si="0"/>
        <v>Prince George Circuit</v>
      </c>
      <c r="I24" t="str">
        <f t="shared" si="1"/>
        <v>&lt;b&gt;South African Grand Prix&lt;/b&gt; &lt;br/&gt; Prince George Circuit&lt;br/&gt;Eastern Cape Province&lt;br/&gt;South Africa</v>
      </c>
    </row>
    <row r="25" spans="1:9">
      <c r="A25" t="s">
        <v>1162</v>
      </c>
      <c r="B25">
        <v>49.327800000000003</v>
      </c>
      <c r="C25">
        <v>8.5658300000000001</v>
      </c>
      <c r="D25" t="s">
        <v>893</v>
      </c>
      <c r="E25" t="s">
        <v>1163</v>
      </c>
      <c r="F25" t="s">
        <v>1164</v>
      </c>
      <c r="G25" t="s">
        <v>761</v>
      </c>
      <c r="H25" t="str">
        <f t="shared" si="0"/>
        <v>Hockenheimring</v>
      </c>
      <c r="I25" t="str">
        <f t="shared" si="1"/>
        <v>&lt;b&gt;German Grand Prix&lt;/b&gt; &lt;br/&gt; Hockenheimring&lt;br/&gt;Hockenheim&lt;br/&gt;Germany</v>
      </c>
    </row>
    <row r="26" spans="1:9">
      <c r="A26" t="s">
        <v>1470</v>
      </c>
      <c r="B26">
        <v>47.578899999999997</v>
      </c>
      <c r="C26">
        <v>19.2486</v>
      </c>
      <c r="D26" t="s">
        <v>1469</v>
      </c>
      <c r="E26" t="s">
        <v>1471</v>
      </c>
      <c r="F26" t="s">
        <v>1472</v>
      </c>
      <c r="G26" t="s">
        <v>1473</v>
      </c>
      <c r="H26" t="str">
        <f t="shared" si="0"/>
        <v>Hungaroring</v>
      </c>
      <c r="I26" t="str">
        <f t="shared" si="1"/>
        <v>&lt;b&gt;Hungarian Grand Prix&lt;/b&gt; &lt;br/&gt; Hungaroring&lt;br/&gt;Budapest&lt;br/&gt;Hungary</v>
      </c>
    </row>
    <row r="27" spans="1:9">
      <c r="A27" t="s">
        <v>1350</v>
      </c>
      <c r="B27">
        <v>44.343899999999998</v>
      </c>
      <c r="C27">
        <v>11.716699999999999</v>
      </c>
      <c r="D27" t="s">
        <v>882</v>
      </c>
      <c r="E27" t="s">
        <v>1351</v>
      </c>
      <c r="F27" t="s">
        <v>1352</v>
      </c>
      <c r="G27" t="s">
        <v>886</v>
      </c>
      <c r="H27" t="str">
        <f t="shared" si="0"/>
        <v>Autodromo Enzo e Dino Ferrari</v>
      </c>
      <c r="I27" t="str">
        <f t="shared" si="1"/>
        <v>&lt;b&gt;Italian Grand Prix&lt;/b&gt; &lt;br/&gt; Autodromo Enzo e Dino Ferrari&lt;br/&gt;Imola&lt;br/&gt;Italy</v>
      </c>
    </row>
    <row r="28" spans="1:9">
      <c r="A28" t="s">
        <v>863</v>
      </c>
      <c r="B28">
        <v>39.795000000000002</v>
      </c>
      <c r="C28">
        <v>-86.234700000000004</v>
      </c>
      <c r="D28" t="s">
        <v>862</v>
      </c>
      <c r="E28" t="s">
        <v>864</v>
      </c>
      <c r="F28" t="s">
        <v>865</v>
      </c>
      <c r="G28" t="s">
        <v>1010</v>
      </c>
      <c r="H28" t="str">
        <f t="shared" si="0"/>
        <v>Indianapolis Motor Speedway</v>
      </c>
      <c r="I28" t="str">
        <f t="shared" si="1"/>
        <v>&lt;b&gt;Indianapolis 500&lt;/b&gt; &lt;br/&gt; Indianapolis Motor Speedway&lt;br/&gt;Indianapolis&lt;br/&gt;USA</v>
      </c>
    </row>
    <row r="29" spans="1:9">
      <c r="A29" t="s">
        <v>1204</v>
      </c>
      <c r="B29">
        <v>-23.703600000000002</v>
      </c>
      <c r="C29">
        <v>-46.6997</v>
      </c>
      <c r="D29" t="s">
        <v>1203</v>
      </c>
      <c r="E29" t="s">
        <v>1205</v>
      </c>
      <c r="F29" t="s">
        <v>1206</v>
      </c>
      <c r="G29" t="s">
        <v>1207</v>
      </c>
      <c r="H29" t="str">
        <f t="shared" si="0"/>
        <v>Autódromo José Carlos Pace</v>
      </c>
      <c r="I29" t="str">
        <f t="shared" si="1"/>
        <v>&lt;b&gt;Brazilian Grand Prix&lt;/b&gt; &lt;br/&gt; Autódromo José Carlos Pace&lt;br/&gt;São Paulo&lt;br/&gt;Brazil</v>
      </c>
    </row>
    <row r="30" spans="1:9">
      <c r="A30" t="s">
        <v>1826</v>
      </c>
      <c r="B30">
        <v>40.951700000000002</v>
      </c>
      <c r="C30">
        <v>29.405000000000001</v>
      </c>
      <c r="D30" t="s">
        <v>1825</v>
      </c>
      <c r="E30" t="s">
        <v>1827</v>
      </c>
      <c r="F30" t="s">
        <v>1828</v>
      </c>
      <c r="G30" t="s">
        <v>1829</v>
      </c>
      <c r="H30" t="str">
        <f t="shared" si="0"/>
        <v>Istanbul Park</v>
      </c>
      <c r="I30" t="str">
        <f t="shared" si="1"/>
        <v>&lt;b&gt;Turkish Grand Prix&lt;/b&gt; &lt;br/&gt; Istanbul Park&lt;br/&gt;Istanbul&lt;br/&gt;Turkey</v>
      </c>
    </row>
    <row r="31" spans="1:9">
      <c r="A31" t="s">
        <v>1303</v>
      </c>
      <c r="B31">
        <v>-22.9756</v>
      </c>
      <c r="C31">
        <v>-43.395000000000003</v>
      </c>
      <c r="D31" t="s">
        <v>1203</v>
      </c>
      <c r="E31" t="s">
        <v>1304</v>
      </c>
      <c r="F31" t="s">
        <v>1305</v>
      </c>
      <c r="G31" t="s">
        <v>1207</v>
      </c>
      <c r="H31" t="str">
        <f t="shared" si="0"/>
        <v>Autódromo Internacional Nelson Piquet</v>
      </c>
      <c r="I31" t="str">
        <f t="shared" si="1"/>
        <v>&lt;b&gt;Brazilian Grand Prix&lt;/b&gt; &lt;br/&gt; Autódromo Internacional Nelson Piquet&lt;br/&gt;Rio de Janeiro&lt;br/&gt;Brazil</v>
      </c>
    </row>
    <row r="32" spans="1:9">
      <c r="A32" t="s">
        <v>1125</v>
      </c>
      <c r="B32">
        <v>40.617100000000001</v>
      </c>
      <c r="C32">
        <v>-3.5855800000000002</v>
      </c>
      <c r="D32" t="s">
        <v>899</v>
      </c>
      <c r="E32" t="s">
        <v>1126</v>
      </c>
      <c r="F32" t="s">
        <v>1127</v>
      </c>
      <c r="G32" t="s">
        <v>903</v>
      </c>
      <c r="H32" t="str">
        <f t="shared" si="0"/>
        <v>Jarama</v>
      </c>
      <c r="I32" t="str">
        <f t="shared" si="1"/>
        <v>&lt;b&gt;Spanish Grand Prix&lt;/b&gt; &lt;br/&gt; Jarama&lt;br/&gt;Madrid&lt;br/&gt;Spain</v>
      </c>
    </row>
    <row r="33" spans="1:9">
      <c r="A33" t="s">
        <v>1457</v>
      </c>
      <c r="B33">
        <v>36.708300000000001</v>
      </c>
      <c r="C33">
        <v>-6.0341699999999996</v>
      </c>
      <c r="D33" t="s">
        <v>899</v>
      </c>
      <c r="E33" t="s">
        <v>1458</v>
      </c>
      <c r="F33" t="s">
        <v>1459</v>
      </c>
      <c r="G33" t="s">
        <v>903</v>
      </c>
      <c r="H33" t="str">
        <f t="shared" si="0"/>
        <v>Circuito de Jerez</v>
      </c>
      <c r="I33" t="str">
        <f t="shared" si="1"/>
        <v>&lt;b&gt;Spanish Grand Prix&lt;/b&gt; &lt;br/&gt; Circuito de Jerez&lt;br/&gt;Jerez de la Frontera&lt;br/&gt;Spain</v>
      </c>
    </row>
    <row r="34" spans="1:9">
      <c r="A34" t="s">
        <v>1103</v>
      </c>
      <c r="B34">
        <v>-25.9894</v>
      </c>
      <c r="C34">
        <v>28.076699999999999</v>
      </c>
      <c r="D34" t="s">
        <v>1042</v>
      </c>
      <c r="E34" t="s">
        <v>1104</v>
      </c>
      <c r="F34" t="s">
        <v>1105</v>
      </c>
      <c r="G34" t="s">
        <v>1046</v>
      </c>
      <c r="H34" t="str">
        <f t="shared" ref="H34:H65" si="2">E34</f>
        <v>Kyalami</v>
      </c>
      <c r="I34" t="str">
        <f t="shared" si="1"/>
        <v>&lt;b&gt;South African Grand Prix&lt;/b&gt; &lt;br/&gt; Kyalami&lt;br/&gt;Midrand&lt;br/&gt;South Africa</v>
      </c>
    </row>
    <row r="35" spans="1:9">
      <c r="A35" t="s">
        <v>1372</v>
      </c>
      <c r="B35">
        <v>36.176000000000002</v>
      </c>
      <c r="C35">
        <v>-115.137</v>
      </c>
      <c r="D35" t="s">
        <v>1371</v>
      </c>
      <c r="E35" t="s">
        <v>1373</v>
      </c>
      <c r="F35" t="s">
        <v>1374</v>
      </c>
      <c r="G35" t="s">
        <v>1010</v>
      </c>
      <c r="H35" t="str">
        <f t="shared" si="2"/>
        <v>Las Vegas Street Circuit</v>
      </c>
      <c r="I35" t="str">
        <f t="shared" si="1"/>
        <v>&lt;b&gt;Caesars Palace Grand Prix&lt;/b&gt; &lt;br/&gt; Las Vegas Street Circuit&lt;br/&gt;Nevada&lt;br/&gt;USA</v>
      </c>
    </row>
    <row r="36" spans="1:9">
      <c r="A36" t="s">
        <v>1110</v>
      </c>
      <c r="B36">
        <v>47.9377</v>
      </c>
      <c r="C36">
        <v>0.22561100000000001</v>
      </c>
      <c r="D36" t="s">
        <v>877</v>
      </c>
      <c r="E36" t="s">
        <v>1111</v>
      </c>
      <c r="F36" t="s">
        <v>1111</v>
      </c>
      <c r="G36" t="s">
        <v>755</v>
      </c>
      <c r="H36" t="str">
        <f t="shared" si="2"/>
        <v>Le Mans</v>
      </c>
      <c r="I36" t="str">
        <f t="shared" si="1"/>
        <v>&lt;b&gt;French Grand Prix&lt;/b&gt; &lt;br/&gt; Le Mans&lt;br/&gt;Le Mans&lt;br/&gt;France</v>
      </c>
    </row>
    <row r="37" spans="1:9">
      <c r="A37" t="s">
        <v>1265</v>
      </c>
      <c r="B37">
        <v>33.804200000000002</v>
      </c>
      <c r="C37">
        <v>-118.158</v>
      </c>
      <c r="D37" t="s">
        <v>1264</v>
      </c>
      <c r="E37" t="s">
        <v>1266</v>
      </c>
      <c r="F37" t="s">
        <v>77</v>
      </c>
      <c r="G37" t="s">
        <v>1010</v>
      </c>
      <c r="H37" t="str">
        <f t="shared" si="2"/>
        <v>Long Beach</v>
      </c>
      <c r="I37" t="str">
        <f t="shared" si="1"/>
        <v>&lt;b&gt;United States Grand Prix West&lt;/b&gt; &lt;br/&gt; Long Beach&lt;br/&gt;California&lt;br/&gt;USA</v>
      </c>
    </row>
    <row r="38" spans="1:9">
      <c r="A38" t="s">
        <v>1556</v>
      </c>
      <c r="B38">
        <v>46.864199999999997</v>
      </c>
      <c r="C38">
        <v>3.1636099999999998</v>
      </c>
      <c r="D38" t="s">
        <v>877</v>
      </c>
      <c r="E38" t="s">
        <v>1557</v>
      </c>
      <c r="F38" t="s">
        <v>1558</v>
      </c>
      <c r="G38" t="s">
        <v>755</v>
      </c>
      <c r="H38" t="str">
        <f t="shared" si="2"/>
        <v>Circuit de Nevers Magny-Cours</v>
      </c>
      <c r="I38" t="str">
        <f t="shared" si="1"/>
        <v>&lt;b&gt;French Grand Prix&lt;/b&gt; &lt;br/&gt; Circuit de Nevers Magny-Cours&lt;br/&gt;Magny Cours&lt;br/&gt;France</v>
      </c>
    </row>
    <row r="39" spans="1:9">
      <c r="A39" t="s">
        <v>1890</v>
      </c>
      <c r="B39">
        <v>1.2914000000000001</v>
      </c>
      <c r="C39">
        <v>103.864</v>
      </c>
      <c r="D39" t="s">
        <v>1889</v>
      </c>
      <c r="E39" t="s">
        <v>1891</v>
      </c>
      <c r="F39" t="s">
        <v>1892</v>
      </c>
      <c r="G39" t="s">
        <v>1893</v>
      </c>
      <c r="H39" t="str">
        <f t="shared" si="2"/>
        <v>Marina Bay Street Circuit</v>
      </c>
      <c r="I39" t="str">
        <f t="shared" si="1"/>
        <v>&lt;b&gt;Singapore Grand Prix&lt;/b&gt; &lt;br/&gt; Marina Bay Street Circuit&lt;br/&gt;Marina Bay&lt;br/&gt;Singapore</v>
      </c>
    </row>
    <row r="40" spans="1:9">
      <c r="A40" t="s">
        <v>857</v>
      </c>
      <c r="B40">
        <v>43.734699999999997</v>
      </c>
      <c r="C40">
        <v>7.42056</v>
      </c>
      <c r="D40" t="s">
        <v>856</v>
      </c>
      <c r="E40" t="s">
        <v>858</v>
      </c>
      <c r="F40" t="s">
        <v>859</v>
      </c>
      <c r="G40" t="s">
        <v>860</v>
      </c>
      <c r="H40" t="str">
        <f t="shared" si="2"/>
        <v>Circuit de Monaco</v>
      </c>
      <c r="I40" t="str">
        <f t="shared" si="1"/>
        <v>&lt;b&gt;Monaco Grand Prix&lt;/b&gt; &lt;br/&gt; Circuit de Monaco&lt;br/&gt;Monte-Carlo&lt;br/&gt;Monaco</v>
      </c>
    </row>
    <row r="41" spans="1:9">
      <c r="A41" t="s">
        <v>1001</v>
      </c>
      <c r="B41">
        <v>38.719700000000003</v>
      </c>
      <c r="C41">
        <v>-9.2030600000000007</v>
      </c>
      <c r="D41" t="s">
        <v>980</v>
      </c>
      <c r="E41" t="s">
        <v>1002</v>
      </c>
      <c r="F41" t="s">
        <v>1003</v>
      </c>
      <c r="G41" t="s">
        <v>984</v>
      </c>
      <c r="H41" t="str">
        <f t="shared" si="2"/>
        <v>Monsanto Park Circuit</v>
      </c>
      <c r="I41" t="str">
        <f t="shared" si="1"/>
        <v>&lt;b&gt;Portuguese Grand Prix&lt;/b&gt; &lt;br/&gt; Monsanto Park Circuit&lt;br/&gt;Lisbon&lt;br/&gt;Portugal</v>
      </c>
    </row>
    <row r="42" spans="1:9">
      <c r="A42" t="s">
        <v>1143</v>
      </c>
      <c r="B42">
        <v>41.366399999999999</v>
      </c>
      <c r="C42">
        <v>2.1516700000000002</v>
      </c>
      <c r="D42" t="s">
        <v>899</v>
      </c>
      <c r="E42" t="s">
        <v>1144</v>
      </c>
      <c r="F42" t="s">
        <v>902</v>
      </c>
      <c r="G42" t="s">
        <v>903</v>
      </c>
      <c r="H42" t="str">
        <f t="shared" si="2"/>
        <v>Montjuïc</v>
      </c>
      <c r="I42" t="str">
        <f t="shared" si="1"/>
        <v>&lt;b&gt;Spanish Grand Prix&lt;/b&gt; &lt;br/&gt; Montjuïc&lt;br/&gt;Barcelona&lt;br/&gt;Spain</v>
      </c>
    </row>
    <row r="43" spans="1:9">
      <c r="A43" t="s">
        <v>883</v>
      </c>
      <c r="B43">
        <v>45.615600000000001</v>
      </c>
      <c r="C43">
        <v>9.28111</v>
      </c>
      <c r="D43" t="s">
        <v>882</v>
      </c>
      <c r="E43" t="s">
        <v>884</v>
      </c>
      <c r="F43" t="s">
        <v>885</v>
      </c>
      <c r="G43" t="s">
        <v>886</v>
      </c>
      <c r="H43" t="str">
        <f t="shared" si="2"/>
        <v>Autodromo Nazionale di Monza</v>
      </c>
      <c r="I43" t="str">
        <f t="shared" si="1"/>
        <v>&lt;b&gt;Italian Grand Prix&lt;/b&gt; &lt;br/&gt; Autodromo Nazionale di Monza&lt;br/&gt;Monza&lt;br/&gt;Italy</v>
      </c>
    </row>
    <row r="44" spans="1:9">
      <c r="A44" t="s">
        <v>1116</v>
      </c>
      <c r="B44">
        <v>44.048099999999998</v>
      </c>
      <c r="C44">
        <v>-78.675600000000003</v>
      </c>
      <c r="D44" t="s">
        <v>1115</v>
      </c>
      <c r="E44" t="s">
        <v>1117</v>
      </c>
      <c r="F44" t="s">
        <v>1118</v>
      </c>
      <c r="G44" t="s">
        <v>1119</v>
      </c>
      <c r="H44" t="str">
        <f t="shared" si="2"/>
        <v>Mosport International Raceway</v>
      </c>
      <c r="I44" t="str">
        <f t="shared" si="1"/>
        <v>&lt;b&gt;Canadian Grand Prix&lt;/b&gt; &lt;br/&gt; Mosport International Raceway&lt;br/&gt;Ontario&lt;br/&gt;Canada</v>
      </c>
    </row>
    <row r="45" spans="1:9">
      <c r="A45" t="s">
        <v>1192</v>
      </c>
      <c r="B45">
        <v>50.621099999999998</v>
      </c>
      <c r="C45">
        <v>4.3269399999999996</v>
      </c>
      <c r="D45" t="s">
        <v>872</v>
      </c>
      <c r="E45" t="s">
        <v>1193</v>
      </c>
      <c r="F45" t="s">
        <v>100</v>
      </c>
      <c r="G45" t="s">
        <v>244</v>
      </c>
      <c r="H45" t="str">
        <f t="shared" si="2"/>
        <v>Nivelles-Baulers</v>
      </c>
      <c r="I45" t="str">
        <f t="shared" si="1"/>
        <v>&lt;b&gt;Belgian Grand Prix&lt;/b&gt; &lt;br/&gt; Nivelles-Baulers&lt;br/&gt;Brussels&lt;br/&gt;Belgium</v>
      </c>
    </row>
    <row r="46" spans="1:9">
      <c r="A46" t="s">
        <v>894</v>
      </c>
      <c r="B46">
        <v>50.335599999999999</v>
      </c>
      <c r="C46">
        <v>6.9474999999999998</v>
      </c>
      <c r="D46" t="s">
        <v>893</v>
      </c>
      <c r="E46" t="s">
        <v>895</v>
      </c>
      <c r="F46" t="s">
        <v>896</v>
      </c>
      <c r="G46" t="s">
        <v>761</v>
      </c>
      <c r="H46" t="str">
        <f t="shared" si="2"/>
        <v>Nürburgring</v>
      </c>
      <c r="I46" t="str">
        <f t="shared" si="1"/>
        <v>&lt;b&gt;German Grand Prix&lt;/b&gt; &lt;br/&gt; Nürburgring&lt;br/&gt;Nürburg&lt;br/&gt;Germany</v>
      </c>
    </row>
    <row r="47" spans="1:9">
      <c r="A47" t="s">
        <v>1609</v>
      </c>
      <c r="B47">
        <v>34.914999999999999</v>
      </c>
      <c r="C47">
        <v>134.221</v>
      </c>
      <c r="D47" t="s">
        <v>1608</v>
      </c>
      <c r="E47" t="s">
        <v>1610</v>
      </c>
      <c r="F47" t="s">
        <v>1611</v>
      </c>
      <c r="G47" t="s">
        <v>375</v>
      </c>
      <c r="H47" t="str">
        <f t="shared" si="2"/>
        <v>Okayama International Circuit</v>
      </c>
      <c r="I47" t="str">
        <f t="shared" si="1"/>
        <v>&lt;b&gt;Pacific Grand Prix&lt;/b&gt; &lt;br/&gt; Okayama International Circuit&lt;br/&gt;Okayama&lt;br/&gt;Japan</v>
      </c>
    </row>
    <row r="48" spans="1:9">
      <c r="A48" t="s">
        <v>1166</v>
      </c>
      <c r="B48">
        <v>47.219700000000003</v>
      </c>
      <c r="C48">
        <v>14.764699999999999</v>
      </c>
      <c r="D48" t="s">
        <v>1072</v>
      </c>
      <c r="E48" t="s">
        <v>1167</v>
      </c>
      <c r="F48" t="s">
        <v>1168</v>
      </c>
      <c r="G48" t="s">
        <v>1076</v>
      </c>
      <c r="H48" t="str">
        <f t="shared" si="2"/>
        <v>A1-Ring</v>
      </c>
      <c r="I48" t="str">
        <f t="shared" si="1"/>
        <v>&lt;b&gt;Austrian Grand Prix&lt;/b&gt; &lt;br/&gt; A1-Ring&lt;br/&gt;Spielburg&lt;br/&gt;Austria</v>
      </c>
    </row>
    <row r="49" spans="1:9">
      <c r="A49" t="s">
        <v>900</v>
      </c>
      <c r="B49">
        <v>41.390300000000003</v>
      </c>
      <c r="C49">
        <v>2.1166700000000001</v>
      </c>
      <c r="D49" t="s">
        <v>899</v>
      </c>
      <c r="E49" t="s">
        <v>901</v>
      </c>
      <c r="F49" t="s">
        <v>902</v>
      </c>
      <c r="G49" t="s">
        <v>903</v>
      </c>
      <c r="H49" t="str">
        <f t="shared" si="2"/>
        <v>Circuit de Pedralbes</v>
      </c>
      <c r="I49" t="str">
        <f t="shared" si="1"/>
        <v>&lt;b&gt;Spanish Grand Prix&lt;/b&gt; &lt;br/&gt; Circuit de Pedralbes&lt;br/&gt;Barcelona&lt;br/&gt;Spain</v>
      </c>
    </row>
    <row r="50" spans="1:9">
      <c r="A50" t="s">
        <v>967</v>
      </c>
      <c r="B50">
        <v>42.475000000000001</v>
      </c>
      <c r="C50">
        <v>14.1508</v>
      </c>
      <c r="D50" t="s">
        <v>966</v>
      </c>
      <c r="E50" t="s">
        <v>968</v>
      </c>
      <c r="F50" t="s">
        <v>969</v>
      </c>
      <c r="G50" t="s">
        <v>886</v>
      </c>
      <c r="H50" t="str">
        <f t="shared" si="2"/>
        <v>Pescara Circuit</v>
      </c>
      <c r="I50" t="str">
        <f t="shared" si="1"/>
        <v>&lt;b&gt;Pescara Grand Prix&lt;/b&gt; &lt;br/&gt; Pescara Circuit&lt;br/&gt;Pescara&lt;br/&gt;Italy</v>
      </c>
    </row>
    <row r="51" spans="1:9">
      <c r="A51" t="s">
        <v>1519</v>
      </c>
      <c r="B51">
        <v>33.447899999999997</v>
      </c>
      <c r="C51">
        <v>-112.075</v>
      </c>
      <c r="D51" t="s">
        <v>1006</v>
      </c>
      <c r="E51" t="s">
        <v>1520</v>
      </c>
      <c r="F51" t="s">
        <v>1521</v>
      </c>
      <c r="G51" t="s">
        <v>1010</v>
      </c>
      <c r="H51" t="str">
        <f t="shared" si="2"/>
        <v>Phoenix street circuit</v>
      </c>
      <c r="I51" t="str">
        <f t="shared" si="1"/>
        <v>&lt;b&gt;United States Grand Prix&lt;/b&gt; &lt;br/&gt; Phoenix street circuit&lt;br/&gt;Phoenix&lt;br/&gt;USA</v>
      </c>
    </row>
    <row r="52" spans="1:9">
      <c r="A52" t="s">
        <v>878</v>
      </c>
      <c r="B52">
        <v>49.254199999999997</v>
      </c>
      <c r="C52">
        <v>3.9308299999999998</v>
      </c>
      <c r="D52" t="s">
        <v>877</v>
      </c>
      <c r="E52" t="s">
        <v>879</v>
      </c>
      <c r="F52" t="s">
        <v>880</v>
      </c>
      <c r="G52" t="s">
        <v>755</v>
      </c>
      <c r="H52" t="str">
        <f t="shared" si="2"/>
        <v>Reims-Gueux</v>
      </c>
      <c r="I52" t="str">
        <f t="shared" si="1"/>
        <v>&lt;b&gt;French Grand Prix&lt;/b&gt; &lt;br/&gt; Reims-Gueux&lt;br/&gt;Reims&lt;br/&gt;France</v>
      </c>
    </row>
    <row r="53" spans="1:9">
      <c r="A53" t="s">
        <v>1178</v>
      </c>
      <c r="B53">
        <v>43.250599999999999</v>
      </c>
      <c r="C53">
        <v>5.7916699999999999</v>
      </c>
      <c r="D53" t="s">
        <v>877</v>
      </c>
      <c r="E53" t="s">
        <v>1179</v>
      </c>
      <c r="F53" t="s">
        <v>1180</v>
      </c>
      <c r="G53" t="s">
        <v>755</v>
      </c>
      <c r="H53" t="str">
        <f t="shared" si="2"/>
        <v>Circuit Paul Ricard</v>
      </c>
      <c r="I53" t="str">
        <f t="shared" si="1"/>
        <v>&lt;b&gt;French Grand Prix&lt;/b&gt; &lt;br/&gt; Circuit Paul Ricard&lt;br/&gt;Le Castellet&lt;br/&gt;France</v>
      </c>
    </row>
    <row r="54" spans="1:9">
      <c r="A54" t="s">
        <v>1021</v>
      </c>
      <c r="B54">
        <v>33.936999999999998</v>
      </c>
      <c r="C54">
        <v>-117.273</v>
      </c>
      <c r="D54" t="s">
        <v>1006</v>
      </c>
      <c r="E54" t="s">
        <v>1022</v>
      </c>
      <c r="F54" t="s">
        <v>77</v>
      </c>
      <c r="G54" t="s">
        <v>1010</v>
      </c>
      <c r="H54" t="str">
        <f t="shared" si="2"/>
        <v>Riverside International Raceway</v>
      </c>
      <c r="I54" t="str">
        <f t="shared" si="1"/>
        <v>&lt;b&gt;United States Grand Prix&lt;/b&gt; &lt;br/&gt; Riverside International Raceway&lt;br/&gt;California&lt;br/&gt;USA</v>
      </c>
    </row>
    <row r="55" spans="1:9">
      <c r="A55" t="s">
        <v>1057</v>
      </c>
      <c r="B55">
        <v>19.432700000000001</v>
      </c>
      <c r="C55">
        <v>-99.133300000000006</v>
      </c>
      <c r="D55" t="s">
        <v>1056</v>
      </c>
      <c r="E55" t="s">
        <v>1058</v>
      </c>
      <c r="F55" t="s">
        <v>1059</v>
      </c>
      <c r="G55" t="s">
        <v>1060</v>
      </c>
      <c r="H55" t="str">
        <f t="shared" si="2"/>
        <v>Autódromo Hermanos Rodríguez</v>
      </c>
      <c r="I55" t="str">
        <f t="shared" si="1"/>
        <v>&lt;b&gt;Mexican Grand Prix&lt;/b&gt; &lt;br/&gt; Autódromo Hermanos Rodríguez&lt;br/&gt;Mexico City&lt;br/&gt;Mexico</v>
      </c>
    </row>
    <row r="56" spans="1:9">
      <c r="A56" t="s">
        <v>1007</v>
      </c>
      <c r="B56">
        <v>27.454699999999999</v>
      </c>
      <c r="C56">
        <v>-81.348299999999995</v>
      </c>
      <c r="D56" t="s">
        <v>1006</v>
      </c>
      <c r="E56" t="s">
        <v>1008</v>
      </c>
      <c r="F56" t="s">
        <v>1009</v>
      </c>
      <c r="G56" t="s">
        <v>1010</v>
      </c>
      <c r="H56" t="str">
        <f t="shared" si="2"/>
        <v>Sebring International Raceway</v>
      </c>
      <c r="I56" t="str">
        <f t="shared" si="1"/>
        <v>&lt;b&gt;United States Grand Prix&lt;/b&gt; &lt;br/&gt; Sebring International Raceway&lt;br/&gt;Florida&lt;br/&gt;USA</v>
      </c>
    </row>
    <row r="57" spans="1:9">
      <c r="A57" t="s">
        <v>1712</v>
      </c>
      <c r="B57">
        <v>2.7608299999999999</v>
      </c>
      <c r="C57">
        <v>101.738</v>
      </c>
      <c r="D57" t="s">
        <v>1711</v>
      </c>
      <c r="E57" t="s">
        <v>1713</v>
      </c>
      <c r="F57" t="s">
        <v>1714</v>
      </c>
      <c r="G57" t="s">
        <v>1715</v>
      </c>
      <c r="H57" t="str">
        <f t="shared" si="2"/>
        <v>Sepang International Circuit</v>
      </c>
      <c r="I57" t="str">
        <f t="shared" si="1"/>
        <v>&lt;b&gt;Malaysian Grand Prix&lt;/b&gt; &lt;br/&gt; Sepang International Circuit&lt;br/&gt;Kuala Lumpur&lt;br/&gt;Malaysia</v>
      </c>
    </row>
    <row r="58" spans="1:9">
      <c r="A58" t="s">
        <v>1806</v>
      </c>
      <c r="B58">
        <v>31.338899999999999</v>
      </c>
      <c r="C58">
        <v>121.22</v>
      </c>
      <c r="D58" t="s">
        <v>1805</v>
      </c>
      <c r="E58" t="s">
        <v>1807</v>
      </c>
      <c r="F58" t="s">
        <v>1808</v>
      </c>
      <c r="G58" t="s">
        <v>255</v>
      </c>
      <c r="H58" t="str">
        <f t="shared" si="2"/>
        <v>Shanghai International Circuit</v>
      </c>
      <c r="I58" t="str">
        <f t="shared" si="1"/>
        <v>&lt;b&gt;Chinese Grand Prix&lt;/b&gt; &lt;br/&gt; Shanghai International Circuit&lt;br/&gt;Shanghai&lt;br/&gt;China</v>
      </c>
    </row>
    <row r="59" spans="1:9">
      <c r="A59" t="s">
        <v>851</v>
      </c>
      <c r="B59">
        <v>52.078600000000002</v>
      </c>
      <c r="C59">
        <v>-1.01694</v>
      </c>
      <c r="D59" t="s">
        <v>850</v>
      </c>
      <c r="E59" t="s">
        <v>852</v>
      </c>
      <c r="F59" t="s">
        <v>853</v>
      </c>
      <c r="G59" t="s">
        <v>854</v>
      </c>
      <c r="H59" t="str">
        <f t="shared" si="2"/>
        <v>Silverstone Circuit</v>
      </c>
      <c r="I59" t="str">
        <f t="shared" si="1"/>
        <v>&lt;b&gt;British Grand Prix&lt;/b&gt; &lt;br/&gt; Silverstone Circuit&lt;br/&gt;Silverstone&lt;br/&gt;UK</v>
      </c>
    </row>
    <row r="60" spans="1:9">
      <c r="A60" t="s">
        <v>873</v>
      </c>
      <c r="B60">
        <v>50.437199999999997</v>
      </c>
      <c r="C60">
        <v>5.9713900000000004</v>
      </c>
      <c r="D60" t="s">
        <v>872</v>
      </c>
      <c r="E60" t="s">
        <v>874</v>
      </c>
      <c r="F60" t="s">
        <v>875</v>
      </c>
      <c r="G60" t="s">
        <v>244</v>
      </c>
      <c r="H60" t="str">
        <f t="shared" si="2"/>
        <v>Circuit de Spa-Francorchamps</v>
      </c>
      <c r="I60" t="str">
        <f t="shared" si="1"/>
        <v>&lt;b&gt;Belgian Grand Prix&lt;/b&gt; &lt;br/&gt; Circuit de Spa-Francorchamps&lt;br/&gt;Spa&lt;br/&gt;Belgium</v>
      </c>
    </row>
    <row r="61" spans="1:9">
      <c r="A61" t="s">
        <v>1494</v>
      </c>
      <c r="B61">
        <v>34.8431</v>
      </c>
      <c r="C61">
        <v>136.541</v>
      </c>
      <c r="D61" t="s">
        <v>1280</v>
      </c>
      <c r="E61" t="s">
        <v>1495</v>
      </c>
      <c r="F61" t="s">
        <v>1496</v>
      </c>
      <c r="G61" t="s">
        <v>375</v>
      </c>
      <c r="H61" t="str">
        <f t="shared" si="2"/>
        <v>Suzuka Circuit</v>
      </c>
      <c r="I61" t="str">
        <f t="shared" si="1"/>
        <v>&lt;b&gt;Japanese Grand Prix&lt;/b&gt; &lt;br/&gt; Suzuka Circuit&lt;br/&gt;Suzuka&lt;br/&gt;Japan</v>
      </c>
    </row>
    <row r="62" spans="1:9">
      <c r="A62" t="s">
        <v>1136</v>
      </c>
      <c r="B62">
        <v>46.1877</v>
      </c>
      <c r="C62">
        <v>-74.609899999999996</v>
      </c>
      <c r="D62" t="s">
        <v>1115</v>
      </c>
      <c r="E62" t="s">
        <v>1137</v>
      </c>
      <c r="F62" t="s">
        <v>1138</v>
      </c>
      <c r="G62" t="s">
        <v>1119</v>
      </c>
      <c r="H62" t="str">
        <f t="shared" si="2"/>
        <v>Circuit Mont-Tremblant</v>
      </c>
      <c r="I62" t="str">
        <f t="shared" si="1"/>
        <v>&lt;b&gt;Canadian Grand Prix&lt;/b&gt; &lt;br/&gt; Circuit Mont-Tremblant&lt;br/&gt;Quebec&lt;br/&gt;Canada</v>
      </c>
    </row>
    <row r="63" spans="1:9">
      <c r="A63" t="s">
        <v>1883</v>
      </c>
      <c r="B63">
        <v>39.4589</v>
      </c>
      <c r="C63">
        <v>-0.33166699999999999</v>
      </c>
      <c r="D63" t="s">
        <v>1409</v>
      </c>
      <c r="E63" t="s">
        <v>1884</v>
      </c>
      <c r="F63" t="s">
        <v>1885</v>
      </c>
      <c r="G63" t="s">
        <v>903</v>
      </c>
      <c r="H63" t="str">
        <f t="shared" si="2"/>
        <v>Valencia Street Circuit</v>
      </c>
      <c r="I63" t="str">
        <f t="shared" si="1"/>
        <v>&lt;b&gt;European Grand Prix&lt;/b&gt; &lt;br/&gt; Valencia Street Circuit&lt;br/&gt;Valencia&lt;br/&gt;Spain</v>
      </c>
    </row>
    <row r="64" spans="1:9">
      <c r="A64" t="s">
        <v>1320</v>
      </c>
      <c r="B64">
        <v>45.5</v>
      </c>
      <c r="C64">
        <v>-73.522800000000004</v>
      </c>
      <c r="D64" t="s">
        <v>1115</v>
      </c>
      <c r="E64" t="s">
        <v>1321</v>
      </c>
      <c r="F64" t="s">
        <v>1322</v>
      </c>
      <c r="G64" t="s">
        <v>1119</v>
      </c>
      <c r="H64" t="str">
        <f t="shared" si="2"/>
        <v>Circuit Gilles Villeneuve</v>
      </c>
      <c r="I64" t="str">
        <f t="shared" si="1"/>
        <v>&lt;b&gt;Canadian Grand Prix&lt;/b&gt; &lt;br/&gt; Circuit Gilles Villeneuve&lt;br/&gt;Montreal&lt;br/&gt;Canada</v>
      </c>
    </row>
    <row r="65" spans="1:9">
      <c r="A65" t="s">
        <v>1031</v>
      </c>
      <c r="B65">
        <v>42.3369</v>
      </c>
      <c r="C65">
        <v>-76.927199999999999</v>
      </c>
      <c r="D65" t="s">
        <v>1006</v>
      </c>
      <c r="E65" t="s">
        <v>1032</v>
      </c>
      <c r="F65" t="s">
        <v>752</v>
      </c>
      <c r="G65" t="s">
        <v>1010</v>
      </c>
      <c r="H65" t="str">
        <f t="shared" si="2"/>
        <v>Watkins Glen</v>
      </c>
      <c r="I65" t="str">
        <f t="shared" si="1"/>
        <v>&lt;b&gt;United States Grand Prix&lt;/b&gt; &lt;br/&gt; Watkins Glen&lt;br/&gt;New York&lt;br/&gt;USA</v>
      </c>
    </row>
    <row r="66" spans="1:9">
      <c r="A66" t="s">
        <v>1915</v>
      </c>
      <c r="B66">
        <v>24.467199999999998</v>
      </c>
      <c r="C66">
        <v>54.603099999999998</v>
      </c>
      <c r="D66" t="s">
        <v>1914</v>
      </c>
      <c r="E66" t="s">
        <v>1916</v>
      </c>
      <c r="F66" t="s">
        <v>1917</v>
      </c>
      <c r="G66" t="s">
        <v>1918</v>
      </c>
      <c r="H66" t="str">
        <f t="shared" ref="H66:H70" si="3">E66</f>
        <v>Yas Marina Circuit</v>
      </c>
      <c r="I66" t="str">
        <f t="shared" si="1"/>
        <v>&lt;b&gt;Abu Dhabi Grand Prix&lt;/b&gt; &lt;br/&gt; Yas Marina Circuit&lt;br/&gt;Abu Dhabi&lt;br/&gt;United Arab Emirates</v>
      </c>
    </row>
    <row r="67" spans="1:9">
      <c r="A67" t="s">
        <v>1953</v>
      </c>
      <c r="B67">
        <v>34.7333</v>
      </c>
      <c r="C67">
        <v>126.417</v>
      </c>
      <c r="D67" t="s">
        <v>1952</v>
      </c>
      <c r="E67" t="s">
        <v>1954</v>
      </c>
      <c r="F67" t="s">
        <v>1955</v>
      </c>
      <c r="G67" t="s">
        <v>1956</v>
      </c>
      <c r="H67" t="str">
        <f t="shared" si="3"/>
        <v>Korean International Circuit</v>
      </c>
      <c r="I67" t="str">
        <f t="shared" ref="I67:I70" si="4">"&lt;b&gt;"&amp;D67&amp;"&lt;/b&gt; &lt;br/&gt; "&amp;E67&amp;"&lt;br/&gt;"&amp;F67&amp;"&lt;br/&gt;"&amp;G67</f>
        <v>&lt;b&gt;Korean GP&lt;/b&gt; &lt;br/&gt; Korean International Circuit&lt;br/&gt;Yeongam County&lt;br/&gt;Korea</v>
      </c>
    </row>
    <row r="68" spans="1:9">
      <c r="A68" t="s">
        <v>915</v>
      </c>
      <c r="B68">
        <v>52.388800000000003</v>
      </c>
      <c r="C68">
        <v>4.5409199999999998</v>
      </c>
      <c r="D68" t="s">
        <v>914</v>
      </c>
      <c r="E68" t="s">
        <v>916</v>
      </c>
      <c r="F68" t="s">
        <v>917</v>
      </c>
      <c r="G68" t="s">
        <v>918</v>
      </c>
      <c r="H68" t="str">
        <f t="shared" si="3"/>
        <v>Circuit Park Zandvoort</v>
      </c>
      <c r="I68" t="str">
        <f t="shared" si="4"/>
        <v>&lt;b&gt;Dutch Grand Prix&lt;/b&gt; &lt;br/&gt; Circuit Park Zandvoort&lt;br/&gt;Zandvoort&lt;br/&gt;Netherlands</v>
      </c>
    </row>
    <row r="69" spans="1:9">
      <c r="A69" t="s">
        <v>1073</v>
      </c>
      <c r="B69">
        <v>47.203899999999997</v>
      </c>
      <c r="C69">
        <v>14.7478</v>
      </c>
      <c r="D69" t="s">
        <v>1072</v>
      </c>
      <c r="E69" t="s">
        <v>1074</v>
      </c>
      <c r="F69" t="s">
        <v>1075</v>
      </c>
      <c r="G69" t="s">
        <v>1076</v>
      </c>
      <c r="H69" t="str">
        <f t="shared" si="3"/>
        <v>Zeltweg</v>
      </c>
      <c r="I69" t="str">
        <f t="shared" si="4"/>
        <v>&lt;b&gt;Austrian Grand Prix&lt;/b&gt; &lt;br/&gt; Zeltweg&lt;br/&gt;Styria&lt;br/&gt;Austria</v>
      </c>
    </row>
    <row r="70" spans="1:9">
      <c r="A70" t="s">
        <v>1211</v>
      </c>
      <c r="B70">
        <v>50.989400000000003</v>
      </c>
      <c r="C70">
        <v>5.2569400000000002</v>
      </c>
      <c r="D70" t="s">
        <v>872</v>
      </c>
      <c r="E70" t="s">
        <v>1212</v>
      </c>
      <c r="F70" t="s">
        <v>1213</v>
      </c>
      <c r="G70" t="s">
        <v>244</v>
      </c>
      <c r="H70" t="str">
        <f t="shared" si="3"/>
        <v>Zolder</v>
      </c>
      <c r="I70" t="str">
        <f t="shared" si="4"/>
        <v>&lt;b&gt;Belgian Grand Prix&lt;/b&gt; &lt;br/&gt; Zolder&lt;br/&gt;Heusden-Zolder&lt;br/&gt;Belgium</v>
      </c>
    </row>
  </sheetData>
  <sortState ref="A2:G70">
    <sortCondition ref="A1"/>
  </sortState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9"/>
  <dimension ref="A1:N87"/>
  <sheetViews>
    <sheetView workbookViewId="0">
      <selection activeCell="H14" sqref="H14"/>
    </sheetView>
  </sheetViews>
  <sheetFormatPr defaultColWidth="9.140625" defaultRowHeight="11.25"/>
  <cols>
    <col min="1" max="1" width="14.85546875" style="1" customWidth="1"/>
    <col min="2" max="2" width="42.42578125" style="1" customWidth="1"/>
    <col min="3" max="3" width="20.5703125" style="1" customWidth="1"/>
    <col min="4" max="4" width="16.42578125" style="1" customWidth="1"/>
    <col min="5" max="5" width="11.140625" style="1" customWidth="1"/>
    <col min="6" max="6" width="9.85546875" style="1" customWidth="1"/>
    <col min="7" max="7" width="10.28515625" style="3" customWidth="1"/>
    <col min="8" max="8" width="8.7109375" style="1" customWidth="1"/>
    <col min="9" max="9" width="13.140625" style="5" customWidth="1"/>
    <col min="10" max="10" width="11.85546875" style="1" customWidth="1"/>
    <col min="11" max="11" width="14.42578125" style="5" bestFit="1" customWidth="1"/>
    <col min="12" max="16384" width="9.140625" style="1"/>
  </cols>
  <sheetData>
    <row r="1" spans="1:7">
      <c r="A1" s="30" t="s">
        <v>496</v>
      </c>
      <c r="B1" s="30" t="s">
        <v>498</v>
      </c>
      <c r="C1" s="30" t="s">
        <v>497</v>
      </c>
      <c r="D1" s="30"/>
      <c r="E1" s="30"/>
      <c r="G1" s="1"/>
    </row>
    <row r="2" spans="1:7">
      <c r="A2" s="31" t="s">
        <v>323</v>
      </c>
      <c r="B2" s="31" t="s">
        <v>362</v>
      </c>
      <c r="C2" s="29"/>
    </row>
    <row r="3" spans="1:7">
      <c r="A3" s="31" t="s">
        <v>502</v>
      </c>
      <c r="B3" s="31" t="s">
        <v>659</v>
      </c>
      <c r="C3" s="29"/>
    </row>
    <row r="4" spans="1:7">
      <c r="A4" s="31" t="s">
        <v>500</v>
      </c>
      <c r="B4" s="31">
        <v>60</v>
      </c>
      <c r="C4" s="29"/>
    </row>
    <row r="5" spans="1:7">
      <c r="A5" s="31" t="s">
        <v>501</v>
      </c>
      <c r="B5" s="31">
        <v>500</v>
      </c>
      <c r="C5" s="29"/>
    </row>
    <row r="6" spans="1:7">
      <c r="A6" s="31" t="s">
        <v>609</v>
      </c>
      <c r="B6" s="31">
        <v>0.9</v>
      </c>
      <c r="C6" s="29" t="s">
        <v>616</v>
      </c>
    </row>
    <row r="7" spans="1:7">
      <c r="A7" s="31" t="s">
        <v>610</v>
      </c>
      <c r="B7" s="31">
        <v>200</v>
      </c>
      <c r="C7" s="29" t="s">
        <v>617</v>
      </c>
    </row>
    <row r="8" spans="1:7">
      <c r="A8" s="31" t="s">
        <v>611</v>
      </c>
      <c r="B8" s="31">
        <v>1</v>
      </c>
      <c r="C8" s="29" t="s">
        <v>618</v>
      </c>
    </row>
    <row r="9" spans="1:7">
      <c r="A9" s="31" t="s">
        <v>798</v>
      </c>
      <c r="B9" s="31">
        <v>80</v>
      </c>
      <c r="C9" s="29" t="s">
        <v>799</v>
      </c>
    </row>
    <row r="10" spans="1:7">
      <c r="A10" s="31" t="s">
        <v>771</v>
      </c>
      <c r="B10" s="31">
        <v>3</v>
      </c>
      <c r="C10" s="29" t="s">
        <v>772</v>
      </c>
    </row>
    <row r="11" spans="1:7">
      <c r="A11" s="31" t="s">
        <v>770</v>
      </c>
      <c r="B11" s="31" t="s">
        <v>333</v>
      </c>
      <c r="C11" s="29" t="s">
        <v>769</v>
      </c>
    </row>
    <row r="12" spans="1:7">
      <c r="A12" s="31" t="s">
        <v>803</v>
      </c>
      <c r="B12" s="31">
        <v>50</v>
      </c>
      <c r="C12" s="29" t="s">
        <v>799</v>
      </c>
    </row>
    <row r="13" spans="1:7">
      <c r="A13" s="31" t="s">
        <v>704</v>
      </c>
      <c r="B13" s="31" t="s">
        <v>802</v>
      </c>
      <c r="C13" s="29" t="s">
        <v>705</v>
      </c>
    </row>
    <row r="14" spans="1:7">
      <c r="A14" s="31" t="s">
        <v>706</v>
      </c>
      <c r="B14" s="31" t="s">
        <v>708</v>
      </c>
      <c r="C14" s="29" t="s">
        <v>707</v>
      </c>
    </row>
    <row r="15" spans="1:7">
      <c r="A15" s="31" t="s">
        <v>709</v>
      </c>
      <c r="B15" s="31">
        <v>10</v>
      </c>
      <c r="C15" s="29" t="s">
        <v>710</v>
      </c>
    </row>
    <row r="16" spans="1:7">
      <c r="A16" s="31"/>
      <c r="B16" s="31"/>
      <c r="C16" s="29"/>
    </row>
    <row r="17" spans="1:7">
      <c r="A17" s="30" t="s">
        <v>299</v>
      </c>
      <c r="B17" s="30" t="s">
        <v>288</v>
      </c>
      <c r="C17" s="30" t="s">
        <v>11</v>
      </c>
      <c r="D17" s="30"/>
      <c r="E17" s="30"/>
      <c r="G17" s="1"/>
    </row>
    <row r="18" spans="1:7">
      <c r="A18" s="23" t="s">
        <v>94</v>
      </c>
      <c r="B18" s="26" t="s">
        <v>94</v>
      </c>
      <c r="C18" s="26" t="s">
        <v>327</v>
      </c>
      <c r="G18" s="1"/>
    </row>
    <row r="19" spans="1:7">
      <c r="A19" s="23" t="s">
        <v>95</v>
      </c>
      <c r="B19" s="26" t="s">
        <v>95</v>
      </c>
      <c r="C19" s="26"/>
      <c r="G19" s="1"/>
    </row>
    <row r="20" spans="1:7">
      <c r="A20" s="23" t="s">
        <v>409</v>
      </c>
      <c r="B20" s="26" t="s">
        <v>2010</v>
      </c>
      <c r="C20" s="26"/>
      <c r="G20" s="1"/>
    </row>
    <row r="21" spans="1:7">
      <c r="A21" s="23" t="s">
        <v>315</v>
      </c>
      <c r="B21" s="26" t="s">
        <v>2009</v>
      </c>
      <c r="C21" s="26"/>
      <c r="G21" s="1"/>
    </row>
    <row r="22" spans="1:7">
      <c r="A22" s="23" t="s">
        <v>243</v>
      </c>
      <c r="B22" s="26" t="s">
        <v>242</v>
      </c>
      <c r="C22" s="26"/>
      <c r="G22" s="1"/>
    </row>
    <row r="23" spans="1:7">
      <c r="A23" s="1" t="s">
        <v>840</v>
      </c>
      <c r="B23" s="1" t="s">
        <v>840</v>
      </c>
    </row>
    <row r="24" spans="1:7">
      <c r="A24" s="1" t="s">
        <v>2009</v>
      </c>
      <c r="B24" s="1" t="s">
        <v>2009</v>
      </c>
    </row>
    <row r="25" spans="1:7">
      <c r="A25" s="1" t="s">
        <v>2014</v>
      </c>
      <c r="B25" s="1" t="s">
        <v>65</v>
      </c>
    </row>
    <row r="26" spans="1:7">
      <c r="A26" s="1" t="s">
        <v>67</v>
      </c>
      <c r="B26" s="1" t="s">
        <v>67</v>
      </c>
    </row>
    <row r="27" spans="1:7">
      <c r="A27" s="1" t="s">
        <v>2015</v>
      </c>
      <c r="B27" s="1" t="s">
        <v>2010</v>
      </c>
    </row>
    <row r="28" spans="1:7">
      <c r="A28" s="1" t="s">
        <v>839</v>
      </c>
      <c r="B28" s="1" t="s">
        <v>839</v>
      </c>
    </row>
    <row r="29" spans="1:7">
      <c r="A29" s="1" t="s">
        <v>841</v>
      </c>
      <c r="B29" s="1" t="s">
        <v>841</v>
      </c>
    </row>
    <row r="30" spans="1:7">
      <c r="A30" s="1" t="s">
        <v>2090</v>
      </c>
      <c r="B30" s="1" t="s">
        <v>848</v>
      </c>
    </row>
    <row r="31" spans="1:7">
      <c r="A31" s="1" t="s">
        <v>2089</v>
      </c>
      <c r="B31" s="1" t="s">
        <v>849</v>
      </c>
    </row>
    <row r="33" spans="1:9">
      <c r="A33" s="30" t="s">
        <v>505</v>
      </c>
      <c r="B33" s="30" t="s">
        <v>498</v>
      </c>
      <c r="C33" s="2" t="s">
        <v>3241</v>
      </c>
      <c r="D33" s="30" t="s">
        <v>145</v>
      </c>
      <c r="E33" s="30"/>
      <c r="F33" s="30"/>
    </row>
    <row r="34" spans="1:9">
      <c r="A34" s="1" t="s">
        <v>504</v>
      </c>
      <c r="C34" s="1" t="s">
        <v>322</v>
      </c>
    </row>
    <row r="35" spans="1:9">
      <c r="A35" s="1" t="s">
        <v>508</v>
      </c>
      <c r="C35" s="1" t="s">
        <v>322</v>
      </c>
    </row>
    <row r="36" spans="1:9">
      <c r="A36" s="1" t="s">
        <v>3279</v>
      </c>
      <c r="B36" s="1" t="s">
        <v>3284</v>
      </c>
      <c r="C36" s="1" t="s">
        <v>333</v>
      </c>
    </row>
    <row r="38" spans="1:9">
      <c r="A38" s="30" t="s">
        <v>140</v>
      </c>
      <c r="B38" s="30" t="s">
        <v>298</v>
      </c>
      <c r="C38" s="30" t="s">
        <v>297</v>
      </c>
      <c r="D38" s="30" t="s">
        <v>296</v>
      </c>
      <c r="E38" s="30" t="s">
        <v>384</v>
      </c>
      <c r="F38" s="30" t="s">
        <v>668</v>
      </c>
      <c r="G38" s="30" t="s">
        <v>703</v>
      </c>
    </row>
    <row r="39" spans="1:9">
      <c r="A39" s="1" t="s">
        <v>2017</v>
      </c>
      <c r="B39" s="1" t="s">
        <v>2094</v>
      </c>
      <c r="C39" s="1" t="s">
        <v>840</v>
      </c>
      <c r="D39" s="1" t="s">
        <v>2091</v>
      </c>
      <c r="F39" s="1" t="s">
        <v>670</v>
      </c>
    </row>
    <row r="40" spans="1:9">
      <c r="A40" s="1" t="s">
        <v>10</v>
      </c>
      <c r="B40" s="1" t="s">
        <v>2094</v>
      </c>
      <c r="C40" s="1" t="s">
        <v>67</v>
      </c>
      <c r="D40" s="1" t="s">
        <v>2016</v>
      </c>
      <c r="F40" s="1" t="s">
        <v>670</v>
      </c>
    </row>
    <row r="41" spans="1:9">
      <c r="A41" s="1" t="s">
        <v>2092</v>
      </c>
      <c r="B41" s="1" t="s">
        <v>2093</v>
      </c>
      <c r="C41" s="1" t="s">
        <v>839</v>
      </c>
      <c r="D41" s="1" t="s">
        <v>2016</v>
      </c>
      <c r="F41" s="1" t="s">
        <v>670</v>
      </c>
    </row>
    <row r="42" spans="1:9">
      <c r="A42" s="1" t="s">
        <v>2095</v>
      </c>
      <c r="B42" s="1" t="s">
        <v>2096</v>
      </c>
      <c r="C42" s="1" t="s">
        <v>409</v>
      </c>
      <c r="D42" s="1" t="s">
        <v>2091</v>
      </c>
      <c r="F42" s="1" t="s">
        <v>670</v>
      </c>
    </row>
    <row r="44" spans="1:9">
      <c r="A44" s="30" t="s">
        <v>141</v>
      </c>
      <c r="B44" s="30" t="s">
        <v>292</v>
      </c>
      <c r="C44" s="30" t="s">
        <v>145</v>
      </c>
      <c r="D44" s="30"/>
      <c r="E44" s="30"/>
    </row>
    <row r="45" spans="1:9">
      <c r="A45" s="1" t="s">
        <v>2015</v>
      </c>
      <c r="B45" s="1" t="s">
        <v>294</v>
      </c>
      <c r="C45" s="1" t="s">
        <v>314</v>
      </c>
    </row>
    <row r="47" spans="1:9">
      <c r="A47" s="30" t="s">
        <v>325</v>
      </c>
      <c r="B47" s="30" t="s">
        <v>324</v>
      </c>
      <c r="C47" s="30" t="s">
        <v>330</v>
      </c>
      <c r="D47" s="30" t="s">
        <v>145</v>
      </c>
      <c r="E47" s="30"/>
      <c r="G47" s="25" t="s">
        <v>328</v>
      </c>
      <c r="H47" s="25"/>
    </row>
    <row r="48" spans="1:9">
      <c r="A48" s="23" t="s">
        <v>242</v>
      </c>
      <c r="B48" s="27">
        <v>2</v>
      </c>
      <c r="C48" s="1" t="s">
        <v>333</v>
      </c>
      <c r="D48" s="27">
        <v>2</v>
      </c>
      <c r="G48" s="80">
        <v>1</v>
      </c>
      <c r="H48" s="80">
        <v>11</v>
      </c>
      <c r="I48" s="90">
        <v>9</v>
      </c>
    </row>
    <row r="49" spans="1:14" ht="11.25" customHeight="1">
      <c r="A49" s="23" t="s">
        <v>334</v>
      </c>
      <c r="B49" s="27">
        <v>4</v>
      </c>
      <c r="C49" s="1" t="s">
        <v>333</v>
      </c>
      <c r="D49" s="27">
        <v>4</v>
      </c>
      <c r="G49" s="80">
        <v>2</v>
      </c>
      <c r="H49" s="89">
        <v>3</v>
      </c>
      <c r="I49" s="91"/>
    </row>
    <row r="50" spans="1:14" ht="11.25" customHeight="1">
      <c r="A50" s="23" t="s">
        <v>335</v>
      </c>
      <c r="B50" s="27">
        <v>0</v>
      </c>
      <c r="C50" s="1" t="s">
        <v>333</v>
      </c>
      <c r="D50" s="27">
        <v>3</v>
      </c>
      <c r="G50" s="80">
        <v>4</v>
      </c>
      <c r="H50" s="89"/>
      <c r="I50" s="91"/>
    </row>
    <row r="51" spans="1:14" ht="11.25" customHeight="1">
      <c r="A51" s="23" t="s">
        <v>336</v>
      </c>
      <c r="B51" s="27">
        <v>5</v>
      </c>
      <c r="C51" s="1" t="s">
        <v>333</v>
      </c>
      <c r="D51" s="27">
        <v>5</v>
      </c>
      <c r="G51" s="89">
        <v>5</v>
      </c>
      <c r="H51" s="89"/>
      <c r="I51" s="91"/>
    </row>
    <row r="52" spans="1:14" ht="11.25" customHeight="1">
      <c r="A52" s="23" t="s">
        <v>337</v>
      </c>
      <c r="B52" s="27">
        <v>6</v>
      </c>
      <c r="C52" s="1" t="s">
        <v>333</v>
      </c>
      <c r="D52" s="27">
        <v>6</v>
      </c>
      <c r="G52" s="89">
        <v>6</v>
      </c>
      <c r="H52" s="89"/>
      <c r="I52" s="91"/>
    </row>
    <row r="53" spans="1:14" ht="11.25" customHeight="1">
      <c r="A53" s="23" t="s">
        <v>338</v>
      </c>
      <c r="B53" s="27">
        <v>0</v>
      </c>
      <c r="C53" s="1" t="s">
        <v>333</v>
      </c>
      <c r="D53" s="27">
        <v>7</v>
      </c>
      <c r="G53" s="89">
        <v>7</v>
      </c>
      <c r="H53" s="89"/>
      <c r="I53" s="92"/>
    </row>
    <row r="54" spans="1:14" ht="11.25" customHeight="1">
      <c r="A54" s="23" t="s">
        <v>339</v>
      </c>
      <c r="B54" s="27">
        <v>0</v>
      </c>
      <c r="C54" s="1" t="s">
        <v>333</v>
      </c>
      <c r="D54" s="27">
        <v>8</v>
      </c>
      <c r="G54" s="89">
        <v>8</v>
      </c>
      <c r="H54" s="89"/>
      <c r="I54" s="75">
        <v>10</v>
      </c>
    </row>
    <row r="55" spans="1:14">
      <c r="A55" s="23" t="s">
        <v>241</v>
      </c>
      <c r="B55" s="27">
        <v>1</v>
      </c>
      <c r="C55" s="1" t="s">
        <v>333</v>
      </c>
      <c r="D55" s="27">
        <v>1</v>
      </c>
      <c r="E55" s="28"/>
      <c r="F55" s="28"/>
    </row>
    <row r="56" spans="1:14">
      <c r="A56" s="23" t="s">
        <v>510</v>
      </c>
      <c r="B56" s="27">
        <v>11</v>
      </c>
      <c r="C56" s="1" t="s">
        <v>333</v>
      </c>
      <c r="D56" s="27">
        <v>11</v>
      </c>
      <c r="E56" s="28"/>
      <c r="F56" s="28"/>
    </row>
    <row r="57" spans="1:14" s="5" customFormat="1">
      <c r="A57" s="23" t="s">
        <v>702</v>
      </c>
      <c r="B57" s="27">
        <v>0</v>
      </c>
      <c r="C57" s="1" t="s">
        <v>333</v>
      </c>
      <c r="D57" s="27">
        <v>9</v>
      </c>
      <c r="E57" s="28"/>
      <c r="F57" s="28"/>
      <c r="G57" s="3"/>
      <c r="H57" s="1"/>
      <c r="J57" s="1"/>
      <c r="L57" s="1"/>
      <c r="M57" s="1"/>
      <c r="N57" s="1"/>
    </row>
    <row r="58" spans="1:14">
      <c r="G58" s="1"/>
      <c r="I58" s="1"/>
    </row>
    <row r="59" spans="1:14">
      <c r="A59" s="30" t="s">
        <v>410</v>
      </c>
      <c r="B59" s="30" t="s">
        <v>418</v>
      </c>
      <c r="C59" s="30" t="s">
        <v>145</v>
      </c>
      <c r="D59" s="30"/>
      <c r="E59" s="30"/>
    </row>
    <row r="60" spans="1:14">
      <c r="A60" s="1" t="s">
        <v>94</v>
      </c>
      <c r="B60" s="1" t="s">
        <v>156</v>
      </c>
      <c r="G60" s="1"/>
    </row>
    <row r="61" spans="1:14">
      <c r="A61" s="1" t="s">
        <v>95</v>
      </c>
      <c r="B61" s="1" t="s">
        <v>156</v>
      </c>
      <c r="G61" s="1"/>
    </row>
    <row r="62" spans="1:14">
      <c r="A62" s="1" t="s">
        <v>243</v>
      </c>
      <c r="B62" s="1" t="s">
        <v>156</v>
      </c>
      <c r="G62" s="1"/>
    </row>
    <row r="63" spans="1:14">
      <c r="A63" s="1" t="s">
        <v>840</v>
      </c>
      <c r="B63" s="1" t="s">
        <v>156</v>
      </c>
      <c r="G63" s="1"/>
    </row>
    <row r="64" spans="1:14">
      <c r="A64" s="1" t="s">
        <v>2009</v>
      </c>
      <c r="B64" s="1" t="s">
        <v>156</v>
      </c>
      <c r="G64" s="1"/>
    </row>
    <row r="65" spans="1:7">
      <c r="A65" s="1" t="s">
        <v>65</v>
      </c>
      <c r="B65" s="1" t="s">
        <v>156</v>
      </c>
      <c r="G65" s="1"/>
    </row>
    <row r="66" spans="1:7">
      <c r="A66" s="1" t="s">
        <v>67</v>
      </c>
      <c r="B66" s="1" t="s">
        <v>156</v>
      </c>
      <c r="G66" s="1"/>
    </row>
    <row r="68" spans="1:7">
      <c r="A68" s="30" t="s">
        <v>147</v>
      </c>
      <c r="B68" s="30" t="s">
        <v>146</v>
      </c>
      <c r="C68" s="30" t="s">
        <v>153</v>
      </c>
      <c r="D68" s="30" t="s">
        <v>145</v>
      </c>
      <c r="E68" s="30"/>
    </row>
    <row r="69" spans="1:7">
      <c r="A69" s="33" t="s">
        <v>156</v>
      </c>
      <c r="B69" s="1" t="s">
        <v>2011</v>
      </c>
      <c r="C69" s="1" t="s">
        <v>2010</v>
      </c>
      <c r="D69" s="1" t="s">
        <v>414</v>
      </c>
    </row>
    <row r="70" spans="1:7">
      <c r="A70" s="33" t="s">
        <v>149</v>
      </c>
      <c r="B70" s="1" t="s">
        <v>2018</v>
      </c>
      <c r="D70" s="1" t="s">
        <v>415</v>
      </c>
    </row>
    <row r="71" spans="1:7">
      <c r="A71" s="33" t="s">
        <v>153</v>
      </c>
      <c r="B71" s="1" t="s">
        <v>2019</v>
      </c>
      <c r="D71" s="1" t="s">
        <v>416</v>
      </c>
    </row>
    <row r="73" spans="1:7">
      <c r="A73" s="30" t="s">
        <v>408</v>
      </c>
      <c r="B73" s="30" t="s">
        <v>262</v>
      </c>
      <c r="C73" s="30" t="s">
        <v>11</v>
      </c>
      <c r="D73" s="30"/>
      <c r="E73" s="30"/>
    </row>
    <row r="74" spans="1:7">
      <c r="A74" s="23" t="s">
        <v>269</v>
      </c>
      <c r="B74" s="7" t="s">
        <v>2013</v>
      </c>
      <c r="C74" s="29" t="s">
        <v>319</v>
      </c>
    </row>
    <row r="75" spans="1:7" ht="24" customHeight="1">
      <c r="A75" s="23" t="s">
        <v>266</v>
      </c>
      <c r="B75" s="12" t="s">
        <v>3281</v>
      </c>
      <c r="C75" s="29" t="s">
        <v>320</v>
      </c>
    </row>
    <row r="76" spans="1:7" ht="15" customHeight="1">
      <c r="A76" s="23" t="s">
        <v>321</v>
      </c>
      <c r="B76" s="24" t="s">
        <v>836</v>
      </c>
      <c r="C76" s="29" t="s">
        <v>267</v>
      </c>
      <c r="G76" s="20"/>
    </row>
    <row r="78" spans="1:7">
      <c r="A78" s="30" t="s">
        <v>18</v>
      </c>
      <c r="B78" s="30" t="s">
        <v>113</v>
      </c>
      <c r="C78" s="30" t="s">
        <v>11</v>
      </c>
      <c r="D78" s="30"/>
      <c r="E78" s="30"/>
    </row>
    <row r="79" spans="1:7">
      <c r="A79" s="1" t="s">
        <v>15</v>
      </c>
      <c r="B79" s="1" t="s">
        <v>2012</v>
      </c>
      <c r="C79" s="1" t="s">
        <v>114</v>
      </c>
    </row>
    <row r="80" spans="1:7">
      <c r="A80" s="1" t="s">
        <v>16</v>
      </c>
      <c r="B80" s="1" t="s">
        <v>242</v>
      </c>
      <c r="C80" s="1" t="s">
        <v>115</v>
      </c>
    </row>
    <row r="86" spans="3:3">
      <c r="C86" s="1" t="s">
        <v>662</v>
      </c>
    </row>
    <row r="87" spans="3:3" ht="15">
      <c r="C87" s="21" t="s">
        <v>661</v>
      </c>
    </row>
  </sheetData>
  <mergeCells count="6">
    <mergeCell ref="G54:H54"/>
    <mergeCell ref="I48:I53"/>
    <mergeCell ref="H49:H50"/>
    <mergeCell ref="G51:H51"/>
    <mergeCell ref="G52:H52"/>
    <mergeCell ref="G53:H53"/>
  </mergeCells>
  <dataValidations count="9">
    <dataValidation type="list" allowBlank="1" showInputMessage="1" showErrorMessage="1" sqref="C48:C57">
      <formula1>"yes,no"</formula1>
    </dataValidation>
    <dataValidation type="list" allowBlank="1" showInputMessage="1" showErrorMessage="1" sqref="B45">
      <formula1>"sum,count,average,min,max"</formula1>
    </dataValidation>
    <dataValidation type="list" allowBlank="1" showInputMessage="1" showErrorMessage="1" sqref="F39:F42">
      <formula1>"barchart,orgchart,none"</formula1>
    </dataValidation>
    <dataValidation type="list" allowBlank="1" showInputMessage="1" showErrorMessage="1" sqref="B2">
      <formula1>"default,none"</formula1>
    </dataValidation>
    <dataValidation type="list" allowBlank="1" showInputMessage="1" showErrorMessage="1" sqref="B3">
      <formula1>"google maps,google earth"</formula1>
    </dataValidation>
    <dataValidation type="decimal" allowBlank="1" showInputMessage="1" showErrorMessage="1" sqref="B4">
      <formula1>0</formula1>
      <formula2>180</formula2>
    </dataValidation>
    <dataValidation type="decimal" operator="greaterThan" allowBlank="1" showInputMessage="1" showErrorMessage="1" sqref="B16 B5:B10 B12">
      <formula1>0</formula1>
    </dataValidation>
    <dataValidation operator="greaterThan" allowBlank="1" showInputMessage="1" showErrorMessage="1" sqref="B13:B15"/>
    <dataValidation type="list" operator="greaterThan" allowBlank="1" showInputMessage="1" showErrorMessage="1" sqref="B11">
      <formula1>"yes,no"</formula1>
    </dataValidation>
  </dataValidations>
  <hyperlinks>
    <hyperlink ref="C87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7"/>
  <dimension ref="A1:F879"/>
  <sheetViews>
    <sheetView workbookViewId="0">
      <selection activeCell="O867" sqref="O867"/>
    </sheetView>
  </sheetViews>
  <sheetFormatPr defaultRowHeight="11.25"/>
  <cols>
    <col min="1" max="1" width="6" style="1" customWidth="1"/>
    <col min="2" max="2" width="4.7109375" style="1" customWidth="1"/>
    <col min="3" max="3" width="10.28515625" style="1" customWidth="1"/>
    <col min="4" max="4" width="9.42578125" style="1" customWidth="1"/>
    <col min="5" max="5" width="15" style="1" customWidth="1"/>
    <col min="6" max="16384" width="9.140625" style="1"/>
  </cols>
  <sheetData>
    <row r="1" spans="1:6" s="14" customFormat="1" ht="34.5" customHeight="1">
      <c r="A1" s="12" t="s">
        <v>839</v>
      </c>
      <c r="B1" s="12" t="s">
        <v>841</v>
      </c>
      <c r="C1" s="12" t="s">
        <v>2010</v>
      </c>
      <c r="D1" s="12" t="s">
        <v>848</v>
      </c>
      <c r="E1" s="12" t="s">
        <v>2097</v>
      </c>
      <c r="F1" s="12" t="s">
        <v>849</v>
      </c>
    </row>
    <row r="2" spans="1:6">
      <c r="A2" s="1">
        <v>1950</v>
      </c>
      <c r="B2" s="1">
        <v>1</v>
      </c>
      <c r="C2" s="1" t="s">
        <v>851</v>
      </c>
      <c r="D2" s="81">
        <v>18396</v>
      </c>
      <c r="E2" s="81" t="s">
        <v>855</v>
      </c>
      <c r="F2" s="1" t="str">
        <f>"&lt;a href='"&amp;E2&amp;"'&gt;"&amp;MID(E2,30,LEN(E2)-29)&amp;"&lt;/a&gt;"</f>
        <v>&lt;a href='http://en.wikipedia.org/wiki/1950_British_Grand_Prix'&gt;1950_British_Grand_Prix&lt;/a&gt;</v>
      </c>
    </row>
    <row r="3" spans="1:6">
      <c r="A3" s="1">
        <v>1950</v>
      </c>
      <c r="B3" s="1">
        <v>2</v>
      </c>
      <c r="C3" s="1" t="s">
        <v>857</v>
      </c>
      <c r="D3" s="81">
        <v>18404</v>
      </c>
      <c r="E3" s="81" t="s">
        <v>861</v>
      </c>
      <c r="F3" s="1" t="str">
        <f t="shared" ref="F3:F66" si="0">"&lt;a href='"&amp;E3&amp;"'&gt;"&amp;MID(E3,30,LEN(E3)-29)&amp;"&lt;/a&gt;"</f>
        <v>&lt;a href='http://en.wikipedia.org/wiki/1950_Monaco_Grand_Prix'&gt;1950_Monaco_Grand_Prix&lt;/a&gt;</v>
      </c>
    </row>
    <row r="4" spans="1:6">
      <c r="A4" s="1">
        <v>1950</v>
      </c>
      <c r="B4" s="1">
        <v>3</v>
      </c>
      <c r="C4" s="1" t="s">
        <v>863</v>
      </c>
      <c r="D4" s="81">
        <v>18413</v>
      </c>
      <c r="E4" s="81" t="s">
        <v>866</v>
      </c>
      <c r="F4" s="1" t="str">
        <f t="shared" si="0"/>
        <v>&lt;a href='http://en.wikipedia.org/wiki/1950_Indianapolis_500'&gt;1950_Indianapolis_500&lt;/a&gt;</v>
      </c>
    </row>
    <row r="5" spans="1:6">
      <c r="A5" s="1">
        <v>1950</v>
      </c>
      <c r="B5" s="1">
        <v>4</v>
      </c>
      <c r="C5" s="1" t="s">
        <v>868</v>
      </c>
      <c r="D5" s="81">
        <v>18418</v>
      </c>
      <c r="E5" s="81" t="s">
        <v>871</v>
      </c>
      <c r="F5" s="1" t="str">
        <f t="shared" si="0"/>
        <v>&lt;a href='http://en.wikipedia.org/wiki/1950_Swiss_Grand_Prix'&gt;1950_Swiss_Grand_Prix&lt;/a&gt;</v>
      </c>
    </row>
    <row r="6" spans="1:6">
      <c r="A6" s="1">
        <v>1950</v>
      </c>
      <c r="B6" s="1">
        <v>5</v>
      </c>
      <c r="C6" s="1" t="s">
        <v>873</v>
      </c>
      <c r="D6" s="81">
        <v>18432</v>
      </c>
      <c r="E6" s="81" t="s">
        <v>876</v>
      </c>
      <c r="F6" s="1" t="str">
        <f t="shared" si="0"/>
        <v>&lt;a href='http://en.wikipedia.org/wiki/1950_Belgian_Grand_Prix'&gt;1950_Belgian_Grand_Prix&lt;/a&gt;</v>
      </c>
    </row>
    <row r="7" spans="1:6">
      <c r="A7" s="1">
        <v>1950</v>
      </c>
      <c r="B7" s="1">
        <v>6</v>
      </c>
      <c r="C7" s="1" t="s">
        <v>878</v>
      </c>
      <c r="D7" s="81">
        <v>18446</v>
      </c>
      <c r="E7" s="81" t="s">
        <v>881</v>
      </c>
      <c r="F7" s="1" t="str">
        <f t="shared" si="0"/>
        <v>&lt;a href='http://en.wikipedia.org/wiki/1950_French_Grand_Prix'&gt;1950_French_Grand_Prix&lt;/a&gt;</v>
      </c>
    </row>
    <row r="8" spans="1:6">
      <c r="A8" s="1">
        <v>1950</v>
      </c>
      <c r="B8" s="1">
        <v>7</v>
      </c>
      <c r="C8" s="1" t="s">
        <v>883</v>
      </c>
      <c r="D8" s="81">
        <v>18509</v>
      </c>
      <c r="E8" s="81" t="s">
        <v>887</v>
      </c>
      <c r="F8" s="1" t="str">
        <f t="shared" si="0"/>
        <v>&lt;a href='http://en.wikipedia.org/wiki/1950_Italian_Grand_Prix'&gt;1950_Italian_Grand_Prix&lt;/a&gt;</v>
      </c>
    </row>
    <row r="9" spans="1:6">
      <c r="A9" s="1">
        <v>1951</v>
      </c>
      <c r="B9" s="1">
        <v>1</v>
      </c>
      <c r="C9" s="1" t="s">
        <v>868</v>
      </c>
      <c r="D9" s="81">
        <v>18775</v>
      </c>
      <c r="E9" s="81" t="s">
        <v>888</v>
      </c>
      <c r="F9" s="1" t="str">
        <f t="shared" si="0"/>
        <v>&lt;a href='http://en.wikipedia.org/wiki/1951_Swiss_Grand_Prix'&gt;1951_Swiss_Grand_Prix&lt;/a&gt;</v>
      </c>
    </row>
    <row r="10" spans="1:6">
      <c r="A10" s="1">
        <v>1951</v>
      </c>
      <c r="B10" s="1">
        <v>2</v>
      </c>
      <c r="C10" s="1" t="s">
        <v>863</v>
      </c>
      <c r="D10" s="81">
        <v>18778</v>
      </c>
      <c r="E10" s="81" t="s">
        <v>889</v>
      </c>
      <c r="F10" s="1" t="str">
        <f t="shared" si="0"/>
        <v>&lt;a href='http://en.wikipedia.org/wiki/1951_Indianapolis_500'&gt;1951_Indianapolis_500&lt;/a&gt;</v>
      </c>
    </row>
    <row r="11" spans="1:6">
      <c r="A11" s="1">
        <v>1951</v>
      </c>
      <c r="B11" s="1">
        <v>3</v>
      </c>
      <c r="C11" s="1" t="s">
        <v>873</v>
      </c>
      <c r="D11" s="81">
        <v>18796</v>
      </c>
      <c r="E11" s="81" t="s">
        <v>890</v>
      </c>
      <c r="F11" s="1" t="str">
        <f t="shared" si="0"/>
        <v>&lt;a href='http://en.wikipedia.org/wiki/1951_Belgian_Grand_Prix'&gt;1951_Belgian_Grand_Prix&lt;/a&gt;</v>
      </c>
    </row>
    <row r="12" spans="1:6">
      <c r="A12" s="1">
        <v>1951</v>
      </c>
      <c r="B12" s="1">
        <v>4</v>
      </c>
      <c r="C12" s="1" t="s">
        <v>878</v>
      </c>
      <c r="D12" s="81">
        <v>18810</v>
      </c>
      <c r="E12" s="81" t="s">
        <v>891</v>
      </c>
      <c r="F12" s="1" t="str">
        <f t="shared" si="0"/>
        <v>&lt;a href='http://en.wikipedia.org/wiki/1951_French_Grand_Prix'&gt;1951_French_Grand_Prix&lt;/a&gt;</v>
      </c>
    </row>
    <row r="13" spans="1:6">
      <c r="A13" s="1">
        <v>1951</v>
      </c>
      <c r="B13" s="1">
        <v>5</v>
      </c>
      <c r="C13" s="1" t="s">
        <v>851</v>
      </c>
      <c r="D13" s="81">
        <v>18823</v>
      </c>
      <c r="E13" s="81" t="s">
        <v>892</v>
      </c>
      <c r="F13" s="1" t="str">
        <f t="shared" si="0"/>
        <v>&lt;a href='http://en.wikipedia.org/wiki/1951_British_Grand_Prix'&gt;1951_British_Grand_Prix&lt;/a&gt;</v>
      </c>
    </row>
    <row r="14" spans="1:6">
      <c r="A14" s="1">
        <v>1951</v>
      </c>
      <c r="B14" s="1">
        <v>6</v>
      </c>
      <c r="C14" s="1" t="s">
        <v>894</v>
      </c>
      <c r="D14" s="81">
        <v>18838</v>
      </c>
      <c r="E14" s="81" t="s">
        <v>897</v>
      </c>
      <c r="F14" s="1" t="str">
        <f t="shared" si="0"/>
        <v>&lt;a href='http://en.wikipedia.org/wiki/1951_German_Grand_Prix'&gt;1951_German_Grand_Prix&lt;/a&gt;</v>
      </c>
    </row>
    <row r="15" spans="1:6">
      <c r="A15" s="1">
        <v>1951</v>
      </c>
      <c r="B15" s="1">
        <v>7</v>
      </c>
      <c r="C15" s="1" t="s">
        <v>883</v>
      </c>
      <c r="D15" s="81">
        <v>18887</v>
      </c>
      <c r="E15" s="81" t="s">
        <v>898</v>
      </c>
      <c r="F15" s="1" t="str">
        <f t="shared" si="0"/>
        <v>&lt;a href='http://en.wikipedia.org/wiki/1951_Italian_Grand_Prix'&gt;1951_Italian_Grand_Prix&lt;/a&gt;</v>
      </c>
    </row>
    <row r="16" spans="1:6">
      <c r="A16" s="1">
        <v>1951</v>
      </c>
      <c r="B16" s="1">
        <v>8</v>
      </c>
      <c r="C16" s="1" t="s">
        <v>900</v>
      </c>
      <c r="D16" s="81">
        <v>18929</v>
      </c>
      <c r="E16" s="81" t="s">
        <v>904</v>
      </c>
      <c r="F16" s="1" t="str">
        <f t="shared" si="0"/>
        <v>&lt;a href='http://en.wikipedia.org/wiki/1951_Spanish_Grand_Prix'&gt;1951_Spanish_Grand_Prix&lt;/a&gt;</v>
      </c>
    </row>
    <row r="17" spans="1:6">
      <c r="A17" s="1">
        <v>1952</v>
      </c>
      <c r="B17" s="1">
        <v>1</v>
      </c>
      <c r="C17" s="1" t="s">
        <v>868</v>
      </c>
      <c r="D17" s="81">
        <v>19132</v>
      </c>
      <c r="E17" s="81" t="s">
        <v>905</v>
      </c>
      <c r="F17" s="1" t="str">
        <f t="shared" si="0"/>
        <v>&lt;a href='http://en.wikipedia.org/wiki/1952_Swiss_Grand_Prix'&gt;1952_Swiss_Grand_Prix&lt;/a&gt;</v>
      </c>
    </row>
    <row r="18" spans="1:6">
      <c r="A18" s="1">
        <v>1952</v>
      </c>
      <c r="B18" s="1">
        <v>2</v>
      </c>
      <c r="C18" s="1" t="s">
        <v>863</v>
      </c>
      <c r="D18" s="81">
        <v>19144</v>
      </c>
      <c r="E18" s="81" t="s">
        <v>906</v>
      </c>
      <c r="F18" s="1" t="str">
        <f t="shared" si="0"/>
        <v>&lt;a href='http://en.wikipedia.org/wiki/1952_Indianapolis_500'&gt;1952_Indianapolis_500&lt;/a&gt;</v>
      </c>
    </row>
    <row r="19" spans="1:6">
      <c r="A19" s="1">
        <v>1952</v>
      </c>
      <c r="B19" s="1">
        <v>3</v>
      </c>
      <c r="C19" s="1" t="s">
        <v>873</v>
      </c>
      <c r="D19" s="81">
        <v>19167</v>
      </c>
      <c r="E19" s="81" t="s">
        <v>907</v>
      </c>
      <c r="F19" s="1" t="str">
        <f t="shared" si="0"/>
        <v>&lt;a href='http://en.wikipedia.org/wiki/1952_Belgian_Grand_Prix'&gt;1952_Belgian_Grand_Prix&lt;/a&gt;</v>
      </c>
    </row>
    <row r="20" spans="1:6">
      <c r="A20" s="1">
        <v>1952</v>
      </c>
      <c r="B20" s="1">
        <v>4</v>
      </c>
      <c r="C20" s="1" t="s">
        <v>908</v>
      </c>
      <c r="D20" s="81">
        <v>19181</v>
      </c>
      <c r="E20" s="81" t="s">
        <v>911</v>
      </c>
      <c r="F20" s="1" t="str">
        <f t="shared" si="0"/>
        <v>&lt;a href='http://en.wikipedia.org/wiki/1952_French_Grand_Prix'&gt;1952_French_Grand_Prix&lt;/a&gt;</v>
      </c>
    </row>
    <row r="21" spans="1:6">
      <c r="A21" s="1">
        <v>1952</v>
      </c>
      <c r="B21" s="1">
        <v>5</v>
      </c>
      <c r="C21" s="1" t="s">
        <v>851</v>
      </c>
      <c r="D21" s="81">
        <v>19194</v>
      </c>
      <c r="E21" s="81" t="s">
        <v>912</v>
      </c>
      <c r="F21" s="1" t="str">
        <f t="shared" si="0"/>
        <v>&lt;a href='http://en.wikipedia.org/wiki/1952_British_Grand_Prix'&gt;1952_British_Grand_Prix&lt;/a&gt;</v>
      </c>
    </row>
    <row r="22" spans="1:6">
      <c r="A22" s="1">
        <v>1952</v>
      </c>
      <c r="B22" s="1">
        <v>6</v>
      </c>
      <c r="C22" s="1" t="s">
        <v>894</v>
      </c>
      <c r="D22" s="81">
        <v>19209</v>
      </c>
      <c r="E22" s="81" t="s">
        <v>913</v>
      </c>
      <c r="F22" s="1" t="str">
        <f t="shared" si="0"/>
        <v>&lt;a href='http://en.wikipedia.org/wiki/1952_German_Grand_Prix'&gt;1952_German_Grand_Prix&lt;/a&gt;</v>
      </c>
    </row>
    <row r="23" spans="1:6">
      <c r="A23" s="1">
        <v>1952</v>
      </c>
      <c r="B23" s="1">
        <v>7</v>
      </c>
      <c r="C23" s="1" t="s">
        <v>915</v>
      </c>
      <c r="D23" s="81">
        <v>19223</v>
      </c>
      <c r="E23" s="81" t="s">
        <v>919</v>
      </c>
      <c r="F23" s="1" t="str">
        <f t="shared" si="0"/>
        <v>&lt;a href='http://en.wikipedia.org/wiki/1952_Dutch_Grand_Prix'&gt;1952_Dutch_Grand_Prix&lt;/a&gt;</v>
      </c>
    </row>
    <row r="24" spans="1:6">
      <c r="A24" s="1">
        <v>1952</v>
      </c>
      <c r="B24" s="1">
        <v>8</v>
      </c>
      <c r="C24" s="1" t="s">
        <v>883</v>
      </c>
      <c r="D24" s="81">
        <v>19244</v>
      </c>
      <c r="E24" s="81" t="s">
        <v>920</v>
      </c>
      <c r="F24" s="1" t="str">
        <f t="shared" si="0"/>
        <v>&lt;a href='http://en.wikipedia.org/wiki/1952_Italian_Grand_Prix'&gt;1952_Italian_Grand_Prix&lt;/a&gt;</v>
      </c>
    </row>
    <row r="25" spans="1:6">
      <c r="A25" s="1">
        <v>1953</v>
      </c>
      <c r="B25" s="1">
        <v>1</v>
      </c>
      <c r="C25" s="1" t="s">
        <v>922</v>
      </c>
      <c r="D25" s="81">
        <v>19377</v>
      </c>
      <c r="E25" s="81" t="s">
        <v>924</v>
      </c>
      <c r="F25" s="1" t="str">
        <f t="shared" si="0"/>
        <v>&lt;a href='http://en.wikipedia.org/wiki/1953_Argentine_Grand_Prix'&gt;1953_Argentine_Grand_Prix&lt;/a&gt;</v>
      </c>
    </row>
    <row r="26" spans="1:6">
      <c r="A26" s="1">
        <v>1953</v>
      </c>
      <c r="B26" s="1">
        <v>2</v>
      </c>
      <c r="C26" s="1" t="s">
        <v>863</v>
      </c>
      <c r="D26" s="81">
        <v>19509</v>
      </c>
      <c r="E26" s="81" t="s">
        <v>925</v>
      </c>
      <c r="F26" s="1" t="str">
        <f t="shared" si="0"/>
        <v>&lt;a href='http://en.wikipedia.org/wiki/1953_Indianapolis_500'&gt;1953_Indianapolis_500&lt;/a&gt;</v>
      </c>
    </row>
    <row r="27" spans="1:6">
      <c r="A27" s="1">
        <v>1953</v>
      </c>
      <c r="B27" s="1">
        <v>3</v>
      </c>
      <c r="C27" s="1" t="s">
        <v>915</v>
      </c>
      <c r="D27" s="81">
        <v>19517</v>
      </c>
      <c r="E27" s="81" t="s">
        <v>926</v>
      </c>
      <c r="F27" s="1" t="str">
        <f t="shared" si="0"/>
        <v>&lt;a href='http://en.wikipedia.org/wiki/1953_Dutch_Grand_Prix'&gt;1953_Dutch_Grand_Prix&lt;/a&gt;</v>
      </c>
    </row>
    <row r="28" spans="1:6">
      <c r="A28" s="1">
        <v>1953</v>
      </c>
      <c r="B28" s="1">
        <v>4</v>
      </c>
      <c r="C28" s="1" t="s">
        <v>873</v>
      </c>
      <c r="D28" s="81">
        <v>19531</v>
      </c>
      <c r="E28" s="81" t="s">
        <v>927</v>
      </c>
      <c r="F28" s="1" t="str">
        <f t="shared" si="0"/>
        <v>&lt;a href='http://en.wikipedia.org/wiki/1953_Belgian_Grand_Prix'&gt;1953_Belgian_Grand_Prix&lt;/a&gt;</v>
      </c>
    </row>
    <row r="29" spans="1:6">
      <c r="A29" s="1">
        <v>1953</v>
      </c>
      <c r="B29" s="1">
        <v>5</v>
      </c>
      <c r="C29" s="1" t="s">
        <v>878</v>
      </c>
      <c r="D29" s="81">
        <v>19545</v>
      </c>
      <c r="E29" s="81" t="s">
        <v>928</v>
      </c>
      <c r="F29" s="1" t="str">
        <f t="shared" si="0"/>
        <v>&lt;a href='http://en.wikipedia.org/wiki/1953_French_Grand_Prix'&gt;1953_French_Grand_Prix&lt;/a&gt;</v>
      </c>
    </row>
    <row r="30" spans="1:6">
      <c r="A30" s="1">
        <v>1953</v>
      </c>
      <c r="B30" s="1">
        <v>6</v>
      </c>
      <c r="C30" s="1" t="s">
        <v>851</v>
      </c>
      <c r="D30" s="81">
        <v>19558</v>
      </c>
      <c r="E30" s="81" t="s">
        <v>929</v>
      </c>
      <c r="F30" s="1" t="str">
        <f t="shared" si="0"/>
        <v>&lt;a href='http://en.wikipedia.org/wiki/1953_British_Grand_Prix'&gt;1953_British_Grand_Prix&lt;/a&gt;</v>
      </c>
    </row>
    <row r="31" spans="1:6">
      <c r="A31" s="1">
        <v>1953</v>
      </c>
      <c r="B31" s="1">
        <v>7</v>
      </c>
      <c r="C31" s="1" t="s">
        <v>894</v>
      </c>
      <c r="D31" s="81">
        <v>19573</v>
      </c>
      <c r="E31" s="81" t="s">
        <v>930</v>
      </c>
      <c r="F31" s="1" t="str">
        <f t="shared" si="0"/>
        <v>&lt;a href='http://en.wikipedia.org/wiki/1953_German_Grand_Prix'&gt;1953_German_Grand_Prix&lt;/a&gt;</v>
      </c>
    </row>
    <row r="32" spans="1:6">
      <c r="A32" s="1">
        <v>1953</v>
      </c>
      <c r="B32" s="1">
        <v>8</v>
      </c>
      <c r="C32" s="1" t="s">
        <v>868</v>
      </c>
      <c r="D32" s="81">
        <v>19594</v>
      </c>
      <c r="E32" s="81" t="s">
        <v>931</v>
      </c>
      <c r="F32" s="1" t="str">
        <f t="shared" si="0"/>
        <v>&lt;a href='http://en.wikipedia.org/wiki/1953_Swiss_Grand_Prix'&gt;1953_Swiss_Grand_Prix&lt;/a&gt;</v>
      </c>
    </row>
    <row r="33" spans="1:6">
      <c r="A33" s="1">
        <v>1953</v>
      </c>
      <c r="B33" s="1">
        <v>9</v>
      </c>
      <c r="C33" s="1" t="s">
        <v>883</v>
      </c>
      <c r="D33" s="81">
        <v>19615</v>
      </c>
      <c r="E33" s="81" t="s">
        <v>932</v>
      </c>
      <c r="F33" s="1" t="str">
        <f t="shared" si="0"/>
        <v>&lt;a href='http://en.wikipedia.org/wiki/1953_Italian_Grand_Prix'&gt;1953_Italian_Grand_Prix&lt;/a&gt;</v>
      </c>
    </row>
    <row r="34" spans="1:6">
      <c r="A34" s="1">
        <v>1954</v>
      </c>
      <c r="B34" s="1">
        <v>1</v>
      </c>
      <c r="C34" s="1" t="s">
        <v>922</v>
      </c>
      <c r="D34" s="81">
        <v>19741</v>
      </c>
      <c r="E34" s="81" t="s">
        <v>933</v>
      </c>
      <c r="F34" s="1" t="str">
        <f t="shared" si="0"/>
        <v>&lt;a href='http://en.wikipedia.org/wiki/1954_Argentine_Grand_Prix'&gt;1954_Argentine_Grand_Prix&lt;/a&gt;</v>
      </c>
    </row>
    <row r="35" spans="1:6">
      <c r="A35" s="1">
        <v>1954</v>
      </c>
      <c r="B35" s="1">
        <v>2</v>
      </c>
      <c r="C35" s="1" t="s">
        <v>863</v>
      </c>
      <c r="D35" s="81">
        <v>19875</v>
      </c>
      <c r="E35" s="81" t="s">
        <v>934</v>
      </c>
      <c r="F35" s="1" t="str">
        <f t="shared" si="0"/>
        <v>&lt;a href='http://en.wikipedia.org/wiki/1954_Indianapolis_500'&gt;1954_Indianapolis_500&lt;/a&gt;</v>
      </c>
    </row>
    <row r="36" spans="1:6">
      <c r="A36" s="1">
        <v>1954</v>
      </c>
      <c r="B36" s="1">
        <v>3</v>
      </c>
      <c r="C36" s="1" t="s">
        <v>873</v>
      </c>
      <c r="D36" s="81">
        <v>19895</v>
      </c>
      <c r="E36" s="81" t="s">
        <v>935</v>
      </c>
      <c r="F36" s="1" t="str">
        <f t="shared" si="0"/>
        <v>&lt;a href='http://en.wikipedia.org/wiki/1954_Belgian_Grand_Prix'&gt;1954_Belgian_Grand_Prix&lt;/a&gt;</v>
      </c>
    </row>
    <row r="37" spans="1:6">
      <c r="A37" s="1">
        <v>1954</v>
      </c>
      <c r="B37" s="1">
        <v>4</v>
      </c>
      <c r="C37" s="1" t="s">
        <v>878</v>
      </c>
      <c r="D37" s="81">
        <v>19909</v>
      </c>
      <c r="E37" s="81" t="s">
        <v>936</v>
      </c>
      <c r="F37" s="1" t="str">
        <f t="shared" si="0"/>
        <v>&lt;a href='http://en.wikipedia.org/wiki/1954_French_Grand_Prix'&gt;1954_French_Grand_Prix&lt;/a&gt;</v>
      </c>
    </row>
    <row r="38" spans="1:6">
      <c r="A38" s="1">
        <v>1954</v>
      </c>
      <c r="B38" s="1">
        <v>5</v>
      </c>
      <c r="C38" s="1" t="s">
        <v>851</v>
      </c>
      <c r="D38" s="81">
        <v>19922</v>
      </c>
      <c r="E38" s="81" t="s">
        <v>937</v>
      </c>
      <c r="F38" s="1" t="str">
        <f t="shared" si="0"/>
        <v>&lt;a href='http://en.wikipedia.org/wiki/1954_British_Grand_Prix'&gt;1954_British_Grand_Prix&lt;/a&gt;</v>
      </c>
    </row>
    <row r="39" spans="1:6">
      <c r="A39" s="1">
        <v>1954</v>
      </c>
      <c r="B39" s="1">
        <v>6</v>
      </c>
      <c r="C39" s="1" t="s">
        <v>894</v>
      </c>
      <c r="D39" s="81">
        <v>19937</v>
      </c>
      <c r="E39" s="81" t="s">
        <v>938</v>
      </c>
      <c r="F39" s="1" t="str">
        <f t="shared" si="0"/>
        <v>&lt;a href='http://en.wikipedia.org/wiki/1954_German_Grand_Prix'&gt;1954_German_Grand_Prix&lt;/a&gt;</v>
      </c>
    </row>
    <row r="40" spans="1:6">
      <c r="A40" s="1">
        <v>1954</v>
      </c>
      <c r="B40" s="1">
        <v>7</v>
      </c>
      <c r="C40" s="1" t="s">
        <v>868</v>
      </c>
      <c r="D40" s="81">
        <v>19958</v>
      </c>
      <c r="E40" s="81" t="s">
        <v>939</v>
      </c>
      <c r="F40" s="1" t="str">
        <f t="shared" si="0"/>
        <v>&lt;a href='http://en.wikipedia.org/wiki/1954_Swiss_Grand_Prix'&gt;1954_Swiss_Grand_Prix&lt;/a&gt;</v>
      </c>
    </row>
    <row r="41" spans="1:6">
      <c r="A41" s="1">
        <v>1954</v>
      </c>
      <c r="B41" s="1">
        <v>8</v>
      </c>
      <c r="C41" s="1" t="s">
        <v>883</v>
      </c>
      <c r="D41" s="81">
        <v>19972</v>
      </c>
      <c r="E41" s="81" t="s">
        <v>940</v>
      </c>
      <c r="F41" s="1" t="str">
        <f t="shared" si="0"/>
        <v>&lt;a href='http://en.wikipedia.org/wiki/1954_Italian_Grand_Prix'&gt;1954_Italian_Grand_Prix&lt;/a&gt;</v>
      </c>
    </row>
    <row r="42" spans="1:6">
      <c r="A42" s="1">
        <v>1954</v>
      </c>
      <c r="B42" s="1">
        <v>9</v>
      </c>
      <c r="C42" s="1" t="s">
        <v>900</v>
      </c>
      <c r="D42" s="81">
        <v>20021</v>
      </c>
      <c r="E42" s="81" t="s">
        <v>941</v>
      </c>
      <c r="F42" s="1" t="str">
        <f t="shared" si="0"/>
        <v>&lt;a href='http://en.wikipedia.org/wiki/1954_Spanish_Grand_Prix'&gt;1954_Spanish_Grand_Prix&lt;/a&gt;</v>
      </c>
    </row>
    <row r="43" spans="1:6">
      <c r="A43" s="1">
        <v>1955</v>
      </c>
      <c r="B43" s="1">
        <v>1</v>
      </c>
      <c r="C43" s="1" t="s">
        <v>922</v>
      </c>
      <c r="D43" s="81">
        <v>20105</v>
      </c>
      <c r="E43" s="81" t="s">
        <v>942</v>
      </c>
      <c r="F43" s="1" t="str">
        <f t="shared" si="0"/>
        <v>&lt;a href='http://en.wikipedia.org/wiki/1955_Argentine_Grand_Prix'&gt;1955_Argentine_Grand_Prix&lt;/a&gt;</v>
      </c>
    </row>
    <row r="44" spans="1:6">
      <c r="A44" s="1">
        <v>1955</v>
      </c>
      <c r="B44" s="1">
        <v>2</v>
      </c>
      <c r="C44" s="1" t="s">
        <v>857</v>
      </c>
      <c r="D44" s="81">
        <v>20231</v>
      </c>
      <c r="E44" s="81" t="s">
        <v>943</v>
      </c>
      <c r="F44" s="1" t="str">
        <f t="shared" si="0"/>
        <v>&lt;a href='http://en.wikipedia.org/wiki/1955_Monaco_Grand_Prix'&gt;1955_Monaco_Grand_Prix&lt;/a&gt;</v>
      </c>
    </row>
    <row r="45" spans="1:6">
      <c r="A45" s="1">
        <v>1955</v>
      </c>
      <c r="B45" s="1">
        <v>3</v>
      </c>
      <c r="C45" s="1" t="s">
        <v>863</v>
      </c>
      <c r="D45" s="81">
        <v>20239</v>
      </c>
      <c r="E45" s="81" t="s">
        <v>944</v>
      </c>
      <c r="F45" s="1" t="str">
        <f t="shared" si="0"/>
        <v>&lt;a href='http://en.wikipedia.org/wiki/1955_Indianapolis_500'&gt;1955_Indianapolis_500&lt;/a&gt;</v>
      </c>
    </row>
    <row r="46" spans="1:6">
      <c r="A46" s="1">
        <v>1955</v>
      </c>
      <c r="B46" s="1">
        <v>4</v>
      </c>
      <c r="C46" s="1" t="s">
        <v>873</v>
      </c>
      <c r="D46" s="81">
        <v>20245</v>
      </c>
      <c r="E46" s="81" t="s">
        <v>945</v>
      </c>
      <c r="F46" s="1" t="str">
        <f t="shared" si="0"/>
        <v>&lt;a href='http://en.wikipedia.org/wiki/1955_Belgian_Grand_Prix'&gt;1955_Belgian_Grand_Prix&lt;/a&gt;</v>
      </c>
    </row>
    <row r="47" spans="1:6">
      <c r="A47" s="1">
        <v>1955</v>
      </c>
      <c r="B47" s="1">
        <v>5</v>
      </c>
      <c r="C47" s="1" t="s">
        <v>915</v>
      </c>
      <c r="D47" s="81">
        <v>20259</v>
      </c>
      <c r="E47" s="81" t="s">
        <v>946</v>
      </c>
      <c r="F47" s="1" t="str">
        <f t="shared" si="0"/>
        <v>&lt;a href='http://en.wikipedia.org/wiki/1955_Dutch_Grand_Prix'&gt;1955_Dutch_Grand_Prix&lt;/a&gt;</v>
      </c>
    </row>
    <row r="48" spans="1:6">
      <c r="A48" s="1">
        <v>1955</v>
      </c>
      <c r="B48" s="1">
        <v>6</v>
      </c>
      <c r="C48" s="1" t="s">
        <v>947</v>
      </c>
      <c r="D48" s="81">
        <v>20286</v>
      </c>
      <c r="E48" s="81" t="s">
        <v>950</v>
      </c>
      <c r="F48" s="1" t="str">
        <f t="shared" si="0"/>
        <v>&lt;a href='http://en.wikipedia.org/wiki/1955_British_Grand_Prix'&gt;1955_British_Grand_Prix&lt;/a&gt;</v>
      </c>
    </row>
    <row r="49" spans="1:6">
      <c r="A49" s="1">
        <v>1955</v>
      </c>
      <c r="B49" s="1">
        <v>7</v>
      </c>
      <c r="C49" s="1" t="s">
        <v>883</v>
      </c>
      <c r="D49" s="81">
        <v>20343</v>
      </c>
      <c r="E49" s="81" t="s">
        <v>951</v>
      </c>
      <c r="F49" s="1" t="str">
        <f t="shared" si="0"/>
        <v>&lt;a href='http://en.wikipedia.org/wiki/1955_Italian_Grand_Prix'&gt;1955_Italian_Grand_Prix&lt;/a&gt;</v>
      </c>
    </row>
    <row r="50" spans="1:6">
      <c r="A50" s="1">
        <v>1956</v>
      </c>
      <c r="B50" s="1">
        <v>1</v>
      </c>
      <c r="C50" s="1" t="s">
        <v>922</v>
      </c>
      <c r="D50" s="81">
        <v>20476</v>
      </c>
      <c r="E50" s="81" t="s">
        <v>952</v>
      </c>
      <c r="F50" s="1" t="str">
        <f t="shared" si="0"/>
        <v>&lt;a href='http://en.wikipedia.org/wiki/1956_Argentine_Grand_Prix'&gt;1956_Argentine_Grand_Prix&lt;/a&gt;</v>
      </c>
    </row>
    <row r="51" spans="1:6">
      <c r="A51" s="1">
        <v>1956</v>
      </c>
      <c r="B51" s="1">
        <v>2</v>
      </c>
      <c r="C51" s="1" t="s">
        <v>857</v>
      </c>
      <c r="D51" s="81">
        <v>20588</v>
      </c>
      <c r="E51" s="81" t="s">
        <v>953</v>
      </c>
      <c r="F51" s="1" t="str">
        <f t="shared" si="0"/>
        <v>&lt;a href='http://en.wikipedia.org/wiki/1956_Monaco_Grand_Prix'&gt;1956_Monaco_Grand_Prix&lt;/a&gt;</v>
      </c>
    </row>
    <row r="52" spans="1:6">
      <c r="A52" s="1">
        <v>1956</v>
      </c>
      <c r="B52" s="1">
        <v>3</v>
      </c>
      <c r="C52" s="1" t="s">
        <v>863</v>
      </c>
      <c r="D52" s="81">
        <v>20605</v>
      </c>
      <c r="E52" s="81" t="s">
        <v>954</v>
      </c>
      <c r="F52" s="1" t="str">
        <f t="shared" si="0"/>
        <v>&lt;a href='http://en.wikipedia.org/wiki/1956_Indianapolis_500'&gt;1956_Indianapolis_500&lt;/a&gt;</v>
      </c>
    </row>
    <row r="53" spans="1:6">
      <c r="A53" s="1">
        <v>1956</v>
      </c>
      <c r="B53" s="1">
        <v>4</v>
      </c>
      <c r="C53" s="1" t="s">
        <v>873</v>
      </c>
      <c r="D53" s="81">
        <v>20609</v>
      </c>
      <c r="E53" s="81" t="s">
        <v>955</v>
      </c>
      <c r="F53" s="1" t="str">
        <f t="shared" si="0"/>
        <v>&lt;a href='http://en.wikipedia.org/wiki/1956_Belgian_Grand_Prix'&gt;1956_Belgian_Grand_Prix&lt;/a&gt;</v>
      </c>
    </row>
    <row r="54" spans="1:6">
      <c r="A54" s="1">
        <v>1956</v>
      </c>
      <c r="B54" s="1">
        <v>5</v>
      </c>
      <c r="C54" s="1" t="s">
        <v>878</v>
      </c>
      <c r="D54" s="81">
        <v>20637</v>
      </c>
      <c r="E54" s="81" t="s">
        <v>956</v>
      </c>
      <c r="F54" s="1" t="str">
        <f t="shared" si="0"/>
        <v>&lt;a href='http://en.wikipedia.org/wiki/1956_French_Grand_Prix'&gt;1956_French_Grand_Prix&lt;/a&gt;</v>
      </c>
    </row>
    <row r="55" spans="1:6">
      <c r="A55" s="1">
        <v>1956</v>
      </c>
      <c r="B55" s="1">
        <v>6</v>
      </c>
      <c r="C55" s="1" t="s">
        <v>851</v>
      </c>
      <c r="D55" s="81">
        <v>20650</v>
      </c>
      <c r="E55" s="81" t="s">
        <v>957</v>
      </c>
      <c r="F55" s="1" t="str">
        <f t="shared" si="0"/>
        <v>&lt;a href='http://en.wikipedia.org/wiki/1956_British_Grand_Prix'&gt;1956_British_Grand_Prix&lt;/a&gt;</v>
      </c>
    </row>
    <row r="56" spans="1:6">
      <c r="A56" s="1">
        <v>1956</v>
      </c>
      <c r="B56" s="1">
        <v>7</v>
      </c>
      <c r="C56" s="1" t="s">
        <v>894</v>
      </c>
      <c r="D56" s="81">
        <v>20672</v>
      </c>
      <c r="E56" s="81" t="s">
        <v>958</v>
      </c>
      <c r="F56" s="1" t="str">
        <f t="shared" si="0"/>
        <v>&lt;a href='http://en.wikipedia.org/wiki/1956_German_Grand_Prix'&gt;1956_German_Grand_Prix&lt;/a&gt;</v>
      </c>
    </row>
    <row r="57" spans="1:6">
      <c r="A57" s="1">
        <v>1956</v>
      </c>
      <c r="B57" s="1">
        <v>8</v>
      </c>
      <c r="C57" s="1" t="s">
        <v>883</v>
      </c>
      <c r="D57" s="81">
        <v>20700</v>
      </c>
      <c r="E57" s="81" t="s">
        <v>959</v>
      </c>
      <c r="F57" s="1" t="str">
        <f t="shared" si="0"/>
        <v>&lt;a href='http://en.wikipedia.org/wiki/1956_Italian_Grand_Prix'&gt;1956_Italian_Grand_Prix&lt;/a&gt;</v>
      </c>
    </row>
    <row r="58" spans="1:6">
      <c r="A58" s="1">
        <v>1957</v>
      </c>
      <c r="B58" s="1">
        <v>1</v>
      </c>
      <c r="C58" s="1" t="s">
        <v>922</v>
      </c>
      <c r="D58" s="81">
        <v>20833</v>
      </c>
      <c r="E58" s="81" t="s">
        <v>960</v>
      </c>
      <c r="F58" s="1" t="str">
        <f t="shared" si="0"/>
        <v>&lt;a href='http://en.wikipedia.org/wiki/1957_Argentine_Grand_Prix'&gt;1957_Argentine_Grand_Prix&lt;/a&gt;</v>
      </c>
    </row>
    <row r="59" spans="1:6">
      <c r="A59" s="1">
        <v>1957</v>
      </c>
      <c r="B59" s="1">
        <v>2</v>
      </c>
      <c r="C59" s="1" t="s">
        <v>857</v>
      </c>
      <c r="D59" s="81">
        <v>20959</v>
      </c>
      <c r="E59" s="81" t="s">
        <v>961</v>
      </c>
      <c r="F59" s="1" t="str">
        <f t="shared" si="0"/>
        <v>&lt;a href='http://en.wikipedia.org/wiki/1957_Monaco_Grand_Prix'&gt;1957_Monaco_Grand_Prix&lt;/a&gt;</v>
      </c>
    </row>
    <row r="60" spans="1:6">
      <c r="A60" s="1">
        <v>1957</v>
      </c>
      <c r="B60" s="1">
        <v>3</v>
      </c>
      <c r="C60" s="1" t="s">
        <v>863</v>
      </c>
      <c r="D60" s="81">
        <v>20970</v>
      </c>
      <c r="E60" s="81" t="s">
        <v>962</v>
      </c>
      <c r="F60" s="1" t="str">
        <f t="shared" si="0"/>
        <v>&lt;a href='http://en.wikipedia.org/wiki/1957_Indianapolis_500'&gt;1957_Indianapolis_500&lt;/a&gt;</v>
      </c>
    </row>
    <row r="61" spans="1:6">
      <c r="A61" s="1">
        <v>1957</v>
      </c>
      <c r="B61" s="1">
        <v>4</v>
      </c>
      <c r="C61" s="1" t="s">
        <v>908</v>
      </c>
      <c r="D61" s="81">
        <v>21008</v>
      </c>
      <c r="E61" s="81" t="s">
        <v>963</v>
      </c>
      <c r="F61" s="1" t="str">
        <f t="shared" si="0"/>
        <v>&lt;a href='http://en.wikipedia.org/wiki/1957_French_Grand_Prix'&gt;1957_French_Grand_Prix&lt;/a&gt;</v>
      </c>
    </row>
    <row r="62" spans="1:6">
      <c r="A62" s="1">
        <v>1957</v>
      </c>
      <c r="B62" s="1">
        <v>5</v>
      </c>
      <c r="C62" s="1" t="s">
        <v>947</v>
      </c>
      <c r="D62" s="81">
        <v>21021</v>
      </c>
      <c r="E62" s="81" t="s">
        <v>964</v>
      </c>
      <c r="F62" s="1" t="str">
        <f t="shared" si="0"/>
        <v>&lt;a href='http://en.wikipedia.org/wiki/1957_British_Grand_Prix'&gt;1957_British_Grand_Prix&lt;/a&gt;</v>
      </c>
    </row>
    <row r="63" spans="1:6">
      <c r="A63" s="1">
        <v>1957</v>
      </c>
      <c r="B63" s="1">
        <v>6</v>
      </c>
      <c r="C63" s="1" t="s">
        <v>894</v>
      </c>
      <c r="D63" s="81">
        <v>21036</v>
      </c>
      <c r="E63" s="81" t="s">
        <v>965</v>
      </c>
      <c r="F63" s="1" t="str">
        <f t="shared" si="0"/>
        <v>&lt;a href='http://en.wikipedia.org/wiki/1957_German_Grand_Prix'&gt;1957_German_Grand_Prix&lt;/a&gt;</v>
      </c>
    </row>
    <row r="64" spans="1:6">
      <c r="A64" s="1">
        <v>1957</v>
      </c>
      <c r="B64" s="1">
        <v>7</v>
      </c>
      <c r="C64" s="1" t="s">
        <v>967</v>
      </c>
      <c r="D64" s="81">
        <v>21050</v>
      </c>
      <c r="E64" s="81" t="s">
        <v>970</v>
      </c>
      <c r="F64" s="1" t="str">
        <f t="shared" si="0"/>
        <v>&lt;a href='http://en.wikipedia.org/wiki/1957_Pescara_Grand_Prix'&gt;1957_Pescara_Grand_Prix&lt;/a&gt;</v>
      </c>
    </row>
    <row r="65" spans="1:6">
      <c r="A65" s="1">
        <v>1957</v>
      </c>
      <c r="B65" s="1">
        <v>8</v>
      </c>
      <c r="C65" s="1" t="s">
        <v>883</v>
      </c>
      <c r="D65" s="81">
        <v>21071</v>
      </c>
      <c r="E65" s="81" t="s">
        <v>971</v>
      </c>
      <c r="F65" s="1" t="str">
        <f t="shared" si="0"/>
        <v>&lt;a href='http://en.wikipedia.org/wiki/1957_Italian_Grand_Prix'&gt;1957_Italian_Grand_Prix&lt;/a&gt;</v>
      </c>
    </row>
    <row r="66" spans="1:6">
      <c r="A66" s="1">
        <v>1958</v>
      </c>
      <c r="B66" s="1">
        <v>1</v>
      </c>
      <c r="C66" s="1" t="s">
        <v>922</v>
      </c>
      <c r="D66" s="81">
        <v>21204</v>
      </c>
      <c r="E66" s="81" t="s">
        <v>972</v>
      </c>
      <c r="F66" s="1" t="str">
        <f t="shared" si="0"/>
        <v>&lt;a href='http://en.wikipedia.org/wiki/1958_Argentine_Grand_Prix'&gt;1958_Argentine_Grand_Prix&lt;/a&gt;</v>
      </c>
    </row>
    <row r="67" spans="1:6">
      <c r="A67" s="1">
        <v>1958</v>
      </c>
      <c r="B67" s="1">
        <v>2</v>
      </c>
      <c r="C67" s="1" t="s">
        <v>857</v>
      </c>
      <c r="D67" s="81">
        <v>21323</v>
      </c>
      <c r="E67" s="81" t="s">
        <v>973</v>
      </c>
      <c r="F67" s="1" t="str">
        <f t="shared" ref="F67:F130" si="1">"&lt;a href='"&amp;E67&amp;"'&gt;"&amp;MID(E67,30,LEN(E67)-29)&amp;"&lt;/a&gt;"</f>
        <v>&lt;a href='http://en.wikipedia.org/wiki/1958_Monaco_Grand_Prix'&gt;1958_Monaco_Grand_Prix&lt;/a&gt;</v>
      </c>
    </row>
    <row r="68" spans="1:6">
      <c r="A68" s="1">
        <v>1958</v>
      </c>
      <c r="B68" s="1">
        <v>3</v>
      </c>
      <c r="C68" s="1" t="s">
        <v>915</v>
      </c>
      <c r="D68" s="81">
        <v>21331</v>
      </c>
      <c r="E68" s="81" t="s">
        <v>974</v>
      </c>
      <c r="F68" s="1" t="str">
        <f t="shared" si="1"/>
        <v>&lt;a href='http://en.wikipedia.org/wiki/1958_Dutch_Grand_Prix'&gt;1958_Dutch_Grand_Prix&lt;/a&gt;</v>
      </c>
    </row>
    <row r="69" spans="1:6">
      <c r="A69" s="1">
        <v>1958</v>
      </c>
      <c r="B69" s="1">
        <v>4</v>
      </c>
      <c r="C69" s="1" t="s">
        <v>863</v>
      </c>
      <c r="D69" s="81">
        <v>21335</v>
      </c>
      <c r="E69" s="81" t="s">
        <v>975</v>
      </c>
      <c r="F69" s="1" t="str">
        <f t="shared" si="1"/>
        <v>&lt;a href='http://en.wikipedia.org/wiki/1958_Indianapolis_500'&gt;1958_Indianapolis_500&lt;/a&gt;</v>
      </c>
    </row>
    <row r="70" spans="1:6">
      <c r="A70" s="1">
        <v>1958</v>
      </c>
      <c r="B70" s="1">
        <v>5</v>
      </c>
      <c r="C70" s="1" t="s">
        <v>873</v>
      </c>
      <c r="D70" s="81">
        <v>21351</v>
      </c>
      <c r="E70" s="81" t="s">
        <v>976</v>
      </c>
      <c r="F70" s="1" t="str">
        <f t="shared" si="1"/>
        <v>&lt;a href='http://en.wikipedia.org/wiki/1958_Belgian_Grand_Prix'&gt;1958_Belgian_Grand_Prix&lt;/a&gt;</v>
      </c>
    </row>
    <row r="71" spans="1:6">
      <c r="A71" s="1">
        <v>1958</v>
      </c>
      <c r="B71" s="1">
        <v>6</v>
      </c>
      <c r="C71" s="1" t="s">
        <v>878</v>
      </c>
      <c r="D71" s="81">
        <v>21372</v>
      </c>
      <c r="E71" s="81" t="s">
        <v>977</v>
      </c>
      <c r="F71" s="1" t="str">
        <f t="shared" si="1"/>
        <v>&lt;a href='http://en.wikipedia.org/wiki/1958_French_Grand_Prix'&gt;1958_French_Grand_Prix&lt;/a&gt;</v>
      </c>
    </row>
    <row r="72" spans="1:6">
      <c r="A72" s="1">
        <v>1958</v>
      </c>
      <c r="B72" s="1">
        <v>7</v>
      </c>
      <c r="C72" s="1" t="s">
        <v>851</v>
      </c>
      <c r="D72" s="81">
        <v>21385</v>
      </c>
      <c r="E72" s="81" t="s">
        <v>978</v>
      </c>
      <c r="F72" s="1" t="str">
        <f t="shared" si="1"/>
        <v>&lt;a href='http://en.wikipedia.org/wiki/1958_British_Grand_Prix'&gt;1958_British_Grand_Prix&lt;/a&gt;</v>
      </c>
    </row>
    <row r="73" spans="1:6">
      <c r="A73" s="1">
        <v>1958</v>
      </c>
      <c r="B73" s="1">
        <v>8</v>
      </c>
      <c r="C73" s="1" t="s">
        <v>894</v>
      </c>
      <c r="D73" s="81">
        <v>21400</v>
      </c>
      <c r="E73" s="81" t="s">
        <v>979</v>
      </c>
      <c r="F73" s="1" t="str">
        <f t="shared" si="1"/>
        <v>&lt;a href='http://en.wikipedia.org/wiki/1958_German_Grand_Prix'&gt;1958_German_Grand_Prix&lt;/a&gt;</v>
      </c>
    </row>
    <row r="74" spans="1:6">
      <c r="A74" s="1">
        <v>1958</v>
      </c>
      <c r="B74" s="1">
        <v>9</v>
      </c>
      <c r="C74" s="1" t="s">
        <v>981</v>
      </c>
      <c r="D74" s="81">
        <v>21421</v>
      </c>
      <c r="E74" s="81" t="s">
        <v>985</v>
      </c>
      <c r="F74" s="1" t="str">
        <f t="shared" si="1"/>
        <v>&lt;a href='http://en.wikipedia.org/wiki/1958_Portuguese_Grand_Prix'&gt;1958_Portuguese_Grand_Prix&lt;/a&gt;</v>
      </c>
    </row>
    <row r="75" spans="1:6">
      <c r="A75" s="1">
        <v>1958</v>
      </c>
      <c r="B75" s="1">
        <v>10</v>
      </c>
      <c r="C75" s="1" t="s">
        <v>883</v>
      </c>
      <c r="D75" s="81">
        <v>21435</v>
      </c>
      <c r="E75" s="81" t="s">
        <v>986</v>
      </c>
      <c r="F75" s="1" t="str">
        <f t="shared" si="1"/>
        <v>&lt;a href='http://en.wikipedia.org/wiki/1958_Italian_Grand_Prix'&gt;1958_Italian_Grand_Prix&lt;/a&gt;</v>
      </c>
    </row>
    <row r="76" spans="1:6">
      <c r="A76" s="1">
        <v>1958</v>
      </c>
      <c r="B76" s="1">
        <v>11</v>
      </c>
      <c r="C76" s="1" t="s">
        <v>988</v>
      </c>
      <c r="D76" s="81">
        <v>21477</v>
      </c>
      <c r="E76" s="81" t="s">
        <v>992</v>
      </c>
      <c r="F76" s="1" t="str">
        <f t="shared" si="1"/>
        <v>&lt;a href='http://en.wikipedia.org/wiki/1958_Moroccan_Grand_Prix'&gt;1958_Moroccan_Grand_Prix&lt;/a&gt;</v>
      </c>
    </row>
    <row r="77" spans="1:6">
      <c r="A77" s="1">
        <v>1959</v>
      </c>
      <c r="B77" s="1">
        <v>1</v>
      </c>
      <c r="C77" s="1" t="s">
        <v>857</v>
      </c>
      <c r="D77" s="81">
        <v>21680</v>
      </c>
      <c r="E77" s="81" t="s">
        <v>993</v>
      </c>
      <c r="F77" s="1" t="str">
        <f t="shared" si="1"/>
        <v>&lt;a href='http://en.wikipedia.org/wiki/1959_Monaco_Grand_Prix'&gt;1959_Monaco_Grand_Prix&lt;/a&gt;</v>
      </c>
    </row>
    <row r="78" spans="1:6">
      <c r="A78" s="1">
        <v>1959</v>
      </c>
      <c r="B78" s="1">
        <v>2</v>
      </c>
      <c r="C78" s="1" t="s">
        <v>863</v>
      </c>
      <c r="D78" s="81">
        <v>21700</v>
      </c>
      <c r="E78" s="81" t="s">
        <v>994</v>
      </c>
      <c r="F78" s="1" t="str">
        <f t="shared" si="1"/>
        <v>&lt;a href='http://en.wikipedia.org/wiki/1959_Indianapolis_500'&gt;1959_Indianapolis_500&lt;/a&gt;</v>
      </c>
    </row>
    <row r="79" spans="1:6">
      <c r="A79" s="1">
        <v>1959</v>
      </c>
      <c r="B79" s="1">
        <v>3</v>
      </c>
      <c r="C79" s="1" t="s">
        <v>915</v>
      </c>
      <c r="D79" s="81">
        <v>21701</v>
      </c>
      <c r="E79" s="81" t="s">
        <v>995</v>
      </c>
      <c r="F79" s="1" t="str">
        <f t="shared" si="1"/>
        <v>&lt;a href='http://en.wikipedia.org/wiki/1959_Dutch_Grand_Prix'&gt;1959_Dutch_Grand_Prix&lt;/a&gt;</v>
      </c>
    </row>
    <row r="80" spans="1:6">
      <c r="A80" s="1">
        <v>1959</v>
      </c>
      <c r="B80" s="1">
        <v>4</v>
      </c>
      <c r="C80" s="1" t="s">
        <v>878</v>
      </c>
      <c r="D80" s="81">
        <v>21736</v>
      </c>
      <c r="E80" s="81" t="s">
        <v>996</v>
      </c>
      <c r="F80" s="1" t="str">
        <f t="shared" si="1"/>
        <v>&lt;a href='http://en.wikipedia.org/wiki/1959_French_Grand_Prix'&gt;1959_French_Grand_Prix&lt;/a&gt;</v>
      </c>
    </row>
    <row r="81" spans="1:6">
      <c r="A81" s="1">
        <v>1959</v>
      </c>
      <c r="B81" s="1">
        <v>5</v>
      </c>
      <c r="C81" s="1" t="s">
        <v>947</v>
      </c>
      <c r="D81" s="81">
        <v>21749</v>
      </c>
      <c r="E81" s="81" t="s">
        <v>997</v>
      </c>
      <c r="F81" s="1" t="str">
        <f t="shared" si="1"/>
        <v>&lt;a href='http://en.wikipedia.org/wiki/1959_British_Grand_Prix'&gt;1959_British_Grand_Prix&lt;/a&gt;</v>
      </c>
    </row>
    <row r="82" spans="1:6">
      <c r="A82" s="1">
        <v>1959</v>
      </c>
      <c r="B82" s="1">
        <v>6</v>
      </c>
      <c r="C82" s="1" t="s">
        <v>998</v>
      </c>
      <c r="D82" s="81">
        <v>21764</v>
      </c>
      <c r="E82" s="81" t="s">
        <v>1000</v>
      </c>
      <c r="F82" s="1" t="str">
        <f t="shared" si="1"/>
        <v>&lt;a href='http://en.wikipedia.org/wiki/1959_German_Grand_Prix'&gt;1959_German_Grand_Prix&lt;/a&gt;</v>
      </c>
    </row>
    <row r="83" spans="1:6">
      <c r="A83" s="1">
        <v>1959</v>
      </c>
      <c r="B83" s="1">
        <v>7</v>
      </c>
      <c r="C83" s="1" t="s">
        <v>1001</v>
      </c>
      <c r="D83" s="81">
        <v>21785</v>
      </c>
      <c r="E83" s="81" t="s">
        <v>1004</v>
      </c>
      <c r="F83" s="1" t="str">
        <f t="shared" si="1"/>
        <v>&lt;a href='http://en.wikipedia.org/wiki/1959_Portuguese_Grand_Prix'&gt;1959_Portuguese_Grand_Prix&lt;/a&gt;</v>
      </c>
    </row>
    <row r="84" spans="1:6">
      <c r="A84" s="1">
        <v>1959</v>
      </c>
      <c r="B84" s="1">
        <v>8</v>
      </c>
      <c r="C84" s="1" t="s">
        <v>883</v>
      </c>
      <c r="D84" s="81">
        <v>21806</v>
      </c>
      <c r="E84" s="81" t="s">
        <v>1005</v>
      </c>
      <c r="F84" s="1" t="str">
        <f t="shared" si="1"/>
        <v>&lt;a href='http://en.wikipedia.org/wiki/1959_Italian_Grand_Prix'&gt;1959_Italian_Grand_Prix&lt;/a&gt;</v>
      </c>
    </row>
    <row r="85" spans="1:6">
      <c r="A85" s="1">
        <v>1959</v>
      </c>
      <c r="B85" s="1">
        <v>9</v>
      </c>
      <c r="C85" s="1" t="s">
        <v>1007</v>
      </c>
      <c r="D85" s="81">
        <v>21896</v>
      </c>
      <c r="E85" s="81" t="s">
        <v>1011</v>
      </c>
      <c r="F85" s="1" t="str">
        <f t="shared" si="1"/>
        <v>&lt;a href='http://en.wikipedia.org/wiki/1959_United_States_Grand_Prix'&gt;1959_United_States_Grand_Prix&lt;/a&gt;</v>
      </c>
    </row>
    <row r="86" spans="1:6">
      <c r="A86" s="1">
        <v>1960</v>
      </c>
      <c r="B86" s="1">
        <v>1</v>
      </c>
      <c r="C86" s="1" t="s">
        <v>922</v>
      </c>
      <c r="D86" s="81">
        <v>21953</v>
      </c>
      <c r="E86" s="81" t="s">
        <v>1012</v>
      </c>
      <c r="F86" s="1" t="str">
        <f t="shared" si="1"/>
        <v>&lt;a href='http://en.wikipedia.org/wiki/1960_Argentine_Grand_Prix'&gt;1960_Argentine_Grand_Prix&lt;/a&gt;</v>
      </c>
    </row>
    <row r="87" spans="1:6">
      <c r="A87" s="1">
        <v>1960</v>
      </c>
      <c r="B87" s="1">
        <v>2</v>
      </c>
      <c r="C87" s="1" t="s">
        <v>857</v>
      </c>
      <c r="D87" s="81">
        <v>22065</v>
      </c>
      <c r="E87" s="81" t="s">
        <v>1013</v>
      </c>
      <c r="F87" s="1" t="str">
        <f t="shared" si="1"/>
        <v>&lt;a href='http://en.wikipedia.org/wiki/1960_Monaco_Grand_Prix'&gt;1960_Monaco_Grand_Prix&lt;/a&gt;</v>
      </c>
    </row>
    <row r="88" spans="1:6">
      <c r="A88" s="1">
        <v>1960</v>
      </c>
      <c r="B88" s="1">
        <v>3</v>
      </c>
      <c r="C88" s="1" t="s">
        <v>863</v>
      </c>
      <c r="D88" s="81">
        <v>22066</v>
      </c>
      <c r="E88" s="81" t="s">
        <v>1014</v>
      </c>
      <c r="F88" s="1" t="str">
        <f t="shared" si="1"/>
        <v>&lt;a href='http://en.wikipedia.org/wiki/1960_Indianapolis_500'&gt;1960_Indianapolis_500&lt;/a&gt;</v>
      </c>
    </row>
    <row r="89" spans="1:6">
      <c r="A89" s="1">
        <v>1960</v>
      </c>
      <c r="B89" s="1">
        <v>4</v>
      </c>
      <c r="C89" s="1" t="s">
        <v>915</v>
      </c>
      <c r="D89" s="81">
        <v>22073</v>
      </c>
      <c r="E89" s="81" t="s">
        <v>1015</v>
      </c>
      <c r="F89" s="1" t="str">
        <f t="shared" si="1"/>
        <v>&lt;a href='http://en.wikipedia.org/wiki/1960_Dutch_Grand_Prix'&gt;1960_Dutch_Grand_Prix&lt;/a&gt;</v>
      </c>
    </row>
    <row r="90" spans="1:6">
      <c r="A90" s="1">
        <v>1960</v>
      </c>
      <c r="B90" s="1">
        <v>5</v>
      </c>
      <c r="C90" s="1" t="s">
        <v>873</v>
      </c>
      <c r="D90" s="81">
        <v>22086</v>
      </c>
      <c r="E90" s="81" t="s">
        <v>1016</v>
      </c>
      <c r="F90" s="1" t="str">
        <f t="shared" si="1"/>
        <v>&lt;a href='http://en.wikipedia.org/wiki/1960_Belgian_Grand_Prix'&gt;1960_Belgian_Grand_Prix&lt;/a&gt;</v>
      </c>
    </row>
    <row r="91" spans="1:6">
      <c r="A91" s="1">
        <v>1960</v>
      </c>
      <c r="B91" s="1">
        <v>6</v>
      </c>
      <c r="C91" s="1" t="s">
        <v>878</v>
      </c>
      <c r="D91" s="81">
        <v>22100</v>
      </c>
      <c r="E91" s="81" t="s">
        <v>1017</v>
      </c>
      <c r="F91" s="1" t="str">
        <f t="shared" si="1"/>
        <v>&lt;a href='http://en.wikipedia.org/wiki/1960_French_Grand_Prix'&gt;1960_French_Grand_Prix&lt;/a&gt;</v>
      </c>
    </row>
    <row r="92" spans="1:6">
      <c r="A92" s="1">
        <v>1960</v>
      </c>
      <c r="B92" s="1">
        <v>7</v>
      </c>
      <c r="C92" s="1" t="s">
        <v>851</v>
      </c>
      <c r="D92" s="81">
        <v>22113</v>
      </c>
      <c r="E92" s="81" t="s">
        <v>1018</v>
      </c>
      <c r="F92" s="1" t="str">
        <f t="shared" si="1"/>
        <v>&lt;a href='http://en.wikipedia.org/wiki/1960_British_Grand_Prix'&gt;1960_British_Grand_Prix&lt;/a&gt;</v>
      </c>
    </row>
    <row r="93" spans="1:6">
      <c r="A93" s="1">
        <v>1960</v>
      </c>
      <c r="B93" s="1">
        <v>8</v>
      </c>
      <c r="C93" s="1" t="s">
        <v>981</v>
      </c>
      <c r="D93" s="81">
        <v>22142</v>
      </c>
      <c r="E93" s="81" t="s">
        <v>1019</v>
      </c>
      <c r="F93" s="1" t="str">
        <f t="shared" si="1"/>
        <v>&lt;a href='http://en.wikipedia.org/wiki/1960_Portuguese_Grand_Prix'&gt;1960_Portuguese_Grand_Prix&lt;/a&gt;</v>
      </c>
    </row>
    <row r="94" spans="1:6">
      <c r="A94" s="1">
        <v>1960</v>
      </c>
      <c r="B94" s="1">
        <v>9</v>
      </c>
      <c r="C94" s="1" t="s">
        <v>883</v>
      </c>
      <c r="D94" s="81">
        <v>22163</v>
      </c>
      <c r="E94" s="81" t="s">
        <v>1020</v>
      </c>
      <c r="F94" s="1" t="str">
        <f t="shared" si="1"/>
        <v>&lt;a href='http://en.wikipedia.org/wiki/1960_Italian_Grand_Prix'&gt;1960_Italian_Grand_Prix&lt;/a&gt;</v>
      </c>
    </row>
    <row r="95" spans="1:6">
      <c r="A95" s="1">
        <v>1960</v>
      </c>
      <c r="B95" s="1">
        <v>10</v>
      </c>
      <c r="C95" s="1" t="s">
        <v>1021</v>
      </c>
      <c r="D95" s="81">
        <v>22240</v>
      </c>
      <c r="E95" s="81" t="s">
        <v>1023</v>
      </c>
      <c r="F95" s="1" t="str">
        <f t="shared" si="1"/>
        <v>&lt;a href='http://en.wikipedia.org/wiki/1960_United_States_Grand_Prix'&gt;1960_United_States_Grand_Prix&lt;/a&gt;</v>
      </c>
    </row>
    <row r="96" spans="1:6">
      <c r="A96" s="1">
        <v>1961</v>
      </c>
      <c r="B96" s="1">
        <v>1</v>
      </c>
      <c r="C96" s="1" t="s">
        <v>857</v>
      </c>
      <c r="D96" s="81">
        <v>22415</v>
      </c>
      <c r="E96" s="81" t="s">
        <v>1024</v>
      </c>
      <c r="F96" s="1" t="str">
        <f t="shared" si="1"/>
        <v>&lt;a href='http://en.wikipedia.org/wiki/1961_Monaco_Grand_Prix'&gt;1961_Monaco_Grand_Prix&lt;/a&gt;</v>
      </c>
    </row>
    <row r="97" spans="1:6">
      <c r="A97" s="1">
        <v>1961</v>
      </c>
      <c r="B97" s="1">
        <v>2</v>
      </c>
      <c r="C97" s="1" t="s">
        <v>915</v>
      </c>
      <c r="D97" s="81">
        <v>22423</v>
      </c>
      <c r="E97" s="81" t="s">
        <v>1025</v>
      </c>
      <c r="F97" s="1" t="str">
        <f t="shared" si="1"/>
        <v>&lt;a href='http://en.wikipedia.org/wiki/1961_Dutch_Grand_Prix'&gt;1961_Dutch_Grand_Prix&lt;/a&gt;</v>
      </c>
    </row>
    <row r="98" spans="1:6">
      <c r="A98" s="1">
        <v>1961</v>
      </c>
      <c r="B98" s="1">
        <v>3</v>
      </c>
      <c r="C98" s="1" t="s">
        <v>873</v>
      </c>
      <c r="D98" s="81">
        <v>22450</v>
      </c>
      <c r="E98" s="81" t="s">
        <v>1026</v>
      </c>
      <c r="F98" s="1" t="str">
        <f t="shared" si="1"/>
        <v>&lt;a href='http://en.wikipedia.org/wiki/1961_Belgian_Grand_Prix'&gt;1961_Belgian_Grand_Prix&lt;/a&gt;</v>
      </c>
    </row>
    <row r="99" spans="1:6">
      <c r="A99" s="1">
        <v>1961</v>
      </c>
      <c r="B99" s="1">
        <v>4</v>
      </c>
      <c r="C99" s="1" t="s">
        <v>878</v>
      </c>
      <c r="D99" s="81">
        <v>22464</v>
      </c>
      <c r="E99" s="81" t="s">
        <v>1027</v>
      </c>
      <c r="F99" s="1" t="str">
        <f t="shared" si="1"/>
        <v>&lt;a href='http://en.wikipedia.org/wiki/1961_French_Grand_Prix'&gt;1961_French_Grand_Prix&lt;/a&gt;</v>
      </c>
    </row>
    <row r="100" spans="1:6">
      <c r="A100" s="1">
        <v>1961</v>
      </c>
      <c r="B100" s="1">
        <v>5</v>
      </c>
      <c r="C100" s="1" t="s">
        <v>947</v>
      </c>
      <c r="D100" s="81">
        <v>22477</v>
      </c>
      <c r="E100" s="81" t="s">
        <v>1028</v>
      </c>
      <c r="F100" s="1" t="str">
        <f t="shared" si="1"/>
        <v>&lt;a href='http://en.wikipedia.org/wiki/1961_British_Grand_Prix'&gt;1961_British_Grand_Prix&lt;/a&gt;</v>
      </c>
    </row>
    <row r="101" spans="1:6">
      <c r="A101" s="1">
        <v>1961</v>
      </c>
      <c r="B101" s="1">
        <v>6</v>
      </c>
      <c r="C101" s="1" t="s">
        <v>894</v>
      </c>
      <c r="D101" s="81">
        <v>22499</v>
      </c>
      <c r="E101" s="81" t="s">
        <v>1029</v>
      </c>
      <c r="F101" s="1" t="str">
        <f t="shared" si="1"/>
        <v>&lt;a href='http://en.wikipedia.org/wiki/1961_German_Grand_Prix'&gt;1961_German_Grand_Prix&lt;/a&gt;</v>
      </c>
    </row>
    <row r="102" spans="1:6">
      <c r="A102" s="1">
        <v>1961</v>
      </c>
      <c r="B102" s="1">
        <v>7</v>
      </c>
      <c r="C102" s="1" t="s">
        <v>883</v>
      </c>
      <c r="D102" s="81">
        <v>22534</v>
      </c>
      <c r="E102" s="81" t="s">
        <v>1030</v>
      </c>
      <c r="F102" s="1" t="str">
        <f t="shared" si="1"/>
        <v>&lt;a href='http://en.wikipedia.org/wiki/1961_Italian_Grand_Prix'&gt;1961_Italian_Grand_Prix&lt;/a&gt;</v>
      </c>
    </row>
    <row r="103" spans="1:6">
      <c r="A103" s="1">
        <v>1961</v>
      </c>
      <c r="B103" s="1">
        <v>8</v>
      </c>
      <c r="C103" s="1" t="s">
        <v>1031</v>
      </c>
      <c r="D103" s="81">
        <v>22562</v>
      </c>
      <c r="E103" s="81" t="s">
        <v>1033</v>
      </c>
      <c r="F103" s="1" t="str">
        <f t="shared" si="1"/>
        <v>&lt;a href='http://en.wikipedia.org/wiki/1961_United_States_Grand_Prix'&gt;1961_United_States_Grand_Prix&lt;/a&gt;</v>
      </c>
    </row>
    <row r="104" spans="1:6">
      <c r="A104" s="1">
        <v>1962</v>
      </c>
      <c r="B104" s="1">
        <v>1</v>
      </c>
      <c r="C104" s="1" t="s">
        <v>915</v>
      </c>
      <c r="D104" s="81">
        <v>22786</v>
      </c>
      <c r="E104" s="81" t="s">
        <v>1034</v>
      </c>
      <c r="F104" s="1" t="str">
        <f t="shared" si="1"/>
        <v>&lt;a href='http://en.wikipedia.org/wiki/1962_Dutch_Grand_Prix'&gt;1962_Dutch_Grand_Prix&lt;/a&gt;</v>
      </c>
    </row>
    <row r="105" spans="1:6">
      <c r="A105" s="1">
        <v>1962</v>
      </c>
      <c r="B105" s="1">
        <v>2</v>
      </c>
      <c r="C105" s="1" t="s">
        <v>857</v>
      </c>
      <c r="D105" s="81">
        <v>22800</v>
      </c>
      <c r="E105" s="81" t="s">
        <v>1035</v>
      </c>
      <c r="F105" s="1" t="str">
        <f t="shared" si="1"/>
        <v>&lt;a href='http://en.wikipedia.org/wiki/1962_Monaco_Grand_Prix'&gt;1962_Monaco_Grand_Prix&lt;/a&gt;</v>
      </c>
    </row>
    <row r="106" spans="1:6">
      <c r="A106" s="1">
        <v>1962</v>
      </c>
      <c r="B106" s="1">
        <v>3</v>
      </c>
      <c r="C106" s="1" t="s">
        <v>873</v>
      </c>
      <c r="D106" s="81">
        <v>22814</v>
      </c>
      <c r="E106" s="81" t="s">
        <v>1036</v>
      </c>
      <c r="F106" s="1" t="str">
        <f t="shared" si="1"/>
        <v>&lt;a href='http://en.wikipedia.org/wiki/1962_Belgian_Grand_Prix'&gt;1962_Belgian_Grand_Prix&lt;/a&gt;</v>
      </c>
    </row>
    <row r="107" spans="1:6">
      <c r="A107" s="1">
        <v>1962</v>
      </c>
      <c r="B107" s="1">
        <v>4</v>
      </c>
      <c r="C107" s="1" t="s">
        <v>908</v>
      </c>
      <c r="D107" s="81">
        <v>22835</v>
      </c>
      <c r="E107" s="81" t="s">
        <v>1037</v>
      </c>
      <c r="F107" s="1" t="str">
        <f t="shared" si="1"/>
        <v>&lt;a href='http://en.wikipedia.org/wiki/1962_French_Grand_Prix'&gt;1962_French_Grand_Prix&lt;/a&gt;</v>
      </c>
    </row>
    <row r="108" spans="1:6">
      <c r="A108" s="1">
        <v>1962</v>
      </c>
      <c r="B108" s="1">
        <v>5</v>
      </c>
      <c r="C108" s="1" t="s">
        <v>947</v>
      </c>
      <c r="D108" s="81">
        <v>22848</v>
      </c>
      <c r="E108" s="81" t="s">
        <v>1038</v>
      </c>
      <c r="F108" s="1" t="str">
        <f t="shared" si="1"/>
        <v>&lt;a href='http://en.wikipedia.org/wiki/1962_British_Grand_Prix'&gt;1962_British_Grand_Prix&lt;/a&gt;</v>
      </c>
    </row>
    <row r="109" spans="1:6">
      <c r="A109" s="1">
        <v>1962</v>
      </c>
      <c r="B109" s="1">
        <v>6</v>
      </c>
      <c r="C109" s="1" t="s">
        <v>894</v>
      </c>
      <c r="D109" s="81">
        <v>22863</v>
      </c>
      <c r="E109" s="81" t="s">
        <v>1039</v>
      </c>
      <c r="F109" s="1" t="str">
        <f t="shared" si="1"/>
        <v>&lt;a href='http://en.wikipedia.org/wiki/1962_German_Grand_Prix'&gt;1962_German_Grand_Prix&lt;/a&gt;</v>
      </c>
    </row>
    <row r="110" spans="1:6">
      <c r="A110" s="1">
        <v>1962</v>
      </c>
      <c r="B110" s="1">
        <v>7</v>
      </c>
      <c r="C110" s="1" t="s">
        <v>883</v>
      </c>
      <c r="D110" s="81">
        <v>22905</v>
      </c>
      <c r="E110" s="81" t="s">
        <v>1040</v>
      </c>
      <c r="F110" s="1" t="str">
        <f t="shared" si="1"/>
        <v>&lt;a href='http://en.wikipedia.org/wiki/1962_Italian_Grand_Prix'&gt;1962_Italian_Grand_Prix&lt;/a&gt;</v>
      </c>
    </row>
    <row r="111" spans="1:6">
      <c r="A111" s="1">
        <v>1962</v>
      </c>
      <c r="B111" s="1">
        <v>8</v>
      </c>
      <c r="C111" s="1" t="s">
        <v>1031</v>
      </c>
      <c r="D111" s="81">
        <v>22926</v>
      </c>
      <c r="E111" s="81" t="s">
        <v>1041</v>
      </c>
      <c r="F111" s="1" t="str">
        <f t="shared" si="1"/>
        <v>&lt;a href='http://en.wikipedia.org/wiki/1962_United_States_Grand_Prix'&gt;1962_United_States_Grand_Prix&lt;/a&gt;</v>
      </c>
    </row>
    <row r="112" spans="1:6">
      <c r="A112" s="1">
        <v>1962</v>
      </c>
      <c r="B112" s="1">
        <v>9</v>
      </c>
      <c r="C112" s="1" t="s">
        <v>1043</v>
      </c>
      <c r="D112" s="81">
        <v>23009</v>
      </c>
      <c r="E112" s="81" t="s">
        <v>1047</v>
      </c>
      <c r="F112" s="1" t="str">
        <f t="shared" si="1"/>
        <v>&lt;a href='http://en.wikipedia.org/wiki/1962_South_African_Grand_Prix'&gt;1962_South_African_Grand_Prix&lt;/a&gt;</v>
      </c>
    </row>
    <row r="113" spans="1:6">
      <c r="A113" s="1">
        <v>1963</v>
      </c>
      <c r="B113" s="1">
        <v>1</v>
      </c>
      <c r="C113" s="1" t="s">
        <v>857</v>
      </c>
      <c r="D113" s="81">
        <v>23157</v>
      </c>
      <c r="E113" s="81" t="s">
        <v>1048</v>
      </c>
      <c r="F113" s="1" t="str">
        <f t="shared" si="1"/>
        <v>&lt;a href='http://en.wikipedia.org/wiki/1963_Monaco_Grand_Prix'&gt;1963_Monaco_Grand_Prix&lt;/a&gt;</v>
      </c>
    </row>
    <row r="114" spans="1:6">
      <c r="A114" s="1">
        <v>1963</v>
      </c>
      <c r="B114" s="1">
        <v>2</v>
      </c>
      <c r="C114" s="1" t="s">
        <v>873</v>
      </c>
      <c r="D114" s="81">
        <v>23171</v>
      </c>
      <c r="E114" s="81" t="s">
        <v>1049</v>
      </c>
      <c r="F114" s="1" t="str">
        <f t="shared" si="1"/>
        <v>&lt;a href='http://en.wikipedia.org/wiki/1963_Belgian_Grand_Prix'&gt;1963_Belgian_Grand_Prix&lt;/a&gt;</v>
      </c>
    </row>
    <row r="115" spans="1:6">
      <c r="A115" s="1">
        <v>1963</v>
      </c>
      <c r="B115" s="1">
        <v>3</v>
      </c>
      <c r="C115" s="1" t="s">
        <v>915</v>
      </c>
      <c r="D115" s="81">
        <v>23185</v>
      </c>
      <c r="E115" s="81" t="s">
        <v>1050</v>
      </c>
      <c r="F115" s="1" t="str">
        <f t="shared" si="1"/>
        <v>&lt;a href='http://en.wikipedia.org/wiki/1963_Dutch_Grand_Prix'&gt;1963_Dutch_Grand_Prix&lt;/a&gt;</v>
      </c>
    </row>
    <row r="116" spans="1:6">
      <c r="A116" s="1">
        <v>1963</v>
      </c>
      <c r="B116" s="1">
        <v>4</v>
      </c>
      <c r="C116" s="1" t="s">
        <v>878</v>
      </c>
      <c r="D116" s="81">
        <v>23192</v>
      </c>
      <c r="E116" s="81" t="s">
        <v>1051</v>
      </c>
      <c r="F116" s="1" t="str">
        <f t="shared" si="1"/>
        <v>&lt;a href='http://en.wikipedia.org/wiki/1963_French_Grand_Prix'&gt;1963_French_Grand_Prix&lt;/a&gt;</v>
      </c>
    </row>
    <row r="117" spans="1:6">
      <c r="A117" s="1">
        <v>1963</v>
      </c>
      <c r="B117" s="1">
        <v>5</v>
      </c>
      <c r="C117" s="1" t="s">
        <v>851</v>
      </c>
      <c r="D117" s="81">
        <v>23212</v>
      </c>
      <c r="E117" s="81" t="s">
        <v>1052</v>
      </c>
      <c r="F117" s="1" t="str">
        <f t="shared" si="1"/>
        <v>&lt;a href='http://en.wikipedia.org/wiki/1963_British_Grand_Prix'&gt;1963_British_Grand_Prix&lt;/a&gt;</v>
      </c>
    </row>
    <row r="118" spans="1:6">
      <c r="A118" s="1">
        <v>1963</v>
      </c>
      <c r="B118" s="1">
        <v>6</v>
      </c>
      <c r="C118" s="1" t="s">
        <v>894</v>
      </c>
      <c r="D118" s="81">
        <v>23227</v>
      </c>
      <c r="E118" s="81" t="s">
        <v>1053</v>
      </c>
      <c r="F118" s="1" t="str">
        <f t="shared" si="1"/>
        <v>&lt;a href='http://en.wikipedia.org/wiki/1963_German_Grand_Prix'&gt;1963_German_Grand_Prix&lt;/a&gt;</v>
      </c>
    </row>
    <row r="119" spans="1:6">
      <c r="A119" s="1">
        <v>1963</v>
      </c>
      <c r="B119" s="1">
        <v>7</v>
      </c>
      <c r="C119" s="1" t="s">
        <v>883</v>
      </c>
      <c r="D119" s="81">
        <v>23262</v>
      </c>
      <c r="E119" s="81" t="s">
        <v>1054</v>
      </c>
      <c r="F119" s="1" t="str">
        <f t="shared" si="1"/>
        <v>&lt;a href='http://en.wikipedia.org/wiki/1963_Italian_Grand_Prix'&gt;1963_Italian_Grand_Prix&lt;/a&gt;</v>
      </c>
    </row>
    <row r="120" spans="1:6">
      <c r="A120" s="1">
        <v>1963</v>
      </c>
      <c r="B120" s="1">
        <v>8</v>
      </c>
      <c r="C120" s="1" t="s">
        <v>1031</v>
      </c>
      <c r="D120" s="81">
        <v>23290</v>
      </c>
      <c r="E120" s="81" t="s">
        <v>1055</v>
      </c>
      <c r="F120" s="1" t="str">
        <f t="shared" si="1"/>
        <v>&lt;a href='http://en.wikipedia.org/wiki/1963_United_States_Grand_Prix'&gt;1963_United_States_Grand_Prix&lt;/a&gt;</v>
      </c>
    </row>
    <row r="121" spans="1:6">
      <c r="A121" s="1">
        <v>1963</v>
      </c>
      <c r="B121" s="1">
        <v>9</v>
      </c>
      <c r="C121" s="1" t="s">
        <v>1057</v>
      </c>
      <c r="D121" s="81">
        <v>23311</v>
      </c>
      <c r="E121" s="81" t="s">
        <v>1061</v>
      </c>
      <c r="F121" s="1" t="str">
        <f t="shared" si="1"/>
        <v>&lt;a href='http://en.wikipedia.org/wiki/1963_Mexican_Grand_Prix'&gt;1963_Mexican_Grand_Prix&lt;/a&gt;</v>
      </c>
    </row>
    <row r="122" spans="1:6">
      <c r="A122" s="1">
        <v>1963</v>
      </c>
      <c r="B122" s="1">
        <v>10</v>
      </c>
      <c r="C122" s="1" t="s">
        <v>1043</v>
      </c>
      <c r="D122" s="81">
        <v>23373</v>
      </c>
      <c r="E122" s="81" t="s">
        <v>1062</v>
      </c>
      <c r="F122" s="1" t="str">
        <f t="shared" si="1"/>
        <v>&lt;a href='http://en.wikipedia.org/wiki/1963_South_African_Grand_Prix'&gt;1963_South_African_Grand_Prix&lt;/a&gt;</v>
      </c>
    </row>
    <row r="123" spans="1:6">
      <c r="A123" s="1">
        <v>1964</v>
      </c>
      <c r="B123" s="1">
        <v>1</v>
      </c>
      <c r="C123" s="1" t="s">
        <v>857</v>
      </c>
      <c r="D123" s="81">
        <v>23507</v>
      </c>
      <c r="E123" s="81" t="s">
        <v>1063</v>
      </c>
      <c r="F123" s="1" t="str">
        <f t="shared" si="1"/>
        <v>&lt;a href='http://en.wikipedia.org/wiki/1964_Monaco_Grand_Prix'&gt;1964_Monaco_Grand_Prix&lt;/a&gt;</v>
      </c>
    </row>
    <row r="124" spans="1:6">
      <c r="A124" s="1">
        <v>1964</v>
      </c>
      <c r="B124" s="1">
        <v>2</v>
      </c>
      <c r="C124" s="1" t="s">
        <v>915</v>
      </c>
      <c r="D124" s="81">
        <v>23521</v>
      </c>
      <c r="E124" s="81" t="s">
        <v>1064</v>
      </c>
      <c r="F124" s="1" t="str">
        <f t="shared" si="1"/>
        <v>&lt;a href='http://en.wikipedia.org/wiki/1964_Dutch_Grand_Prix'&gt;1964_Dutch_Grand_Prix&lt;/a&gt;</v>
      </c>
    </row>
    <row r="125" spans="1:6">
      <c r="A125" s="1">
        <v>1964</v>
      </c>
      <c r="B125" s="1">
        <v>3</v>
      </c>
      <c r="C125" s="1" t="s">
        <v>873</v>
      </c>
      <c r="D125" s="81">
        <v>23542</v>
      </c>
      <c r="E125" s="81" t="s">
        <v>1065</v>
      </c>
      <c r="F125" s="1" t="str">
        <f t="shared" si="1"/>
        <v>&lt;a href='http://en.wikipedia.org/wiki/1964_Belgian_Grand_Prix'&gt;1964_Belgian_Grand_Prix&lt;/a&gt;</v>
      </c>
    </row>
    <row r="126" spans="1:6">
      <c r="A126" s="1">
        <v>1964</v>
      </c>
      <c r="B126" s="1">
        <v>4</v>
      </c>
      <c r="C126" s="1" t="s">
        <v>908</v>
      </c>
      <c r="D126" s="81">
        <v>23556</v>
      </c>
      <c r="E126" s="81" t="s">
        <v>1066</v>
      </c>
      <c r="F126" s="1" t="str">
        <f t="shared" si="1"/>
        <v>&lt;a href='http://en.wikipedia.org/wiki/1964_French_Grand_Prix'&gt;1964_French_Grand_Prix&lt;/a&gt;</v>
      </c>
    </row>
    <row r="127" spans="1:6">
      <c r="A127" s="1">
        <v>1964</v>
      </c>
      <c r="B127" s="1">
        <v>5</v>
      </c>
      <c r="C127" s="1" t="s">
        <v>1067</v>
      </c>
      <c r="D127" s="81">
        <v>23569</v>
      </c>
      <c r="E127" s="81" t="s">
        <v>1070</v>
      </c>
      <c r="F127" s="1" t="str">
        <f t="shared" si="1"/>
        <v>&lt;a href='http://en.wikipedia.org/wiki/1964_British_Grand_Prix'&gt;1964_British_Grand_Prix&lt;/a&gt;</v>
      </c>
    </row>
    <row r="128" spans="1:6">
      <c r="A128" s="1">
        <v>1964</v>
      </c>
      <c r="B128" s="1">
        <v>6</v>
      </c>
      <c r="C128" s="1" t="s">
        <v>894</v>
      </c>
      <c r="D128" s="81">
        <v>23591</v>
      </c>
      <c r="E128" s="81" t="s">
        <v>1071</v>
      </c>
      <c r="F128" s="1" t="str">
        <f t="shared" si="1"/>
        <v>&lt;a href='http://en.wikipedia.org/wiki/1964_German_Grand_Prix'&gt;1964_German_Grand_Prix&lt;/a&gt;</v>
      </c>
    </row>
    <row r="129" spans="1:6">
      <c r="A129" s="1">
        <v>1964</v>
      </c>
      <c r="B129" s="1">
        <v>7</v>
      </c>
      <c r="C129" s="1" t="s">
        <v>1073</v>
      </c>
      <c r="D129" s="81">
        <v>23612</v>
      </c>
      <c r="E129" s="81" t="s">
        <v>1077</v>
      </c>
      <c r="F129" s="1" t="str">
        <f t="shared" si="1"/>
        <v>&lt;a href='http://en.wikipedia.org/wiki/1964_Austrian_Grand_Prix'&gt;1964_Austrian_Grand_Prix&lt;/a&gt;</v>
      </c>
    </row>
    <row r="130" spans="1:6">
      <c r="A130" s="1">
        <v>1964</v>
      </c>
      <c r="B130" s="1">
        <v>8</v>
      </c>
      <c r="C130" s="1" t="s">
        <v>883</v>
      </c>
      <c r="D130" s="81">
        <v>23626</v>
      </c>
      <c r="E130" s="81" t="s">
        <v>1078</v>
      </c>
      <c r="F130" s="1" t="str">
        <f t="shared" si="1"/>
        <v>&lt;a href='http://en.wikipedia.org/wiki/1964_Italian_Grand_Prix'&gt;1964_Italian_Grand_Prix&lt;/a&gt;</v>
      </c>
    </row>
    <row r="131" spans="1:6">
      <c r="A131" s="1">
        <v>1964</v>
      </c>
      <c r="B131" s="1">
        <v>9</v>
      </c>
      <c r="C131" s="1" t="s">
        <v>1031</v>
      </c>
      <c r="D131" s="81">
        <v>23654</v>
      </c>
      <c r="E131" s="81" t="s">
        <v>1079</v>
      </c>
      <c r="F131" s="1" t="str">
        <f t="shared" ref="F131:F194" si="2">"&lt;a href='"&amp;E131&amp;"'&gt;"&amp;MID(E131,30,LEN(E131)-29)&amp;"&lt;/a&gt;"</f>
        <v>&lt;a href='http://en.wikipedia.org/wiki/1964_United_States_Grand_Prix'&gt;1964_United_States_Grand_Prix&lt;/a&gt;</v>
      </c>
    </row>
    <row r="132" spans="1:6">
      <c r="A132" s="1">
        <v>1964</v>
      </c>
      <c r="B132" s="1">
        <v>10</v>
      </c>
      <c r="C132" s="1" t="s">
        <v>1057</v>
      </c>
      <c r="D132" s="81">
        <v>23675</v>
      </c>
      <c r="E132" s="81" t="s">
        <v>1080</v>
      </c>
      <c r="F132" s="1" t="str">
        <f t="shared" si="2"/>
        <v>&lt;a href='http://en.wikipedia.org/wiki/1964_Mexican_Grand_Prix'&gt;1964_Mexican_Grand_Prix&lt;/a&gt;</v>
      </c>
    </row>
    <row r="133" spans="1:6">
      <c r="A133" s="1">
        <v>1965</v>
      </c>
      <c r="B133" s="1">
        <v>1</v>
      </c>
      <c r="C133" s="1" t="s">
        <v>1043</v>
      </c>
      <c r="D133" s="81">
        <v>23743</v>
      </c>
      <c r="E133" s="81" t="s">
        <v>1081</v>
      </c>
      <c r="F133" s="1" t="str">
        <f t="shared" si="2"/>
        <v>&lt;a href='http://en.wikipedia.org/wiki/1965_South_African_Grand_Prix'&gt;1965_South_African_Grand_Prix&lt;/a&gt;</v>
      </c>
    </row>
    <row r="134" spans="1:6">
      <c r="A134" s="1">
        <v>1965</v>
      </c>
      <c r="B134" s="1">
        <v>2</v>
      </c>
      <c r="C134" s="1" t="s">
        <v>857</v>
      </c>
      <c r="D134" s="81">
        <v>23892</v>
      </c>
      <c r="E134" s="81" t="s">
        <v>1082</v>
      </c>
      <c r="F134" s="1" t="str">
        <f t="shared" si="2"/>
        <v>&lt;a href='http://en.wikipedia.org/wiki/1965_Monaco_Grand_Prix'&gt;1965_Monaco_Grand_Prix&lt;/a&gt;</v>
      </c>
    </row>
    <row r="135" spans="1:6">
      <c r="A135" s="1">
        <v>1965</v>
      </c>
      <c r="B135" s="1">
        <v>3</v>
      </c>
      <c r="C135" s="1" t="s">
        <v>873</v>
      </c>
      <c r="D135" s="81">
        <v>23906</v>
      </c>
      <c r="E135" s="81" t="s">
        <v>1083</v>
      </c>
      <c r="F135" s="1" t="str">
        <f t="shared" si="2"/>
        <v>&lt;a href='http://en.wikipedia.org/wiki/1965_Belgian_Grand_Prix'&gt;1965_Belgian_Grand_Prix&lt;/a&gt;</v>
      </c>
    </row>
    <row r="136" spans="1:6">
      <c r="A136" s="1">
        <v>1965</v>
      </c>
      <c r="B136" s="1">
        <v>4</v>
      </c>
      <c r="C136" s="1" t="s">
        <v>1084</v>
      </c>
      <c r="D136" s="81">
        <v>23920</v>
      </c>
      <c r="E136" s="81" t="s">
        <v>1087</v>
      </c>
      <c r="F136" s="1" t="str">
        <f t="shared" si="2"/>
        <v>&lt;a href='http://en.wikipedia.org/wiki/1965_French_Grand_Prix'&gt;1965_French_Grand_Prix&lt;/a&gt;</v>
      </c>
    </row>
    <row r="137" spans="1:6">
      <c r="A137" s="1">
        <v>1965</v>
      </c>
      <c r="B137" s="1">
        <v>5</v>
      </c>
      <c r="C137" s="1" t="s">
        <v>851</v>
      </c>
      <c r="D137" s="81">
        <v>23933</v>
      </c>
      <c r="E137" s="81" t="s">
        <v>1088</v>
      </c>
      <c r="F137" s="1" t="str">
        <f t="shared" si="2"/>
        <v>&lt;a href='http://en.wikipedia.org/wiki/1965_British_Grand_Prix'&gt;1965_British_Grand_Prix&lt;/a&gt;</v>
      </c>
    </row>
    <row r="138" spans="1:6">
      <c r="A138" s="1">
        <v>1965</v>
      </c>
      <c r="B138" s="1">
        <v>6</v>
      </c>
      <c r="C138" s="1" t="s">
        <v>915</v>
      </c>
      <c r="D138" s="81">
        <v>23941</v>
      </c>
      <c r="E138" s="81" t="s">
        <v>1089</v>
      </c>
      <c r="F138" s="1" t="str">
        <f t="shared" si="2"/>
        <v>&lt;a href='http://en.wikipedia.org/wiki/1965_Dutch_Grand_Prix'&gt;1965_Dutch_Grand_Prix&lt;/a&gt;</v>
      </c>
    </row>
    <row r="139" spans="1:6">
      <c r="A139" s="1">
        <v>1965</v>
      </c>
      <c r="B139" s="1">
        <v>7</v>
      </c>
      <c r="C139" s="1" t="s">
        <v>894</v>
      </c>
      <c r="D139" s="81">
        <v>23955</v>
      </c>
      <c r="E139" s="81" t="s">
        <v>1090</v>
      </c>
      <c r="F139" s="1" t="str">
        <f t="shared" si="2"/>
        <v>&lt;a href='http://en.wikipedia.org/wiki/1965_German_Grand_Prix'&gt;1965_German_Grand_Prix&lt;/a&gt;</v>
      </c>
    </row>
    <row r="140" spans="1:6">
      <c r="A140" s="1">
        <v>1965</v>
      </c>
      <c r="B140" s="1">
        <v>8</v>
      </c>
      <c r="C140" s="1" t="s">
        <v>883</v>
      </c>
      <c r="D140" s="81">
        <v>23997</v>
      </c>
      <c r="E140" s="81" t="s">
        <v>1091</v>
      </c>
      <c r="F140" s="1" t="str">
        <f t="shared" si="2"/>
        <v>&lt;a href='http://en.wikipedia.org/wiki/1965_Italian_Grand_Prix'&gt;1965_Italian_Grand_Prix&lt;/a&gt;</v>
      </c>
    </row>
    <row r="141" spans="1:6">
      <c r="A141" s="1">
        <v>1965</v>
      </c>
      <c r="B141" s="1">
        <v>9</v>
      </c>
      <c r="C141" s="1" t="s">
        <v>1031</v>
      </c>
      <c r="D141" s="81">
        <v>24018</v>
      </c>
      <c r="E141" s="81" t="s">
        <v>1092</v>
      </c>
      <c r="F141" s="1" t="str">
        <f t="shared" si="2"/>
        <v>&lt;a href='http://en.wikipedia.org/wiki/1965_United_States_Grand_Prix'&gt;1965_United_States_Grand_Prix&lt;/a&gt;</v>
      </c>
    </row>
    <row r="142" spans="1:6">
      <c r="A142" s="1">
        <v>1965</v>
      </c>
      <c r="B142" s="1">
        <v>10</v>
      </c>
      <c r="C142" s="1" t="s">
        <v>1057</v>
      </c>
      <c r="D142" s="81">
        <v>24039</v>
      </c>
      <c r="E142" s="81" t="s">
        <v>1093</v>
      </c>
      <c r="F142" s="1" t="str">
        <f t="shared" si="2"/>
        <v>&lt;a href='http://en.wikipedia.org/wiki/1965_Mexican_Grand_Prix'&gt;1965_Mexican_Grand_Prix&lt;/a&gt;</v>
      </c>
    </row>
    <row r="143" spans="1:6">
      <c r="A143" s="1">
        <v>1966</v>
      </c>
      <c r="B143" s="1">
        <v>1</v>
      </c>
      <c r="C143" s="1" t="s">
        <v>857</v>
      </c>
      <c r="D143" s="81">
        <v>24249</v>
      </c>
      <c r="E143" s="81" t="s">
        <v>1094</v>
      </c>
      <c r="F143" s="1" t="str">
        <f t="shared" si="2"/>
        <v>&lt;a href='http://en.wikipedia.org/wiki/1966_Monaco_Grand_Prix'&gt;1966_Monaco_Grand_Prix&lt;/a&gt;</v>
      </c>
    </row>
    <row r="144" spans="1:6">
      <c r="A144" s="1">
        <v>1966</v>
      </c>
      <c r="B144" s="1">
        <v>2</v>
      </c>
      <c r="C144" s="1" t="s">
        <v>873</v>
      </c>
      <c r="D144" s="81">
        <v>24270</v>
      </c>
      <c r="E144" s="81" t="s">
        <v>1095</v>
      </c>
      <c r="F144" s="1" t="str">
        <f t="shared" si="2"/>
        <v>&lt;a href='http://en.wikipedia.org/wiki/1966_Belgian_Grand_Prix'&gt;1966_Belgian_Grand_Prix&lt;/a&gt;</v>
      </c>
    </row>
    <row r="145" spans="1:6">
      <c r="A145" s="1">
        <v>1966</v>
      </c>
      <c r="B145" s="1">
        <v>3</v>
      </c>
      <c r="C145" s="1" t="s">
        <v>878</v>
      </c>
      <c r="D145" s="81">
        <v>24291</v>
      </c>
      <c r="E145" s="81" t="s">
        <v>1096</v>
      </c>
      <c r="F145" s="1" t="str">
        <f t="shared" si="2"/>
        <v>&lt;a href='http://en.wikipedia.org/wiki/1966_French_Grand_Prix'&gt;1966_French_Grand_Prix&lt;/a&gt;</v>
      </c>
    </row>
    <row r="146" spans="1:6">
      <c r="A146" s="1">
        <v>1966</v>
      </c>
      <c r="B146" s="1">
        <v>4</v>
      </c>
      <c r="C146" s="1" t="s">
        <v>1067</v>
      </c>
      <c r="D146" s="81">
        <v>24304</v>
      </c>
      <c r="E146" s="81" t="s">
        <v>1097</v>
      </c>
      <c r="F146" s="1" t="str">
        <f t="shared" si="2"/>
        <v>&lt;a href='http://en.wikipedia.org/wiki/1966_British_Grand_Prix'&gt;1966_British_Grand_Prix&lt;/a&gt;</v>
      </c>
    </row>
    <row r="147" spans="1:6">
      <c r="A147" s="1">
        <v>1966</v>
      </c>
      <c r="B147" s="1">
        <v>5</v>
      </c>
      <c r="C147" s="1" t="s">
        <v>915</v>
      </c>
      <c r="D147" s="81">
        <v>24312</v>
      </c>
      <c r="E147" s="81" t="s">
        <v>1098</v>
      </c>
      <c r="F147" s="1" t="str">
        <f t="shared" si="2"/>
        <v>&lt;a href='http://en.wikipedia.org/wiki/1966_Dutch_Grand_Prix'&gt;1966_Dutch_Grand_Prix&lt;/a&gt;</v>
      </c>
    </row>
    <row r="148" spans="1:6">
      <c r="A148" s="1">
        <v>1966</v>
      </c>
      <c r="B148" s="1">
        <v>6</v>
      </c>
      <c r="C148" s="1" t="s">
        <v>894</v>
      </c>
      <c r="D148" s="81">
        <v>24326</v>
      </c>
      <c r="E148" s="81" t="s">
        <v>1099</v>
      </c>
      <c r="F148" s="1" t="str">
        <f t="shared" si="2"/>
        <v>&lt;a href='http://en.wikipedia.org/wiki/1966_German_Grand_Prix'&gt;1966_German_Grand_Prix&lt;/a&gt;</v>
      </c>
    </row>
    <row r="149" spans="1:6">
      <c r="A149" s="1">
        <v>1966</v>
      </c>
      <c r="B149" s="1">
        <v>7</v>
      </c>
      <c r="C149" s="1" t="s">
        <v>883</v>
      </c>
      <c r="D149" s="81">
        <v>24354</v>
      </c>
      <c r="E149" s="81" t="s">
        <v>1100</v>
      </c>
      <c r="F149" s="1" t="str">
        <f t="shared" si="2"/>
        <v>&lt;a href='http://en.wikipedia.org/wiki/1966_Italian_Grand_Prix'&gt;1966_Italian_Grand_Prix&lt;/a&gt;</v>
      </c>
    </row>
    <row r="150" spans="1:6">
      <c r="A150" s="1">
        <v>1966</v>
      </c>
      <c r="B150" s="1">
        <v>8</v>
      </c>
      <c r="C150" s="1" t="s">
        <v>1031</v>
      </c>
      <c r="D150" s="81">
        <v>24382</v>
      </c>
      <c r="E150" s="81" t="s">
        <v>1101</v>
      </c>
      <c r="F150" s="1" t="str">
        <f t="shared" si="2"/>
        <v>&lt;a href='http://en.wikipedia.org/wiki/1966_United_States_Grand_Prix'&gt;1966_United_States_Grand_Prix&lt;/a&gt;</v>
      </c>
    </row>
    <row r="151" spans="1:6">
      <c r="A151" s="1">
        <v>1966</v>
      </c>
      <c r="B151" s="1">
        <v>9</v>
      </c>
      <c r="C151" s="1" t="s">
        <v>1057</v>
      </c>
      <c r="D151" s="81">
        <v>24403</v>
      </c>
      <c r="E151" s="81" t="s">
        <v>1102</v>
      </c>
      <c r="F151" s="1" t="str">
        <f t="shared" si="2"/>
        <v>&lt;a href='http://en.wikipedia.org/wiki/1966_Mexican_Grand_Prix'&gt;1966_Mexican_Grand_Prix&lt;/a&gt;</v>
      </c>
    </row>
    <row r="152" spans="1:6">
      <c r="A152" s="1">
        <v>1967</v>
      </c>
      <c r="B152" s="1">
        <v>1</v>
      </c>
      <c r="C152" s="1" t="s">
        <v>1103</v>
      </c>
      <c r="D152" s="81">
        <v>24474</v>
      </c>
      <c r="E152" s="81" t="s">
        <v>1106</v>
      </c>
      <c r="F152" s="1" t="str">
        <f t="shared" si="2"/>
        <v>&lt;a href='http://en.wikipedia.org/wiki/1967_South_African_Grand_Prix'&gt;1967_South_African_Grand_Prix&lt;/a&gt;</v>
      </c>
    </row>
    <row r="153" spans="1:6">
      <c r="A153" s="1">
        <v>1967</v>
      </c>
      <c r="B153" s="1">
        <v>2</v>
      </c>
      <c r="C153" s="1" t="s">
        <v>857</v>
      </c>
      <c r="D153" s="81">
        <v>24599</v>
      </c>
      <c r="E153" s="81" t="s">
        <v>1107</v>
      </c>
      <c r="F153" s="1" t="str">
        <f t="shared" si="2"/>
        <v>&lt;a href='http://en.wikipedia.org/wiki/1967_Monaco_Grand_Prix'&gt;1967_Monaco_Grand_Prix&lt;/a&gt;</v>
      </c>
    </row>
    <row r="154" spans="1:6">
      <c r="A154" s="1">
        <v>1967</v>
      </c>
      <c r="B154" s="1">
        <v>3</v>
      </c>
      <c r="C154" s="1" t="s">
        <v>915</v>
      </c>
      <c r="D154" s="81">
        <v>24627</v>
      </c>
      <c r="E154" s="81" t="s">
        <v>1108</v>
      </c>
      <c r="F154" s="1" t="str">
        <f t="shared" si="2"/>
        <v>&lt;a href='http://en.wikipedia.org/wiki/1967_Dutch_Grand_Prix'&gt;1967_Dutch_Grand_Prix&lt;/a&gt;</v>
      </c>
    </row>
    <row r="155" spans="1:6">
      <c r="A155" s="1">
        <v>1967</v>
      </c>
      <c r="B155" s="1">
        <v>4</v>
      </c>
      <c r="C155" s="1" t="s">
        <v>873</v>
      </c>
      <c r="D155" s="81">
        <v>24641</v>
      </c>
      <c r="E155" s="81" t="s">
        <v>1109</v>
      </c>
      <c r="F155" s="1" t="str">
        <f t="shared" si="2"/>
        <v>&lt;a href='http://en.wikipedia.org/wiki/1967_Belgian_Grand_Prix'&gt;1967_Belgian_Grand_Prix&lt;/a&gt;</v>
      </c>
    </row>
    <row r="156" spans="1:6">
      <c r="A156" s="1">
        <v>1967</v>
      </c>
      <c r="B156" s="1">
        <v>5</v>
      </c>
      <c r="C156" s="1" t="s">
        <v>1110</v>
      </c>
      <c r="D156" s="81">
        <v>24655</v>
      </c>
      <c r="E156" s="81" t="s">
        <v>1112</v>
      </c>
      <c r="F156" s="1" t="str">
        <f t="shared" si="2"/>
        <v>&lt;a href='http://en.wikipedia.org/wiki/1967_French_Grand_Prix'&gt;1967_French_Grand_Prix&lt;/a&gt;</v>
      </c>
    </row>
    <row r="157" spans="1:6">
      <c r="A157" s="1">
        <v>1967</v>
      </c>
      <c r="B157" s="1">
        <v>6</v>
      </c>
      <c r="C157" s="1" t="s">
        <v>851</v>
      </c>
      <c r="D157" s="81">
        <v>24668</v>
      </c>
      <c r="E157" s="81" t="s">
        <v>1113</v>
      </c>
      <c r="F157" s="1" t="str">
        <f t="shared" si="2"/>
        <v>&lt;a href='http://en.wikipedia.org/wiki/1967_British_Grand_Prix'&gt;1967_British_Grand_Prix&lt;/a&gt;</v>
      </c>
    </row>
    <row r="158" spans="1:6">
      <c r="A158" s="1">
        <v>1967</v>
      </c>
      <c r="B158" s="1">
        <v>7</v>
      </c>
      <c r="C158" s="1" t="s">
        <v>894</v>
      </c>
      <c r="D158" s="81">
        <v>24690</v>
      </c>
      <c r="E158" s="81" t="s">
        <v>1114</v>
      </c>
      <c r="F158" s="1" t="str">
        <f t="shared" si="2"/>
        <v>&lt;a href='http://en.wikipedia.org/wiki/1967_German_Grand_Prix'&gt;1967_German_Grand_Prix&lt;/a&gt;</v>
      </c>
    </row>
    <row r="159" spans="1:6">
      <c r="A159" s="1">
        <v>1967</v>
      </c>
      <c r="B159" s="1">
        <v>8</v>
      </c>
      <c r="C159" s="1" t="s">
        <v>1116</v>
      </c>
      <c r="D159" s="81">
        <v>24711</v>
      </c>
      <c r="E159" s="81" t="s">
        <v>1120</v>
      </c>
      <c r="F159" s="1" t="str">
        <f t="shared" si="2"/>
        <v>&lt;a href='http://en.wikipedia.org/wiki/1967_Canadian_Grand_Prix'&gt;1967_Canadian_Grand_Prix&lt;/a&gt;</v>
      </c>
    </row>
    <row r="160" spans="1:6">
      <c r="A160" s="1">
        <v>1967</v>
      </c>
      <c r="B160" s="1">
        <v>9</v>
      </c>
      <c r="C160" s="1" t="s">
        <v>883</v>
      </c>
      <c r="D160" s="81">
        <v>24725</v>
      </c>
      <c r="E160" s="81" t="s">
        <v>1121</v>
      </c>
      <c r="F160" s="1" t="str">
        <f t="shared" si="2"/>
        <v>&lt;a href='http://en.wikipedia.org/wiki/1967_Italian_Grand_Prix'&gt;1967_Italian_Grand_Prix&lt;/a&gt;</v>
      </c>
    </row>
    <row r="161" spans="1:6">
      <c r="A161" s="1">
        <v>1967</v>
      </c>
      <c r="B161" s="1">
        <v>10</v>
      </c>
      <c r="C161" s="1" t="s">
        <v>1031</v>
      </c>
      <c r="D161" s="81">
        <v>24746</v>
      </c>
      <c r="E161" s="81" t="s">
        <v>1122</v>
      </c>
      <c r="F161" s="1" t="str">
        <f t="shared" si="2"/>
        <v>&lt;a href='http://en.wikipedia.org/wiki/1967_United_States_Grand_Prix'&gt;1967_United_States_Grand_Prix&lt;/a&gt;</v>
      </c>
    </row>
    <row r="162" spans="1:6">
      <c r="A162" s="1">
        <v>1967</v>
      </c>
      <c r="B162" s="1">
        <v>11</v>
      </c>
      <c r="C162" s="1" t="s">
        <v>1057</v>
      </c>
      <c r="D162" s="81">
        <v>24767</v>
      </c>
      <c r="E162" s="81" t="s">
        <v>1123</v>
      </c>
      <c r="F162" s="1" t="str">
        <f t="shared" si="2"/>
        <v>&lt;a href='http://en.wikipedia.org/wiki/1967_Mexican_Grand_Prix'&gt;1967_Mexican_Grand_Prix&lt;/a&gt;</v>
      </c>
    </row>
    <row r="163" spans="1:6">
      <c r="A163" s="1">
        <v>1968</v>
      </c>
      <c r="B163" s="1">
        <v>1</v>
      </c>
      <c r="C163" s="1" t="s">
        <v>1103</v>
      </c>
      <c r="D163" s="81">
        <v>24838</v>
      </c>
      <c r="E163" s="81" t="s">
        <v>1124</v>
      </c>
      <c r="F163" s="1" t="str">
        <f t="shared" si="2"/>
        <v>&lt;a href='http://en.wikipedia.org/wiki/1968_South_African_Grand_Prix'&gt;1968_South_African_Grand_Prix&lt;/a&gt;</v>
      </c>
    </row>
    <row r="164" spans="1:6">
      <c r="A164" s="1">
        <v>1968</v>
      </c>
      <c r="B164" s="1">
        <v>2</v>
      </c>
      <c r="C164" s="1" t="s">
        <v>1125</v>
      </c>
      <c r="D164" s="81">
        <v>24970</v>
      </c>
      <c r="E164" s="81" t="s">
        <v>1128</v>
      </c>
      <c r="F164" s="1" t="str">
        <f t="shared" si="2"/>
        <v>&lt;a href='http://en.wikipedia.org/wiki/1968_Spanish_Grand_Prix'&gt;1968_Spanish_Grand_Prix&lt;/a&gt;</v>
      </c>
    </row>
    <row r="165" spans="1:6">
      <c r="A165" s="1">
        <v>1968</v>
      </c>
      <c r="B165" s="1">
        <v>3</v>
      </c>
      <c r="C165" s="1" t="s">
        <v>857</v>
      </c>
      <c r="D165" s="81">
        <v>24984</v>
      </c>
      <c r="E165" s="81" t="s">
        <v>1129</v>
      </c>
      <c r="F165" s="1" t="str">
        <f t="shared" si="2"/>
        <v>&lt;a href='http://en.wikipedia.org/wiki/1968_Monaco_Grand_Prix'&gt;1968_Monaco_Grand_Prix&lt;/a&gt;</v>
      </c>
    </row>
    <row r="166" spans="1:6">
      <c r="A166" s="1">
        <v>1968</v>
      </c>
      <c r="B166" s="1">
        <v>4</v>
      </c>
      <c r="C166" s="1" t="s">
        <v>873</v>
      </c>
      <c r="D166" s="81">
        <v>24998</v>
      </c>
      <c r="E166" s="81" t="s">
        <v>1130</v>
      </c>
      <c r="F166" s="1" t="str">
        <f t="shared" si="2"/>
        <v>&lt;a href='http://en.wikipedia.org/wiki/1968_Belgian_Grand_Prix'&gt;1968_Belgian_Grand_Prix&lt;/a&gt;</v>
      </c>
    </row>
    <row r="167" spans="1:6">
      <c r="A167" s="1">
        <v>1968</v>
      </c>
      <c r="B167" s="1">
        <v>5</v>
      </c>
      <c r="C167" s="1" t="s">
        <v>915</v>
      </c>
      <c r="D167" s="81">
        <v>25012</v>
      </c>
      <c r="E167" s="81" t="s">
        <v>1131</v>
      </c>
      <c r="F167" s="1" t="str">
        <f t="shared" si="2"/>
        <v>&lt;a href='http://en.wikipedia.org/wiki/1968_Dutch_Grand_Prix'&gt;1968_Dutch_Grand_Prix&lt;/a&gt;</v>
      </c>
    </row>
    <row r="168" spans="1:6">
      <c r="A168" s="1">
        <v>1968</v>
      </c>
      <c r="B168" s="1">
        <v>6</v>
      </c>
      <c r="C168" s="1" t="s">
        <v>908</v>
      </c>
      <c r="D168" s="81">
        <v>25026</v>
      </c>
      <c r="E168" s="81" t="s">
        <v>1132</v>
      </c>
      <c r="F168" s="1" t="str">
        <f t="shared" si="2"/>
        <v>&lt;a href='http://en.wikipedia.org/wiki/1968_French_Grand_Prix'&gt;1968_French_Grand_Prix&lt;/a&gt;</v>
      </c>
    </row>
    <row r="169" spans="1:6">
      <c r="A169" s="1">
        <v>1968</v>
      </c>
      <c r="B169" s="1">
        <v>7</v>
      </c>
      <c r="C169" s="1" t="s">
        <v>1067</v>
      </c>
      <c r="D169" s="81">
        <v>25039</v>
      </c>
      <c r="E169" s="81" t="s">
        <v>1133</v>
      </c>
      <c r="F169" s="1" t="str">
        <f t="shared" si="2"/>
        <v>&lt;a href='http://en.wikipedia.org/wiki/1968_British_Grand_Prix'&gt;1968_British_Grand_Prix&lt;/a&gt;</v>
      </c>
    </row>
    <row r="170" spans="1:6">
      <c r="A170" s="1">
        <v>1968</v>
      </c>
      <c r="B170" s="1">
        <v>8</v>
      </c>
      <c r="C170" s="1" t="s">
        <v>894</v>
      </c>
      <c r="D170" s="81">
        <v>25054</v>
      </c>
      <c r="E170" s="81" t="s">
        <v>1134</v>
      </c>
      <c r="F170" s="1" t="str">
        <f t="shared" si="2"/>
        <v>&lt;a href='http://en.wikipedia.org/wiki/1968_German_Grand_Prix'&gt;1968_German_Grand_Prix&lt;/a&gt;</v>
      </c>
    </row>
    <row r="171" spans="1:6">
      <c r="A171" s="1">
        <v>1968</v>
      </c>
      <c r="B171" s="1">
        <v>9</v>
      </c>
      <c r="C171" s="1" t="s">
        <v>883</v>
      </c>
      <c r="D171" s="81">
        <v>25089</v>
      </c>
      <c r="E171" s="81" t="s">
        <v>1135</v>
      </c>
      <c r="F171" s="1" t="str">
        <f t="shared" si="2"/>
        <v>&lt;a href='http://en.wikipedia.org/wiki/1968_Italian_Grand_Prix'&gt;1968_Italian_Grand_Prix&lt;/a&gt;</v>
      </c>
    </row>
    <row r="172" spans="1:6">
      <c r="A172" s="1">
        <v>1968</v>
      </c>
      <c r="B172" s="1">
        <v>10</v>
      </c>
      <c r="C172" s="1" t="s">
        <v>1136</v>
      </c>
      <c r="D172" s="81">
        <v>25103</v>
      </c>
      <c r="E172" s="81" t="s">
        <v>1139</v>
      </c>
      <c r="F172" s="1" t="str">
        <f t="shared" si="2"/>
        <v>&lt;a href='http://en.wikipedia.org/wiki/1968_Canadian_Grand_Prix'&gt;1968_Canadian_Grand_Prix&lt;/a&gt;</v>
      </c>
    </row>
    <row r="173" spans="1:6">
      <c r="A173" s="1">
        <v>1968</v>
      </c>
      <c r="B173" s="1">
        <v>11</v>
      </c>
      <c r="C173" s="1" t="s">
        <v>1031</v>
      </c>
      <c r="D173" s="81">
        <v>25117</v>
      </c>
      <c r="E173" s="81" t="s">
        <v>1140</v>
      </c>
      <c r="F173" s="1" t="str">
        <f t="shared" si="2"/>
        <v>&lt;a href='http://en.wikipedia.org/wiki/1968_United_States_Grand_Prix'&gt;1968_United_States_Grand_Prix&lt;/a&gt;</v>
      </c>
    </row>
    <row r="174" spans="1:6">
      <c r="A174" s="1">
        <v>1968</v>
      </c>
      <c r="B174" s="1">
        <v>12</v>
      </c>
      <c r="C174" s="1" t="s">
        <v>1057</v>
      </c>
      <c r="D174" s="81">
        <v>25145</v>
      </c>
      <c r="E174" s="81" t="s">
        <v>1141</v>
      </c>
      <c r="F174" s="1" t="str">
        <f t="shared" si="2"/>
        <v>&lt;a href='http://en.wikipedia.org/wiki/1968_Mexican_Grand_Prix'&gt;1968_Mexican_Grand_Prix&lt;/a&gt;</v>
      </c>
    </row>
    <row r="175" spans="1:6">
      <c r="A175" s="1">
        <v>1969</v>
      </c>
      <c r="B175" s="1">
        <v>1</v>
      </c>
      <c r="C175" s="1" t="s">
        <v>1103</v>
      </c>
      <c r="D175" s="81">
        <v>25263</v>
      </c>
      <c r="E175" s="81" t="s">
        <v>1142</v>
      </c>
      <c r="F175" s="1" t="str">
        <f t="shared" si="2"/>
        <v>&lt;a href='http://en.wikipedia.org/wiki/1969_South_African_Grand_Prix'&gt;1969_South_African_Grand_Prix&lt;/a&gt;</v>
      </c>
    </row>
    <row r="176" spans="1:6">
      <c r="A176" s="1">
        <v>1969</v>
      </c>
      <c r="B176" s="1">
        <v>2</v>
      </c>
      <c r="C176" s="1" t="s">
        <v>1143</v>
      </c>
      <c r="D176" s="81">
        <v>25327</v>
      </c>
      <c r="E176" s="81" t="s">
        <v>1145</v>
      </c>
      <c r="F176" s="1" t="str">
        <f t="shared" si="2"/>
        <v>&lt;a href='http://en.wikipedia.org/wiki/1969_Spanish_Grand_Prix'&gt;1969_Spanish_Grand_Prix&lt;/a&gt;</v>
      </c>
    </row>
    <row r="177" spans="1:6">
      <c r="A177" s="1">
        <v>1969</v>
      </c>
      <c r="B177" s="1">
        <v>3</v>
      </c>
      <c r="C177" s="1" t="s">
        <v>857</v>
      </c>
      <c r="D177" s="81">
        <v>25341</v>
      </c>
      <c r="E177" s="81" t="s">
        <v>1146</v>
      </c>
      <c r="F177" s="1" t="str">
        <f t="shared" si="2"/>
        <v>&lt;a href='http://en.wikipedia.org/wiki/1969_Monaco_Grand_Prix'&gt;1969_Monaco_Grand_Prix&lt;/a&gt;</v>
      </c>
    </row>
    <row r="178" spans="1:6">
      <c r="A178" s="1">
        <v>1969</v>
      </c>
      <c r="B178" s="1">
        <v>4</v>
      </c>
      <c r="C178" s="1" t="s">
        <v>915</v>
      </c>
      <c r="D178" s="81">
        <v>25375</v>
      </c>
      <c r="E178" s="81" t="s">
        <v>1147</v>
      </c>
      <c r="F178" s="1" t="str">
        <f t="shared" si="2"/>
        <v>&lt;a href='http://en.wikipedia.org/wiki/1969_Dutch_Grand_Prix'&gt;1969_Dutch_Grand_Prix&lt;/a&gt;</v>
      </c>
    </row>
    <row r="179" spans="1:6">
      <c r="A179" s="1">
        <v>1969</v>
      </c>
      <c r="B179" s="1">
        <v>5</v>
      </c>
      <c r="C179" s="1" t="s">
        <v>1084</v>
      </c>
      <c r="D179" s="81">
        <v>25390</v>
      </c>
      <c r="E179" s="81" t="s">
        <v>1148</v>
      </c>
      <c r="F179" s="1" t="str">
        <f t="shared" si="2"/>
        <v>&lt;a href='http://en.wikipedia.org/wiki/1969_French_Grand_Prix'&gt;1969_French_Grand_Prix&lt;/a&gt;</v>
      </c>
    </row>
    <row r="180" spans="1:6">
      <c r="A180" s="1">
        <v>1969</v>
      </c>
      <c r="B180" s="1">
        <v>6</v>
      </c>
      <c r="C180" s="1" t="s">
        <v>851</v>
      </c>
      <c r="D180" s="81">
        <v>25403</v>
      </c>
      <c r="E180" s="81" t="s">
        <v>1149</v>
      </c>
      <c r="F180" s="1" t="str">
        <f t="shared" si="2"/>
        <v>&lt;a href='http://en.wikipedia.org/wiki/1969_British_Grand_Prix'&gt;1969_British_Grand_Prix&lt;/a&gt;</v>
      </c>
    </row>
    <row r="181" spans="1:6">
      <c r="A181" s="1">
        <v>1969</v>
      </c>
      <c r="B181" s="1">
        <v>7</v>
      </c>
      <c r="C181" s="1" t="s">
        <v>894</v>
      </c>
      <c r="D181" s="81">
        <v>25418</v>
      </c>
      <c r="E181" s="81" t="s">
        <v>1150</v>
      </c>
      <c r="F181" s="1" t="str">
        <f t="shared" si="2"/>
        <v>&lt;a href='http://en.wikipedia.org/wiki/1969_German_Grand_Prix'&gt;1969_German_Grand_Prix&lt;/a&gt;</v>
      </c>
    </row>
    <row r="182" spans="1:6">
      <c r="A182" s="1">
        <v>1969</v>
      </c>
      <c r="B182" s="1">
        <v>8</v>
      </c>
      <c r="C182" s="1" t="s">
        <v>883</v>
      </c>
      <c r="D182" s="81">
        <v>25453</v>
      </c>
      <c r="E182" s="81" t="s">
        <v>1151</v>
      </c>
      <c r="F182" s="1" t="str">
        <f t="shared" si="2"/>
        <v>&lt;a href='http://en.wikipedia.org/wiki/1969_Italian_Grand_Prix'&gt;1969_Italian_Grand_Prix&lt;/a&gt;</v>
      </c>
    </row>
    <row r="183" spans="1:6">
      <c r="A183" s="1">
        <v>1969</v>
      </c>
      <c r="B183" s="1">
        <v>9</v>
      </c>
      <c r="C183" s="1" t="s">
        <v>1116</v>
      </c>
      <c r="D183" s="81">
        <v>25466</v>
      </c>
      <c r="E183" s="81" t="s">
        <v>1152</v>
      </c>
      <c r="F183" s="1" t="str">
        <f t="shared" si="2"/>
        <v>&lt;a href='http://en.wikipedia.org/wiki/1969_Canadian_Grand_Prix'&gt;1969_Canadian_Grand_Prix&lt;/a&gt;</v>
      </c>
    </row>
    <row r="184" spans="1:6">
      <c r="A184" s="1">
        <v>1969</v>
      </c>
      <c r="B184" s="1">
        <v>10</v>
      </c>
      <c r="C184" s="1" t="s">
        <v>1031</v>
      </c>
      <c r="D184" s="81">
        <v>25481</v>
      </c>
      <c r="E184" s="81" t="s">
        <v>1153</v>
      </c>
      <c r="F184" s="1" t="str">
        <f t="shared" si="2"/>
        <v>&lt;a href='http://en.wikipedia.org/wiki/1969_United_States_Grand_Prix'&gt;1969_United_States_Grand_Prix&lt;/a&gt;</v>
      </c>
    </row>
    <row r="185" spans="1:6">
      <c r="A185" s="1">
        <v>1969</v>
      </c>
      <c r="B185" s="1">
        <v>11</v>
      </c>
      <c r="C185" s="1" t="s">
        <v>1057</v>
      </c>
      <c r="D185" s="81">
        <v>25495</v>
      </c>
      <c r="E185" s="81" t="s">
        <v>1154</v>
      </c>
      <c r="F185" s="1" t="str">
        <f t="shared" si="2"/>
        <v>&lt;a href='http://en.wikipedia.org/wiki/1969_Mexican_Grand_Prix'&gt;1969_Mexican_Grand_Prix&lt;/a&gt;</v>
      </c>
    </row>
    <row r="186" spans="1:6">
      <c r="A186" s="1">
        <v>1970</v>
      </c>
      <c r="B186" s="1">
        <v>1</v>
      </c>
      <c r="C186" s="1" t="s">
        <v>1103</v>
      </c>
      <c r="D186" s="81">
        <v>25634</v>
      </c>
      <c r="E186" s="81" t="s">
        <v>1155</v>
      </c>
      <c r="F186" s="1" t="str">
        <f t="shared" si="2"/>
        <v>&lt;a href='http://en.wikipedia.org/wiki/1970_South_African_Grand_Prix'&gt;1970_South_African_Grand_Prix&lt;/a&gt;</v>
      </c>
    </row>
    <row r="187" spans="1:6">
      <c r="A187" s="1">
        <v>1970</v>
      </c>
      <c r="B187" s="1">
        <v>2</v>
      </c>
      <c r="C187" s="1" t="s">
        <v>1125</v>
      </c>
      <c r="D187" s="81">
        <v>25677</v>
      </c>
      <c r="E187" s="81" t="s">
        <v>1156</v>
      </c>
      <c r="F187" s="1" t="str">
        <f t="shared" si="2"/>
        <v>&lt;a href='http://en.wikipedia.org/wiki/1970_Spanish_Grand_Prix'&gt;1970_Spanish_Grand_Prix&lt;/a&gt;</v>
      </c>
    </row>
    <row r="188" spans="1:6">
      <c r="A188" s="1">
        <v>1970</v>
      </c>
      <c r="B188" s="1">
        <v>3</v>
      </c>
      <c r="C188" s="1" t="s">
        <v>857</v>
      </c>
      <c r="D188" s="81">
        <v>25698</v>
      </c>
      <c r="E188" s="81" t="s">
        <v>1157</v>
      </c>
      <c r="F188" s="1" t="str">
        <f t="shared" si="2"/>
        <v>&lt;a href='http://en.wikipedia.org/wiki/1970_Monaco_Grand_Prix'&gt;1970_Monaco_Grand_Prix&lt;/a&gt;</v>
      </c>
    </row>
    <row r="189" spans="1:6">
      <c r="A189" s="1">
        <v>1970</v>
      </c>
      <c r="B189" s="1">
        <v>4</v>
      </c>
      <c r="C189" s="1" t="s">
        <v>873</v>
      </c>
      <c r="D189" s="81">
        <v>25726</v>
      </c>
      <c r="E189" s="81" t="s">
        <v>1158</v>
      </c>
      <c r="F189" s="1" t="str">
        <f t="shared" si="2"/>
        <v>&lt;a href='http://en.wikipedia.org/wiki/1970_Belgian_Grand_Prix'&gt;1970_Belgian_Grand_Prix&lt;/a&gt;</v>
      </c>
    </row>
    <row r="190" spans="1:6">
      <c r="A190" s="1">
        <v>1970</v>
      </c>
      <c r="B190" s="1">
        <v>5</v>
      </c>
      <c r="C190" s="1" t="s">
        <v>915</v>
      </c>
      <c r="D190" s="81">
        <v>25740</v>
      </c>
      <c r="E190" s="81" t="s">
        <v>1159</v>
      </c>
      <c r="F190" s="1" t="str">
        <f t="shared" si="2"/>
        <v>&lt;a href='http://en.wikipedia.org/wiki/1970_Dutch_Grand_Prix'&gt;1970_Dutch_Grand_Prix&lt;/a&gt;</v>
      </c>
    </row>
    <row r="191" spans="1:6">
      <c r="A191" s="1">
        <v>1970</v>
      </c>
      <c r="B191" s="1">
        <v>6</v>
      </c>
      <c r="C191" s="1" t="s">
        <v>1084</v>
      </c>
      <c r="D191" s="81">
        <v>25754</v>
      </c>
      <c r="E191" s="81" t="s">
        <v>1160</v>
      </c>
      <c r="F191" s="1" t="str">
        <f t="shared" si="2"/>
        <v>&lt;a href='http://en.wikipedia.org/wiki/1970_French_Grand_Prix'&gt;1970_French_Grand_Prix&lt;/a&gt;</v>
      </c>
    </row>
    <row r="192" spans="1:6">
      <c r="A192" s="1">
        <v>1970</v>
      </c>
      <c r="B192" s="1">
        <v>7</v>
      </c>
      <c r="C192" s="1" t="s">
        <v>1067</v>
      </c>
      <c r="D192" s="81">
        <v>25767</v>
      </c>
      <c r="E192" s="81" t="s">
        <v>1161</v>
      </c>
      <c r="F192" s="1" t="str">
        <f t="shared" si="2"/>
        <v>&lt;a href='http://en.wikipedia.org/wiki/1970_British_Grand_Prix'&gt;1970_British_Grand_Prix&lt;/a&gt;</v>
      </c>
    </row>
    <row r="193" spans="1:6">
      <c r="A193" s="1">
        <v>1970</v>
      </c>
      <c r="B193" s="1">
        <v>8</v>
      </c>
      <c r="C193" s="1" t="s">
        <v>1162</v>
      </c>
      <c r="D193" s="81">
        <v>25782</v>
      </c>
      <c r="E193" s="81" t="s">
        <v>1165</v>
      </c>
      <c r="F193" s="1" t="str">
        <f t="shared" si="2"/>
        <v>&lt;a href='http://en.wikipedia.org/wiki/1970_German_Grand_Prix'&gt;1970_German_Grand_Prix&lt;/a&gt;</v>
      </c>
    </row>
    <row r="194" spans="1:6">
      <c r="A194" s="1">
        <v>1970</v>
      </c>
      <c r="B194" s="1">
        <v>9</v>
      </c>
      <c r="C194" s="1" t="s">
        <v>1166</v>
      </c>
      <c r="D194" s="81">
        <v>25796</v>
      </c>
      <c r="E194" s="81" t="s">
        <v>1169</v>
      </c>
      <c r="F194" s="1" t="str">
        <f t="shared" si="2"/>
        <v>&lt;a href='http://en.wikipedia.org/wiki/1970_Austrian_Grand_Prix'&gt;1970_Austrian_Grand_Prix&lt;/a&gt;</v>
      </c>
    </row>
    <row r="195" spans="1:6">
      <c r="A195" s="1">
        <v>1970</v>
      </c>
      <c r="B195" s="1">
        <v>10</v>
      </c>
      <c r="C195" s="1" t="s">
        <v>883</v>
      </c>
      <c r="D195" s="81">
        <v>25817</v>
      </c>
      <c r="E195" s="81" t="s">
        <v>1170</v>
      </c>
      <c r="F195" s="1" t="str">
        <f t="shared" ref="F195:F258" si="3">"&lt;a href='"&amp;E195&amp;"'&gt;"&amp;MID(E195,30,LEN(E195)-29)&amp;"&lt;/a&gt;"</f>
        <v>&lt;a href='http://en.wikipedia.org/wiki/1970_Italian_Grand_Prix'&gt;1970_Italian_Grand_Prix&lt;/a&gt;</v>
      </c>
    </row>
    <row r="196" spans="1:6">
      <c r="A196" s="1">
        <v>1970</v>
      </c>
      <c r="B196" s="1">
        <v>11</v>
      </c>
      <c r="C196" s="1" t="s">
        <v>1136</v>
      </c>
      <c r="D196" s="81">
        <v>25831</v>
      </c>
      <c r="E196" s="81" t="s">
        <v>1171</v>
      </c>
      <c r="F196" s="1" t="str">
        <f t="shared" si="3"/>
        <v>&lt;a href='http://en.wikipedia.org/wiki/1970_Canadian_Grand_Prix'&gt;1970_Canadian_Grand_Prix&lt;/a&gt;</v>
      </c>
    </row>
    <row r="197" spans="1:6">
      <c r="A197" s="1">
        <v>1970</v>
      </c>
      <c r="B197" s="1">
        <v>12</v>
      </c>
      <c r="C197" s="1" t="s">
        <v>1031</v>
      </c>
      <c r="D197" s="81">
        <v>25845</v>
      </c>
      <c r="E197" s="81" t="s">
        <v>1172</v>
      </c>
      <c r="F197" s="1" t="str">
        <f t="shared" si="3"/>
        <v>&lt;a href='http://en.wikipedia.org/wiki/1970_United_States_Grand_Prix'&gt;1970_United_States_Grand_Prix&lt;/a&gt;</v>
      </c>
    </row>
    <row r="198" spans="1:6">
      <c r="A198" s="1">
        <v>1970</v>
      </c>
      <c r="B198" s="1">
        <v>13</v>
      </c>
      <c r="C198" s="1" t="s">
        <v>1057</v>
      </c>
      <c r="D198" s="81">
        <v>25866</v>
      </c>
      <c r="E198" s="81" t="s">
        <v>1173</v>
      </c>
      <c r="F198" s="1" t="str">
        <f t="shared" si="3"/>
        <v>&lt;a href='http://en.wikipedia.org/wiki/1970_Mexican_Grand_Prix'&gt;1970_Mexican_Grand_Prix&lt;/a&gt;</v>
      </c>
    </row>
    <row r="199" spans="1:6">
      <c r="A199" s="1">
        <v>1971</v>
      </c>
      <c r="B199" s="1">
        <v>1</v>
      </c>
      <c r="C199" s="1" t="s">
        <v>1103</v>
      </c>
      <c r="D199" s="81">
        <v>25998</v>
      </c>
      <c r="E199" s="81" t="s">
        <v>1174</v>
      </c>
      <c r="F199" s="1" t="str">
        <f t="shared" si="3"/>
        <v>&lt;a href='http://en.wikipedia.org/wiki/1971_South_African_Grand_Prix'&gt;1971_South_African_Grand_Prix&lt;/a&gt;</v>
      </c>
    </row>
    <row r="200" spans="1:6">
      <c r="A200" s="1">
        <v>1971</v>
      </c>
      <c r="B200" s="1">
        <v>2</v>
      </c>
      <c r="C200" s="1" t="s">
        <v>1143</v>
      </c>
      <c r="D200" s="81">
        <v>26041</v>
      </c>
      <c r="E200" s="81" t="s">
        <v>1175</v>
      </c>
      <c r="F200" s="1" t="str">
        <f t="shared" si="3"/>
        <v>&lt;a href='http://en.wikipedia.org/wiki/1971_Spanish_Grand_Prix'&gt;1971_Spanish_Grand_Prix&lt;/a&gt;</v>
      </c>
    </row>
    <row r="201" spans="1:6">
      <c r="A201" s="1">
        <v>1971</v>
      </c>
      <c r="B201" s="1">
        <v>3</v>
      </c>
      <c r="C201" s="1" t="s">
        <v>857</v>
      </c>
      <c r="D201" s="81">
        <v>26076</v>
      </c>
      <c r="E201" s="81" t="s">
        <v>1176</v>
      </c>
      <c r="F201" s="1" t="str">
        <f t="shared" si="3"/>
        <v>&lt;a href='http://en.wikipedia.org/wiki/1971_Monaco_Grand_Prix'&gt;1971_Monaco_Grand_Prix&lt;/a&gt;</v>
      </c>
    </row>
    <row r="202" spans="1:6">
      <c r="A202" s="1">
        <v>1971</v>
      </c>
      <c r="B202" s="1">
        <v>4</v>
      </c>
      <c r="C202" s="1" t="s">
        <v>915</v>
      </c>
      <c r="D202" s="81">
        <v>26104</v>
      </c>
      <c r="E202" s="81" t="s">
        <v>1177</v>
      </c>
      <c r="F202" s="1" t="str">
        <f t="shared" si="3"/>
        <v>&lt;a href='http://en.wikipedia.org/wiki/1971_Dutch_Grand_Prix'&gt;1971_Dutch_Grand_Prix&lt;/a&gt;</v>
      </c>
    </row>
    <row r="203" spans="1:6">
      <c r="A203" s="1">
        <v>1971</v>
      </c>
      <c r="B203" s="1">
        <v>5</v>
      </c>
      <c r="C203" s="1" t="s">
        <v>1178</v>
      </c>
      <c r="D203" s="81">
        <v>26118</v>
      </c>
      <c r="E203" s="81" t="s">
        <v>1181</v>
      </c>
      <c r="F203" s="1" t="str">
        <f t="shared" si="3"/>
        <v>&lt;a href='http://en.wikipedia.org/wiki/1971_French_Grand_Prix'&gt;1971_French_Grand_Prix&lt;/a&gt;</v>
      </c>
    </row>
    <row r="204" spans="1:6">
      <c r="A204" s="1">
        <v>1971</v>
      </c>
      <c r="B204" s="1">
        <v>6</v>
      </c>
      <c r="C204" s="1" t="s">
        <v>851</v>
      </c>
      <c r="D204" s="81">
        <v>26131</v>
      </c>
      <c r="E204" s="81" t="s">
        <v>1182</v>
      </c>
      <c r="F204" s="1" t="str">
        <f t="shared" si="3"/>
        <v>&lt;a href='http://en.wikipedia.org/wiki/1971_British_Grand_Prix'&gt;1971_British_Grand_Prix&lt;/a&gt;</v>
      </c>
    </row>
    <row r="205" spans="1:6">
      <c r="A205" s="1">
        <v>1971</v>
      </c>
      <c r="B205" s="1">
        <v>7</v>
      </c>
      <c r="C205" s="1" t="s">
        <v>894</v>
      </c>
      <c r="D205" s="81">
        <v>26146</v>
      </c>
      <c r="E205" s="81" t="s">
        <v>1183</v>
      </c>
      <c r="F205" s="1" t="str">
        <f t="shared" si="3"/>
        <v>&lt;a href='http://en.wikipedia.org/wiki/1971_German_Grand_Prix'&gt;1971_German_Grand_Prix&lt;/a&gt;</v>
      </c>
    </row>
    <row r="206" spans="1:6">
      <c r="A206" s="1">
        <v>1971</v>
      </c>
      <c r="B206" s="1">
        <v>8</v>
      </c>
      <c r="C206" s="1" t="s">
        <v>1166</v>
      </c>
      <c r="D206" s="81">
        <v>26160</v>
      </c>
      <c r="E206" s="81" t="s">
        <v>1184</v>
      </c>
      <c r="F206" s="1" t="str">
        <f t="shared" si="3"/>
        <v>&lt;a href='http://en.wikipedia.org/wiki/1971_Austrian_Grand_Prix'&gt;1971_Austrian_Grand_Prix&lt;/a&gt;</v>
      </c>
    </row>
    <row r="207" spans="1:6">
      <c r="A207" s="1">
        <v>1971</v>
      </c>
      <c r="B207" s="1">
        <v>9</v>
      </c>
      <c r="C207" s="1" t="s">
        <v>883</v>
      </c>
      <c r="D207" s="81">
        <v>26181</v>
      </c>
      <c r="E207" s="81" t="s">
        <v>1185</v>
      </c>
      <c r="F207" s="1" t="str">
        <f t="shared" si="3"/>
        <v>&lt;a href='http://en.wikipedia.org/wiki/1971_Italian_Grand_Prix'&gt;1971_Italian_Grand_Prix&lt;/a&gt;</v>
      </c>
    </row>
    <row r="208" spans="1:6">
      <c r="A208" s="1">
        <v>1971</v>
      </c>
      <c r="B208" s="1">
        <v>10</v>
      </c>
      <c r="C208" s="1" t="s">
        <v>1116</v>
      </c>
      <c r="D208" s="81">
        <v>26195</v>
      </c>
      <c r="E208" s="81" t="s">
        <v>1186</v>
      </c>
      <c r="F208" s="1" t="str">
        <f t="shared" si="3"/>
        <v>&lt;a href='http://en.wikipedia.org/wiki/1971_Canadian_Grand_Prix'&gt;1971_Canadian_Grand_Prix&lt;/a&gt;</v>
      </c>
    </row>
    <row r="209" spans="1:6">
      <c r="A209" s="1">
        <v>1971</v>
      </c>
      <c r="B209" s="1">
        <v>11</v>
      </c>
      <c r="C209" s="1" t="s">
        <v>1031</v>
      </c>
      <c r="D209" s="81">
        <v>26209</v>
      </c>
      <c r="E209" s="81" t="s">
        <v>1187</v>
      </c>
      <c r="F209" s="1" t="str">
        <f t="shared" si="3"/>
        <v>&lt;a href='http://en.wikipedia.org/wiki/1971_United_States_Grand_Prix'&gt;1971_United_States_Grand_Prix&lt;/a&gt;</v>
      </c>
    </row>
    <row r="210" spans="1:6">
      <c r="A210" s="1">
        <v>1972</v>
      </c>
      <c r="B210" s="1">
        <v>1</v>
      </c>
      <c r="C210" s="1" t="s">
        <v>922</v>
      </c>
      <c r="D210" s="81">
        <v>26321</v>
      </c>
      <c r="E210" s="81" t="s">
        <v>1188</v>
      </c>
      <c r="F210" s="1" t="str">
        <f t="shared" si="3"/>
        <v>&lt;a href='http://en.wikipedia.org/wiki/1972_Argentine_Grand_Prix'&gt;1972_Argentine_Grand_Prix&lt;/a&gt;</v>
      </c>
    </row>
    <row r="211" spans="1:6">
      <c r="A211" s="1">
        <v>1972</v>
      </c>
      <c r="B211" s="1">
        <v>2</v>
      </c>
      <c r="C211" s="1" t="s">
        <v>1103</v>
      </c>
      <c r="D211" s="81">
        <v>26362</v>
      </c>
      <c r="E211" s="81" t="s">
        <v>1189</v>
      </c>
      <c r="F211" s="1" t="str">
        <f t="shared" si="3"/>
        <v>&lt;a href='http://en.wikipedia.org/wiki/1972_South_African_Grand_Prix'&gt;1972_South_African_Grand_Prix&lt;/a&gt;</v>
      </c>
    </row>
    <row r="212" spans="1:6">
      <c r="A212" s="1">
        <v>1972</v>
      </c>
      <c r="B212" s="1">
        <v>3</v>
      </c>
      <c r="C212" s="1" t="s">
        <v>1125</v>
      </c>
      <c r="D212" s="81">
        <v>26420</v>
      </c>
      <c r="E212" s="81" t="s">
        <v>1190</v>
      </c>
      <c r="F212" s="1" t="str">
        <f t="shared" si="3"/>
        <v>&lt;a href='http://en.wikipedia.org/wiki/1972_Spanish_Grand_Prix'&gt;1972_Spanish_Grand_Prix&lt;/a&gt;</v>
      </c>
    </row>
    <row r="213" spans="1:6">
      <c r="A213" s="1">
        <v>1972</v>
      </c>
      <c r="B213" s="1">
        <v>4</v>
      </c>
      <c r="C213" s="1" t="s">
        <v>857</v>
      </c>
      <c r="D213" s="81">
        <v>26433</v>
      </c>
      <c r="E213" s="81" t="s">
        <v>1191</v>
      </c>
      <c r="F213" s="1" t="str">
        <f t="shared" si="3"/>
        <v>&lt;a href='http://en.wikipedia.org/wiki/1972_Monaco_Grand_Prix'&gt;1972_Monaco_Grand_Prix&lt;/a&gt;</v>
      </c>
    </row>
    <row r="214" spans="1:6">
      <c r="A214" s="1">
        <v>1972</v>
      </c>
      <c r="B214" s="1">
        <v>5</v>
      </c>
      <c r="C214" s="1" t="s">
        <v>1192</v>
      </c>
      <c r="D214" s="81">
        <v>26454</v>
      </c>
      <c r="E214" s="81" t="s">
        <v>1194</v>
      </c>
      <c r="F214" s="1" t="str">
        <f t="shared" si="3"/>
        <v>&lt;a href='http://en.wikipedia.org/wiki/1972_Belgian_Grand_Prix'&gt;1972_Belgian_Grand_Prix&lt;/a&gt;</v>
      </c>
    </row>
    <row r="215" spans="1:6">
      <c r="A215" s="1">
        <v>1972</v>
      </c>
      <c r="B215" s="1">
        <v>6</v>
      </c>
      <c r="C215" s="1" t="s">
        <v>1084</v>
      </c>
      <c r="D215" s="81">
        <v>26482</v>
      </c>
      <c r="E215" s="81" t="s">
        <v>1195</v>
      </c>
      <c r="F215" s="1" t="str">
        <f t="shared" si="3"/>
        <v>&lt;a href='http://en.wikipedia.org/wiki/1972_French_Grand_Prix'&gt;1972_French_Grand_Prix&lt;/a&gt;</v>
      </c>
    </row>
    <row r="216" spans="1:6">
      <c r="A216" s="1">
        <v>1972</v>
      </c>
      <c r="B216" s="1">
        <v>7</v>
      </c>
      <c r="C216" s="1" t="s">
        <v>1067</v>
      </c>
      <c r="D216" s="81">
        <v>26495</v>
      </c>
      <c r="E216" s="81" t="s">
        <v>1196</v>
      </c>
      <c r="F216" s="1" t="str">
        <f t="shared" si="3"/>
        <v>&lt;a href='http://en.wikipedia.org/wiki/1972_British_Grand_Prix'&gt;1972_British_Grand_Prix&lt;/a&gt;</v>
      </c>
    </row>
    <row r="217" spans="1:6">
      <c r="A217" s="1">
        <v>1972</v>
      </c>
      <c r="B217" s="1">
        <v>8</v>
      </c>
      <c r="C217" s="1" t="s">
        <v>894</v>
      </c>
      <c r="D217" s="81">
        <v>26510</v>
      </c>
      <c r="E217" s="81" t="s">
        <v>1197</v>
      </c>
      <c r="F217" s="1" t="str">
        <f t="shared" si="3"/>
        <v>&lt;a href='http://en.wikipedia.org/wiki/1972_German_Grand_Prix'&gt;1972_German_Grand_Prix&lt;/a&gt;</v>
      </c>
    </row>
    <row r="218" spans="1:6">
      <c r="A218" s="1">
        <v>1972</v>
      </c>
      <c r="B218" s="1">
        <v>9</v>
      </c>
      <c r="C218" s="1" t="s">
        <v>1166</v>
      </c>
      <c r="D218" s="81">
        <v>26524</v>
      </c>
      <c r="E218" s="81" t="s">
        <v>1198</v>
      </c>
      <c r="F218" s="1" t="str">
        <f t="shared" si="3"/>
        <v>&lt;a href='http://en.wikipedia.org/wiki/1972_Austrian_Grand_Prix'&gt;1972_Austrian_Grand_Prix&lt;/a&gt;</v>
      </c>
    </row>
    <row r="219" spans="1:6">
      <c r="A219" s="1">
        <v>1972</v>
      </c>
      <c r="B219" s="1">
        <v>10</v>
      </c>
      <c r="C219" s="1" t="s">
        <v>883</v>
      </c>
      <c r="D219" s="81">
        <v>26552</v>
      </c>
      <c r="E219" s="81" t="s">
        <v>1199</v>
      </c>
      <c r="F219" s="1" t="str">
        <f t="shared" si="3"/>
        <v>&lt;a href='http://en.wikipedia.org/wiki/1972_Italian_Grand_Prix'&gt;1972_Italian_Grand_Prix&lt;/a&gt;</v>
      </c>
    </row>
    <row r="220" spans="1:6">
      <c r="A220" s="1">
        <v>1972</v>
      </c>
      <c r="B220" s="1">
        <v>11</v>
      </c>
      <c r="C220" s="1" t="s">
        <v>1116</v>
      </c>
      <c r="D220" s="81">
        <v>26566</v>
      </c>
      <c r="E220" s="81" t="s">
        <v>1200</v>
      </c>
      <c r="F220" s="1" t="str">
        <f t="shared" si="3"/>
        <v>&lt;a href='http://en.wikipedia.org/wiki/1972_Canadian_Grand_Prix'&gt;1972_Canadian_Grand_Prix&lt;/a&gt;</v>
      </c>
    </row>
    <row r="221" spans="1:6">
      <c r="A221" s="1">
        <v>1972</v>
      </c>
      <c r="B221" s="1">
        <v>12</v>
      </c>
      <c r="C221" s="1" t="s">
        <v>1031</v>
      </c>
      <c r="D221" s="81">
        <v>26580</v>
      </c>
      <c r="E221" s="81" t="s">
        <v>1201</v>
      </c>
      <c r="F221" s="1" t="str">
        <f t="shared" si="3"/>
        <v>&lt;a href='http://en.wikipedia.org/wiki/1972_United_States_Grand_Prix'&gt;1972_United_States_Grand_Prix&lt;/a&gt;</v>
      </c>
    </row>
    <row r="222" spans="1:6">
      <c r="A222" s="1">
        <v>1973</v>
      </c>
      <c r="B222" s="1">
        <v>1</v>
      </c>
      <c r="C222" s="1" t="s">
        <v>922</v>
      </c>
      <c r="D222" s="81">
        <v>26692</v>
      </c>
      <c r="E222" s="81" t="s">
        <v>1202</v>
      </c>
      <c r="F222" s="1" t="str">
        <f t="shared" si="3"/>
        <v>&lt;a href='http://en.wikipedia.org/wiki/1973_Argentine_Grand_Prix'&gt;1973_Argentine_Grand_Prix&lt;/a&gt;</v>
      </c>
    </row>
    <row r="223" spans="1:6">
      <c r="A223" s="1">
        <v>1973</v>
      </c>
      <c r="B223" s="1">
        <v>2</v>
      </c>
      <c r="C223" s="1" t="s">
        <v>1204</v>
      </c>
      <c r="D223" s="81">
        <v>26706</v>
      </c>
      <c r="E223" s="81" t="s">
        <v>1208</v>
      </c>
      <c r="F223" s="1" t="str">
        <f t="shared" si="3"/>
        <v>&lt;a href='http://en.wikipedia.org/wiki/1973_Brazilian_Grand_Prix'&gt;1973_Brazilian_Grand_Prix&lt;/a&gt;</v>
      </c>
    </row>
    <row r="224" spans="1:6">
      <c r="A224" s="1">
        <v>1973</v>
      </c>
      <c r="B224" s="1">
        <v>3</v>
      </c>
      <c r="C224" s="1" t="s">
        <v>1103</v>
      </c>
      <c r="D224" s="81">
        <v>26726</v>
      </c>
      <c r="E224" s="81" t="s">
        <v>1209</v>
      </c>
      <c r="F224" s="1" t="str">
        <f t="shared" si="3"/>
        <v>&lt;a href='http://en.wikipedia.org/wiki/1973_South_African_Grand_Prix'&gt;1973_South_African_Grand_Prix&lt;/a&gt;</v>
      </c>
    </row>
    <row r="225" spans="1:6">
      <c r="A225" s="1">
        <v>1973</v>
      </c>
      <c r="B225" s="1">
        <v>4</v>
      </c>
      <c r="C225" s="1" t="s">
        <v>1143</v>
      </c>
      <c r="D225" s="81">
        <v>26783</v>
      </c>
      <c r="E225" s="81" t="s">
        <v>1210</v>
      </c>
      <c r="F225" s="1" t="str">
        <f t="shared" si="3"/>
        <v>&lt;a href='http://en.wikipedia.org/wiki/1973_Spanish_Grand_Prix'&gt;1973_Spanish_Grand_Prix&lt;/a&gt;</v>
      </c>
    </row>
    <row r="226" spans="1:6">
      <c r="A226" s="1">
        <v>1973</v>
      </c>
      <c r="B226" s="1">
        <v>5</v>
      </c>
      <c r="C226" s="1" t="s">
        <v>1211</v>
      </c>
      <c r="D226" s="81">
        <v>26804</v>
      </c>
      <c r="E226" s="81" t="s">
        <v>1214</v>
      </c>
      <c r="F226" s="1" t="str">
        <f t="shared" si="3"/>
        <v>&lt;a href='http://en.wikipedia.org/wiki/1973_Belgian_Grand_Prix'&gt;1973_Belgian_Grand_Prix&lt;/a&gt;</v>
      </c>
    </row>
    <row r="227" spans="1:6">
      <c r="A227" s="1">
        <v>1973</v>
      </c>
      <c r="B227" s="1">
        <v>6</v>
      </c>
      <c r="C227" s="1" t="s">
        <v>857</v>
      </c>
      <c r="D227" s="81">
        <v>26818</v>
      </c>
      <c r="E227" s="81" t="s">
        <v>1215</v>
      </c>
      <c r="F227" s="1" t="str">
        <f t="shared" si="3"/>
        <v>&lt;a href='http://en.wikipedia.org/wiki/1973_Monaco_Grand_Prix'&gt;1973_Monaco_Grand_Prix&lt;/a&gt;</v>
      </c>
    </row>
    <row r="228" spans="1:6">
      <c r="A228" s="1">
        <v>1973</v>
      </c>
      <c r="B228" s="1">
        <v>7</v>
      </c>
      <c r="C228" s="1" t="s">
        <v>1217</v>
      </c>
      <c r="D228" s="81">
        <v>26832</v>
      </c>
      <c r="E228" s="81" t="s">
        <v>1221</v>
      </c>
      <c r="F228" s="1" t="str">
        <f t="shared" si="3"/>
        <v>&lt;a href='http://en.wikipedia.org/wiki/1973_Swedish_Grand_Prix'&gt;1973_Swedish_Grand_Prix&lt;/a&gt;</v>
      </c>
    </row>
    <row r="229" spans="1:6">
      <c r="A229" s="1">
        <v>1973</v>
      </c>
      <c r="B229" s="1">
        <v>8</v>
      </c>
      <c r="C229" s="1" t="s">
        <v>1178</v>
      </c>
      <c r="D229" s="81">
        <v>26846</v>
      </c>
      <c r="E229" s="81" t="s">
        <v>1222</v>
      </c>
      <c r="F229" s="1" t="str">
        <f t="shared" si="3"/>
        <v>&lt;a href='http://en.wikipedia.org/wiki/1973_French_Grand_Prix'&gt;1973_French_Grand_Prix&lt;/a&gt;</v>
      </c>
    </row>
    <row r="230" spans="1:6">
      <c r="A230" s="1">
        <v>1973</v>
      </c>
      <c r="B230" s="1">
        <v>9</v>
      </c>
      <c r="C230" s="1" t="s">
        <v>851</v>
      </c>
      <c r="D230" s="81">
        <v>26859</v>
      </c>
      <c r="E230" s="81" t="s">
        <v>1223</v>
      </c>
      <c r="F230" s="1" t="str">
        <f t="shared" si="3"/>
        <v>&lt;a href='http://en.wikipedia.org/wiki/1973_British_Grand_Prix'&gt;1973_British_Grand_Prix&lt;/a&gt;</v>
      </c>
    </row>
    <row r="231" spans="1:6">
      <c r="A231" s="1">
        <v>1973</v>
      </c>
      <c r="B231" s="1">
        <v>10</v>
      </c>
      <c r="C231" s="1" t="s">
        <v>915</v>
      </c>
      <c r="D231" s="81">
        <v>26874</v>
      </c>
      <c r="E231" s="81" t="s">
        <v>1224</v>
      </c>
      <c r="F231" s="1" t="str">
        <f t="shared" si="3"/>
        <v>&lt;a href='http://en.wikipedia.org/wiki/1973_Dutch_Grand_Prix'&gt;1973_Dutch_Grand_Prix&lt;/a&gt;</v>
      </c>
    </row>
    <row r="232" spans="1:6">
      <c r="A232" s="1">
        <v>1973</v>
      </c>
      <c r="B232" s="1">
        <v>11</v>
      </c>
      <c r="C232" s="1" t="s">
        <v>894</v>
      </c>
      <c r="D232" s="81">
        <v>26881</v>
      </c>
      <c r="E232" s="81" t="s">
        <v>1225</v>
      </c>
      <c r="F232" s="1" t="str">
        <f t="shared" si="3"/>
        <v>&lt;a href='http://en.wikipedia.org/wiki/1973_German_Grand_Prix'&gt;1973_German_Grand_Prix&lt;/a&gt;</v>
      </c>
    </row>
    <row r="233" spans="1:6">
      <c r="A233" s="1">
        <v>1973</v>
      </c>
      <c r="B233" s="1">
        <v>12</v>
      </c>
      <c r="C233" s="1" t="s">
        <v>1166</v>
      </c>
      <c r="D233" s="81">
        <v>26895</v>
      </c>
      <c r="E233" s="81" t="s">
        <v>1226</v>
      </c>
      <c r="F233" s="1" t="str">
        <f t="shared" si="3"/>
        <v>&lt;a href='http://en.wikipedia.org/wiki/1973_Austrian_Grand_Prix'&gt;1973_Austrian_Grand_Prix&lt;/a&gt;</v>
      </c>
    </row>
    <row r="234" spans="1:6">
      <c r="A234" s="1">
        <v>1973</v>
      </c>
      <c r="B234" s="1">
        <v>13</v>
      </c>
      <c r="C234" s="1" t="s">
        <v>883</v>
      </c>
      <c r="D234" s="81">
        <v>26916</v>
      </c>
      <c r="E234" s="81" t="s">
        <v>1227</v>
      </c>
      <c r="F234" s="1" t="str">
        <f t="shared" si="3"/>
        <v>&lt;a href='http://en.wikipedia.org/wiki/1973_Italian_Grand_Prix'&gt;1973_Italian_Grand_Prix&lt;/a&gt;</v>
      </c>
    </row>
    <row r="235" spans="1:6">
      <c r="A235" s="1">
        <v>1973</v>
      </c>
      <c r="B235" s="1">
        <v>14</v>
      </c>
      <c r="C235" s="1" t="s">
        <v>1116</v>
      </c>
      <c r="D235" s="81">
        <v>26930</v>
      </c>
      <c r="E235" s="81" t="s">
        <v>1228</v>
      </c>
      <c r="F235" s="1" t="str">
        <f t="shared" si="3"/>
        <v>&lt;a href='http://en.wikipedia.org/wiki/1973_Canadian_Grand_Prix'&gt;1973_Canadian_Grand_Prix&lt;/a&gt;</v>
      </c>
    </row>
    <row r="236" spans="1:6">
      <c r="A236" s="1">
        <v>1973</v>
      </c>
      <c r="B236" s="1">
        <v>15</v>
      </c>
      <c r="C236" s="1" t="s">
        <v>1031</v>
      </c>
      <c r="D236" s="81">
        <v>26944</v>
      </c>
      <c r="E236" s="81" t="s">
        <v>1229</v>
      </c>
      <c r="F236" s="1" t="str">
        <f t="shared" si="3"/>
        <v>&lt;a href='http://en.wikipedia.org/wiki/1973_United_States_Grand_Prix'&gt;1973_United_States_Grand_Prix&lt;/a&gt;</v>
      </c>
    </row>
    <row r="237" spans="1:6">
      <c r="A237" s="1">
        <v>1974</v>
      </c>
      <c r="B237" s="1">
        <v>1</v>
      </c>
      <c r="C237" s="1" t="s">
        <v>922</v>
      </c>
      <c r="D237" s="81">
        <v>27042</v>
      </c>
      <c r="E237" s="81" t="s">
        <v>1230</v>
      </c>
      <c r="F237" s="1" t="str">
        <f t="shared" si="3"/>
        <v>&lt;a href='http://en.wikipedia.org/wiki/1974_Argentine_Grand_Prix'&gt;1974_Argentine_Grand_Prix&lt;/a&gt;</v>
      </c>
    </row>
    <row r="238" spans="1:6">
      <c r="A238" s="1">
        <v>1974</v>
      </c>
      <c r="B238" s="1">
        <v>2</v>
      </c>
      <c r="C238" s="1" t="s">
        <v>1204</v>
      </c>
      <c r="D238" s="81">
        <v>27056</v>
      </c>
      <c r="E238" s="81" t="s">
        <v>1231</v>
      </c>
      <c r="F238" s="1" t="str">
        <f t="shared" si="3"/>
        <v>&lt;a href='http://en.wikipedia.org/wiki/1974_Brazilian_Grand_Prix'&gt;1974_Brazilian_Grand_Prix&lt;/a&gt;</v>
      </c>
    </row>
    <row r="239" spans="1:6">
      <c r="A239" s="1">
        <v>1974</v>
      </c>
      <c r="B239" s="1">
        <v>3</v>
      </c>
      <c r="C239" s="1" t="s">
        <v>1103</v>
      </c>
      <c r="D239" s="81">
        <v>27118</v>
      </c>
      <c r="E239" s="81" t="s">
        <v>1232</v>
      </c>
      <c r="F239" s="1" t="str">
        <f t="shared" si="3"/>
        <v>&lt;a href='http://en.wikipedia.org/wiki/1974_South_African_Grand_Prix'&gt;1974_South_African_Grand_Prix&lt;/a&gt;</v>
      </c>
    </row>
    <row r="240" spans="1:6">
      <c r="A240" s="1">
        <v>1974</v>
      </c>
      <c r="B240" s="1">
        <v>4</v>
      </c>
      <c r="C240" s="1" t="s">
        <v>1125</v>
      </c>
      <c r="D240" s="81">
        <v>27147</v>
      </c>
      <c r="E240" s="81" t="s">
        <v>1233</v>
      </c>
      <c r="F240" s="1" t="str">
        <f t="shared" si="3"/>
        <v>&lt;a href='http://en.wikipedia.org/wiki/1974_Spanish_Grand_Prix'&gt;1974_Spanish_Grand_Prix&lt;/a&gt;</v>
      </c>
    </row>
    <row r="241" spans="1:6">
      <c r="A241" s="1">
        <v>1974</v>
      </c>
      <c r="B241" s="1">
        <v>5</v>
      </c>
      <c r="C241" s="1" t="s">
        <v>1192</v>
      </c>
      <c r="D241" s="81">
        <v>27161</v>
      </c>
      <c r="E241" s="81" t="s">
        <v>1234</v>
      </c>
      <c r="F241" s="1" t="str">
        <f t="shared" si="3"/>
        <v>&lt;a href='http://en.wikipedia.org/wiki/1974_Belgian_Grand_Prix'&gt;1974_Belgian_Grand_Prix&lt;/a&gt;</v>
      </c>
    </row>
    <row r="242" spans="1:6">
      <c r="A242" s="1">
        <v>1974</v>
      </c>
      <c r="B242" s="1">
        <v>6</v>
      </c>
      <c r="C242" s="1" t="s">
        <v>857</v>
      </c>
      <c r="D242" s="81">
        <v>27175</v>
      </c>
      <c r="E242" s="81" t="s">
        <v>1235</v>
      </c>
      <c r="F242" s="1" t="str">
        <f t="shared" si="3"/>
        <v>&lt;a href='http://en.wikipedia.org/wiki/1974_Monaco_Grand_Prix'&gt;1974_Monaco_Grand_Prix&lt;/a&gt;</v>
      </c>
    </row>
    <row r="243" spans="1:6">
      <c r="A243" s="1">
        <v>1974</v>
      </c>
      <c r="B243" s="1">
        <v>7</v>
      </c>
      <c r="C243" s="1" t="s">
        <v>1217</v>
      </c>
      <c r="D243" s="81">
        <v>27189</v>
      </c>
      <c r="E243" s="81" t="s">
        <v>1236</v>
      </c>
      <c r="F243" s="1" t="str">
        <f t="shared" si="3"/>
        <v>&lt;a href='http://en.wikipedia.org/wiki/1974_Swedish_Grand_Prix'&gt;1974_Swedish_Grand_Prix&lt;/a&gt;</v>
      </c>
    </row>
    <row r="244" spans="1:6">
      <c r="A244" s="1">
        <v>1974</v>
      </c>
      <c r="B244" s="1">
        <v>8</v>
      </c>
      <c r="C244" s="1" t="s">
        <v>915</v>
      </c>
      <c r="D244" s="81">
        <v>27203</v>
      </c>
      <c r="E244" s="81" t="s">
        <v>1237</v>
      </c>
      <c r="F244" s="1" t="str">
        <f t="shared" si="3"/>
        <v>&lt;a href='http://en.wikipedia.org/wiki/1974_Dutch_Grand_Prix'&gt;1974_Dutch_Grand_Prix&lt;/a&gt;</v>
      </c>
    </row>
    <row r="245" spans="1:6">
      <c r="A245" s="1">
        <v>1974</v>
      </c>
      <c r="B245" s="1">
        <v>9</v>
      </c>
      <c r="C245" s="1" t="s">
        <v>1238</v>
      </c>
      <c r="D245" s="81">
        <v>27217</v>
      </c>
      <c r="E245" s="81" t="s">
        <v>1241</v>
      </c>
      <c r="F245" s="1" t="str">
        <f t="shared" si="3"/>
        <v>&lt;a href='http://en.wikipedia.org/wiki/1974_French_Grand_Prix'&gt;1974_French_Grand_Prix&lt;/a&gt;</v>
      </c>
    </row>
    <row r="246" spans="1:6">
      <c r="A246" s="1">
        <v>1974</v>
      </c>
      <c r="B246" s="1">
        <v>10</v>
      </c>
      <c r="C246" s="1" t="s">
        <v>1067</v>
      </c>
      <c r="D246" s="81">
        <v>27230</v>
      </c>
      <c r="E246" s="81" t="s">
        <v>1242</v>
      </c>
      <c r="F246" s="1" t="str">
        <f t="shared" si="3"/>
        <v>&lt;a href='http://en.wikipedia.org/wiki/1974_British_Grand_Prix'&gt;1974_British_Grand_Prix&lt;/a&gt;</v>
      </c>
    </row>
    <row r="247" spans="1:6">
      <c r="A247" s="1">
        <v>1974</v>
      </c>
      <c r="B247" s="1">
        <v>11</v>
      </c>
      <c r="C247" s="1" t="s">
        <v>894</v>
      </c>
      <c r="D247" s="81">
        <v>27245</v>
      </c>
      <c r="E247" s="81" t="s">
        <v>1243</v>
      </c>
      <c r="F247" s="1" t="str">
        <f t="shared" si="3"/>
        <v>&lt;a href='http://en.wikipedia.org/wiki/1974_German_Grand_Prix'&gt;1974_German_Grand_Prix&lt;/a&gt;</v>
      </c>
    </row>
    <row r="248" spans="1:6">
      <c r="A248" s="1">
        <v>1974</v>
      </c>
      <c r="B248" s="1">
        <v>12</v>
      </c>
      <c r="C248" s="1" t="s">
        <v>1166</v>
      </c>
      <c r="D248" s="81">
        <v>27259</v>
      </c>
      <c r="E248" s="81" t="s">
        <v>1244</v>
      </c>
      <c r="F248" s="1" t="str">
        <f t="shared" si="3"/>
        <v>&lt;a href='http://en.wikipedia.org/wiki/1974_Austrian_Grand_Prix'&gt;1974_Austrian_Grand_Prix&lt;/a&gt;</v>
      </c>
    </row>
    <row r="249" spans="1:6">
      <c r="A249" s="1">
        <v>1974</v>
      </c>
      <c r="B249" s="1">
        <v>13</v>
      </c>
      <c r="C249" s="1" t="s">
        <v>883</v>
      </c>
      <c r="D249" s="81">
        <v>27280</v>
      </c>
      <c r="E249" s="81" t="s">
        <v>1245</v>
      </c>
      <c r="F249" s="1" t="str">
        <f t="shared" si="3"/>
        <v>&lt;a href='http://en.wikipedia.org/wiki/1974_Italian_Grand_Prix'&gt;1974_Italian_Grand_Prix&lt;/a&gt;</v>
      </c>
    </row>
    <row r="250" spans="1:6">
      <c r="A250" s="1">
        <v>1974</v>
      </c>
      <c r="B250" s="1">
        <v>14</v>
      </c>
      <c r="C250" s="1" t="s">
        <v>1116</v>
      </c>
      <c r="D250" s="81">
        <v>27294</v>
      </c>
      <c r="E250" s="81" t="s">
        <v>1246</v>
      </c>
      <c r="F250" s="1" t="str">
        <f t="shared" si="3"/>
        <v>&lt;a href='http://en.wikipedia.org/wiki/1974_Canadian_Grand_Prix'&gt;1974_Canadian_Grand_Prix&lt;/a&gt;</v>
      </c>
    </row>
    <row r="251" spans="1:6">
      <c r="A251" s="1">
        <v>1974</v>
      </c>
      <c r="B251" s="1">
        <v>15</v>
      </c>
      <c r="C251" s="1" t="s">
        <v>1031</v>
      </c>
      <c r="D251" s="81">
        <v>27308</v>
      </c>
      <c r="E251" s="81" t="s">
        <v>1247</v>
      </c>
      <c r="F251" s="1" t="str">
        <f t="shared" si="3"/>
        <v>&lt;a href='http://en.wikipedia.org/wiki/1974_United_States_Grand_Prix'&gt;1974_United_States_Grand_Prix&lt;/a&gt;</v>
      </c>
    </row>
    <row r="252" spans="1:6">
      <c r="A252" s="1">
        <v>1975</v>
      </c>
      <c r="B252" s="1">
        <v>1</v>
      </c>
      <c r="C252" s="1" t="s">
        <v>922</v>
      </c>
      <c r="D252" s="81">
        <v>27406</v>
      </c>
      <c r="E252" s="81" t="s">
        <v>1248</v>
      </c>
      <c r="F252" s="1" t="str">
        <f t="shared" si="3"/>
        <v>&lt;a href='http://en.wikipedia.org/wiki/1975_Argentine_Grand_Prix'&gt;1975_Argentine_Grand_Prix&lt;/a&gt;</v>
      </c>
    </row>
    <row r="253" spans="1:6">
      <c r="A253" s="1">
        <v>1975</v>
      </c>
      <c r="B253" s="1">
        <v>2</v>
      </c>
      <c r="C253" s="1" t="s">
        <v>1204</v>
      </c>
      <c r="D253" s="81">
        <v>27420</v>
      </c>
      <c r="E253" s="81" t="s">
        <v>1249</v>
      </c>
      <c r="F253" s="1" t="str">
        <f t="shared" si="3"/>
        <v>&lt;a href='http://en.wikipedia.org/wiki/1975_Brazilian_Grand_Prix'&gt;1975_Brazilian_Grand_Prix&lt;/a&gt;</v>
      </c>
    </row>
    <row r="254" spans="1:6">
      <c r="A254" s="1">
        <v>1975</v>
      </c>
      <c r="B254" s="1">
        <v>3</v>
      </c>
      <c r="C254" s="1" t="s">
        <v>1103</v>
      </c>
      <c r="D254" s="81">
        <v>27454</v>
      </c>
      <c r="E254" s="81" t="s">
        <v>1250</v>
      </c>
      <c r="F254" s="1" t="str">
        <f t="shared" si="3"/>
        <v>&lt;a href='http://en.wikipedia.org/wiki/1975_South_African_Grand_Prix'&gt;1975_South_African_Grand_Prix&lt;/a&gt;</v>
      </c>
    </row>
    <row r="255" spans="1:6">
      <c r="A255" s="1">
        <v>1975</v>
      </c>
      <c r="B255" s="1">
        <v>4</v>
      </c>
      <c r="C255" s="1" t="s">
        <v>1143</v>
      </c>
      <c r="D255" s="81">
        <v>27511</v>
      </c>
      <c r="E255" s="81" t="s">
        <v>1251</v>
      </c>
      <c r="F255" s="1" t="str">
        <f t="shared" si="3"/>
        <v>&lt;a href='http://en.wikipedia.org/wiki/1975_Spanish_Grand_Prix'&gt;1975_Spanish_Grand_Prix&lt;/a&gt;</v>
      </c>
    </row>
    <row r="256" spans="1:6">
      <c r="A256" s="1">
        <v>1975</v>
      </c>
      <c r="B256" s="1">
        <v>5</v>
      </c>
      <c r="C256" s="1" t="s">
        <v>857</v>
      </c>
      <c r="D256" s="81">
        <v>27525</v>
      </c>
      <c r="E256" s="81" t="s">
        <v>1252</v>
      </c>
      <c r="F256" s="1" t="str">
        <f t="shared" si="3"/>
        <v>&lt;a href='http://en.wikipedia.org/wiki/1975_Monaco_Grand_Prix'&gt;1975_Monaco_Grand_Prix&lt;/a&gt;</v>
      </c>
    </row>
    <row r="257" spans="1:6">
      <c r="A257" s="1">
        <v>1975</v>
      </c>
      <c r="B257" s="1">
        <v>6</v>
      </c>
      <c r="C257" s="1" t="s">
        <v>1211</v>
      </c>
      <c r="D257" s="81">
        <v>27539</v>
      </c>
      <c r="E257" s="81" t="s">
        <v>1253</v>
      </c>
      <c r="F257" s="1" t="str">
        <f t="shared" si="3"/>
        <v>&lt;a href='http://en.wikipedia.org/wiki/1975_Belgian_Grand_Prix'&gt;1975_Belgian_Grand_Prix&lt;/a&gt;</v>
      </c>
    </row>
    <row r="258" spans="1:6">
      <c r="A258" s="1">
        <v>1975</v>
      </c>
      <c r="B258" s="1">
        <v>7</v>
      </c>
      <c r="C258" s="1" t="s">
        <v>1217</v>
      </c>
      <c r="D258" s="81">
        <v>27553</v>
      </c>
      <c r="E258" s="81" t="s">
        <v>1254</v>
      </c>
      <c r="F258" s="1" t="str">
        <f t="shared" si="3"/>
        <v>&lt;a href='http://en.wikipedia.org/wiki/1975_Swedish_Grand_Prix'&gt;1975_Swedish_Grand_Prix&lt;/a&gt;</v>
      </c>
    </row>
    <row r="259" spans="1:6">
      <c r="A259" s="1">
        <v>1975</v>
      </c>
      <c r="B259" s="1">
        <v>8</v>
      </c>
      <c r="C259" s="1" t="s">
        <v>915</v>
      </c>
      <c r="D259" s="81">
        <v>27567</v>
      </c>
      <c r="E259" s="81" t="s">
        <v>1255</v>
      </c>
      <c r="F259" s="1" t="str">
        <f t="shared" ref="F259:F322" si="4">"&lt;a href='"&amp;E259&amp;"'&gt;"&amp;MID(E259,30,LEN(E259)-29)&amp;"&lt;/a&gt;"</f>
        <v>&lt;a href='http://en.wikipedia.org/wiki/1975_Dutch_Grand_Prix'&gt;1975_Dutch_Grand_Prix&lt;/a&gt;</v>
      </c>
    </row>
    <row r="260" spans="1:6">
      <c r="A260" s="1">
        <v>1975</v>
      </c>
      <c r="B260" s="1">
        <v>9</v>
      </c>
      <c r="C260" s="1" t="s">
        <v>1178</v>
      </c>
      <c r="D260" s="81">
        <v>27581</v>
      </c>
      <c r="E260" s="81" t="s">
        <v>1256</v>
      </c>
      <c r="F260" s="1" t="str">
        <f t="shared" si="4"/>
        <v>&lt;a href='http://en.wikipedia.org/wiki/1975_French_Grand_Prix'&gt;1975_French_Grand_Prix&lt;/a&gt;</v>
      </c>
    </row>
    <row r="261" spans="1:6">
      <c r="A261" s="1">
        <v>1975</v>
      </c>
      <c r="B261" s="1">
        <v>10</v>
      </c>
      <c r="C261" s="1" t="s">
        <v>851</v>
      </c>
      <c r="D261" s="81">
        <v>27594</v>
      </c>
      <c r="E261" s="81" t="s">
        <v>1257</v>
      </c>
      <c r="F261" s="1" t="str">
        <f t="shared" si="4"/>
        <v>&lt;a href='http://en.wikipedia.org/wiki/1975_British_Grand_Prix'&gt;1975_British_Grand_Prix&lt;/a&gt;</v>
      </c>
    </row>
    <row r="262" spans="1:6">
      <c r="A262" s="1">
        <v>1975</v>
      </c>
      <c r="B262" s="1">
        <v>11</v>
      </c>
      <c r="C262" s="1" t="s">
        <v>894</v>
      </c>
      <c r="D262" s="81">
        <v>27609</v>
      </c>
      <c r="E262" s="81" t="s">
        <v>1258</v>
      </c>
      <c r="F262" s="1" t="str">
        <f t="shared" si="4"/>
        <v>&lt;a href='http://en.wikipedia.org/wiki/1975_German_Grand_Prix'&gt;1975_German_Grand_Prix&lt;/a&gt;</v>
      </c>
    </row>
    <row r="263" spans="1:6">
      <c r="A263" s="1">
        <v>1975</v>
      </c>
      <c r="B263" s="1">
        <v>12</v>
      </c>
      <c r="C263" s="1" t="s">
        <v>1166</v>
      </c>
      <c r="D263" s="81">
        <v>27623</v>
      </c>
      <c r="E263" s="81" t="s">
        <v>1259</v>
      </c>
      <c r="F263" s="1" t="str">
        <f t="shared" si="4"/>
        <v>&lt;a href='http://en.wikipedia.org/wiki/1975_Austrian_Grand_Prix'&gt;1975_Austrian_Grand_Prix&lt;/a&gt;</v>
      </c>
    </row>
    <row r="264" spans="1:6">
      <c r="A264" s="1">
        <v>1975</v>
      </c>
      <c r="B264" s="1">
        <v>13</v>
      </c>
      <c r="C264" s="1" t="s">
        <v>883</v>
      </c>
      <c r="D264" s="81">
        <v>27644</v>
      </c>
      <c r="E264" s="81" t="s">
        <v>1260</v>
      </c>
      <c r="F264" s="1" t="str">
        <f t="shared" si="4"/>
        <v>&lt;a href='http://en.wikipedia.org/wiki/1975_Italian_Grand_Prix'&gt;1975_Italian_Grand_Prix&lt;/a&gt;</v>
      </c>
    </row>
    <row r="265" spans="1:6">
      <c r="A265" s="1">
        <v>1975</v>
      </c>
      <c r="B265" s="1">
        <v>14</v>
      </c>
      <c r="C265" s="1" t="s">
        <v>1031</v>
      </c>
      <c r="D265" s="81">
        <v>27672</v>
      </c>
      <c r="E265" s="81" t="s">
        <v>1261</v>
      </c>
      <c r="F265" s="1" t="str">
        <f t="shared" si="4"/>
        <v>&lt;a href='http://en.wikipedia.org/wiki/1975_United_States_Grand_Prix'&gt;1975_United_States_Grand_Prix&lt;/a&gt;</v>
      </c>
    </row>
    <row r="266" spans="1:6">
      <c r="A266" s="1">
        <v>1976</v>
      </c>
      <c r="B266" s="1">
        <v>1</v>
      </c>
      <c r="C266" s="1" t="s">
        <v>1204</v>
      </c>
      <c r="D266" s="81">
        <v>27784</v>
      </c>
      <c r="E266" s="81" t="s">
        <v>1262</v>
      </c>
      <c r="F266" s="1" t="str">
        <f t="shared" si="4"/>
        <v>&lt;a href='http://en.wikipedia.org/wiki/1976_Brazilian_Grand_Prix'&gt;1976_Brazilian_Grand_Prix&lt;/a&gt;</v>
      </c>
    </row>
    <row r="267" spans="1:6">
      <c r="A267" s="1">
        <v>1976</v>
      </c>
      <c r="B267" s="1">
        <v>2</v>
      </c>
      <c r="C267" s="1" t="s">
        <v>1103</v>
      </c>
      <c r="D267" s="81">
        <v>27825</v>
      </c>
      <c r="E267" s="81" t="s">
        <v>1263</v>
      </c>
      <c r="F267" s="1" t="str">
        <f t="shared" si="4"/>
        <v>&lt;a href='http://en.wikipedia.org/wiki/1976_South_African_Grand_Prix'&gt;1976_South_African_Grand_Prix&lt;/a&gt;</v>
      </c>
    </row>
    <row r="268" spans="1:6">
      <c r="A268" s="1">
        <v>1976</v>
      </c>
      <c r="B268" s="1">
        <v>3</v>
      </c>
      <c r="C268" s="1" t="s">
        <v>1265</v>
      </c>
      <c r="D268" s="81">
        <v>27847</v>
      </c>
      <c r="E268" s="81" t="s">
        <v>1267</v>
      </c>
      <c r="F268" s="1" t="str">
        <f t="shared" si="4"/>
        <v>&lt;a href='http://en.wikipedia.org/wiki/1976_United_States_Grand_Prix_West'&gt;1976_United_States_Grand_Prix_West&lt;/a&gt;</v>
      </c>
    </row>
    <row r="269" spans="1:6">
      <c r="A269" s="1">
        <v>1976</v>
      </c>
      <c r="B269" s="1">
        <v>4</v>
      </c>
      <c r="C269" s="1" t="s">
        <v>1125</v>
      </c>
      <c r="D269" s="81">
        <v>27882</v>
      </c>
      <c r="E269" s="81" t="s">
        <v>1268</v>
      </c>
      <c r="F269" s="1" t="str">
        <f t="shared" si="4"/>
        <v>&lt;a href='http://en.wikipedia.org/wiki/1976_Spanish_Grand_Prix'&gt;1976_Spanish_Grand_Prix&lt;/a&gt;</v>
      </c>
    </row>
    <row r="270" spans="1:6">
      <c r="A270" s="1">
        <v>1976</v>
      </c>
      <c r="B270" s="1">
        <v>5</v>
      </c>
      <c r="C270" s="1" t="s">
        <v>1211</v>
      </c>
      <c r="D270" s="81">
        <v>27896</v>
      </c>
      <c r="E270" s="81" t="s">
        <v>1269</v>
      </c>
      <c r="F270" s="1" t="str">
        <f t="shared" si="4"/>
        <v>&lt;a href='http://en.wikipedia.org/wiki/1976_Belgian_Grand_Prix'&gt;1976_Belgian_Grand_Prix&lt;/a&gt;</v>
      </c>
    </row>
    <row r="271" spans="1:6">
      <c r="A271" s="1">
        <v>1976</v>
      </c>
      <c r="B271" s="1">
        <v>6</v>
      </c>
      <c r="C271" s="1" t="s">
        <v>857</v>
      </c>
      <c r="D271" s="81">
        <v>27910</v>
      </c>
      <c r="E271" s="81" t="s">
        <v>1270</v>
      </c>
      <c r="F271" s="1" t="str">
        <f t="shared" si="4"/>
        <v>&lt;a href='http://en.wikipedia.org/wiki/1976_Monaco_Grand_Prix'&gt;1976_Monaco_Grand_Prix&lt;/a&gt;</v>
      </c>
    </row>
    <row r="272" spans="1:6">
      <c r="A272" s="1">
        <v>1976</v>
      </c>
      <c r="B272" s="1">
        <v>7</v>
      </c>
      <c r="C272" s="1" t="s">
        <v>1217</v>
      </c>
      <c r="D272" s="81">
        <v>27924</v>
      </c>
      <c r="E272" s="81" t="s">
        <v>1271</v>
      </c>
      <c r="F272" s="1" t="str">
        <f t="shared" si="4"/>
        <v>&lt;a href='http://en.wikipedia.org/wiki/1976_Swedish_Grand_Prix'&gt;1976_Swedish_Grand_Prix&lt;/a&gt;</v>
      </c>
    </row>
    <row r="273" spans="1:6">
      <c r="A273" s="1">
        <v>1976</v>
      </c>
      <c r="B273" s="1">
        <v>8</v>
      </c>
      <c r="C273" s="1" t="s">
        <v>1178</v>
      </c>
      <c r="D273" s="81">
        <v>27945</v>
      </c>
      <c r="E273" s="81" t="s">
        <v>1272</v>
      </c>
      <c r="F273" s="1" t="str">
        <f t="shared" si="4"/>
        <v>&lt;a href='http://en.wikipedia.org/wiki/1976_French_Grand_Prix'&gt;1976_French_Grand_Prix&lt;/a&gt;</v>
      </c>
    </row>
    <row r="274" spans="1:6">
      <c r="A274" s="1">
        <v>1976</v>
      </c>
      <c r="B274" s="1">
        <v>9</v>
      </c>
      <c r="C274" s="1" t="s">
        <v>1067</v>
      </c>
      <c r="D274" s="81">
        <v>27959</v>
      </c>
      <c r="E274" s="81" t="s">
        <v>1273</v>
      </c>
      <c r="F274" s="1" t="str">
        <f t="shared" si="4"/>
        <v>&lt;a href='http://en.wikipedia.org/wiki/1976_British_Grand_Prix'&gt;1976_British_Grand_Prix&lt;/a&gt;</v>
      </c>
    </row>
    <row r="275" spans="1:6">
      <c r="A275" s="1">
        <v>1976</v>
      </c>
      <c r="B275" s="1">
        <v>10</v>
      </c>
      <c r="C275" s="1" t="s">
        <v>894</v>
      </c>
      <c r="D275" s="81">
        <v>27973</v>
      </c>
      <c r="E275" s="81" t="s">
        <v>1274</v>
      </c>
      <c r="F275" s="1" t="str">
        <f t="shared" si="4"/>
        <v>&lt;a href='http://en.wikipedia.org/wiki/1976_German_Grand_Prix'&gt;1976_German_Grand_Prix&lt;/a&gt;</v>
      </c>
    </row>
    <row r="276" spans="1:6">
      <c r="A276" s="1">
        <v>1976</v>
      </c>
      <c r="B276" s="1">
        <v>11</v>
      </c>
      <c r="C276" s="1" t="s">
        <v>1166</v>
      </c>
      <c r="D276" s="81">
        <v>27987</v>
      </c>
      <c r="E276" s="81" t="s">
        <v>1275</v>
      </c>
      <c r="F276" s="1" t="str">
        <f t="shared" si="4"/>
        <v>&lt;a href='http://en.wikipedia.org/wiki/1976_Austrian_Grand_Prix'&gt;1976_Austrian_Grand_Prix&lt;/a&gt;</v>
      </c>
    </row>
    <row r="277" spans="1:6">
      <c r="A277" s="1">
        <v>1976</v>
      </c>
      <c r="B277" s="1">
        <v>12</v>
      </c>
      <c r="C277" s="1" t="s">
        <v>915</v>
      </c>
      <c r="D277" s="81">
        <v>28001</v>
      </c>
      <c r="E277" s="81" t="s">
        <v>1276</v>
      </c>
      <c r="F277" s="1" t="str">
        <f t="shared" si="4"/>
        <v>&lt;a href='http://en.wikipedia.org/wiki/1976_Dutch_Grand_Prix'&gt;1976_Dutch_Grand_Prix&lt;/a&gt;</v>
      </c>
    </row>
    <row r="278" spans="1:6">
      <c r="A278" s="1">
        <v>1976</v>
      </c>
      <c r="B278" s="1">
        <v>13</v>
      </c>
      <c r="C278" s="1" t="s">
        <v>883</v>
      </c>
      <c r="D278" s="81">
        <v>28015</v>
      </c>
      <c r="E278" s="81" t="s">
        <v>1277</v>
      </c>
      <c r="F278" s="1" t="str">
        <f t="shared" si="4"/>
        <v>&lt;a href='http://en.wikipedia.org/wiki/1976_Italian_Grand_Prix'&gt;1976_Italian_Grand_Prix&lt;/a&gt;</v>
      </c>
    </row>
    <row r="279" spans="1:6">
      <c r="A279" s="1">
        <v>1976</v>
      </c>
      <c r="B279" s="1">
        <v>14</v>
      </c>
      <c r="C279" s="1" t="s">
        <v>1116</v>
      </c>
      <c r="D279" s="81">
        <v>28036</v>
      </c>
      <c r="E279" s="81" t="s">
        <v>1278</v>
      </c>
      <c r="F279" s="1" t="str">
        <f t="shared" si="4"/>
        <v>&lt;a href='http://en.wikipedia.org/wiki/1976_Canadian_Grand_Prix'&gt;1976_Canadian_Grand_Prix&lt;/a&gt;</v>
      </c>
    </row>
    <row r="280" spans="1:6">
      <c r="A280" s="1">
        <v>1976</v>
      </c>
      <c r="B280" s="1">
        <v>15</v>
      </c>
      <c r="C280" s="1" t="s">
        <v>1031</v>
      </c>
      <c r="D280" s="81">
        <v>28043</v>
      </c>
      <c r="E280" s="81" t="s">
        <v>1279</v>
      </c>
      <c r="F280" s="1" t="str">
        <f t="shared" si="4"/>
        <v>&lt;a href='http://en.wikipedia.org/wiki/1976_United_States_Grand_Prix'&gt;1976_United_States_Grand_Prix&lt;/a&gt;</v>
      </c>
    </row>
    <row r="281" spans="1:6">
      <c r="A281" s="1">
        <v>1976</v>
      </c>
      <c r="B281" s="1">
        <v>16</v>
      </c>
      <c r="C281" s="1" t="s">
        <v>1281</v>
      </c>
      <c r="D281" s="81">
        <v>28057</v>
      </c>
      <c r="E281" s="81" t="s">
        <v>1284</v>
      </c>
      <c r="F281" s="1" t="str">
        <f t="shared" si="4"/>
        <v>&lt;a href='http://en.wikipedia.org/wiki/1976_Japanese_Grand_Prix'&gt;1976_Japanese_Grand_Prix&lt;/a&gt;</v>
      </c>
    </row>
    <row r="282" spans="1:6">
      <c r="A282" s="1">
        <v>1977</v>
      </c>
      <c r="B282" s="1">
        <v>1</v>
      </c>
      <c r="C282" s="1" t="s">
        <v>922</v>
      </c>
      <c r="D282" s="81">
        <v>28134</v>
      </c>
      <c r="E282" s="81" t="s">
        <v>1285</v>
      </c>
      <c r="F282" s="1" t="str">
        <f t="shared" si="4"/>
        <v>&lt;a href='http://en.wikipedia.org/wiki/1977_Argentine_Grand_Prix'&gt;1977_Argentine_Grand_Prix&lt;/a&gt;</v>
      </c>
    </row>
    <row r="283" spans="1:6">
      <c r="A283" s="1">
        <v>1977</v>
      </c>
      <c r="B283" s="1">
        <v>2</v>
      </c>
      <c r="C283" s="1" t="s">
        <v>1204</v>
      </c>
      <c r="D283" s="81">
        <v>28148</v>
      </c>
      <c r="E283" s="81" t="s">
        <v>1286</v>
      </c>
      <c r="F283" s="1" t="str">
        <f t="shared" si="4"/>
        <v>&lt;a href='http://en.wikipedia.org/wiki/1977_Brazilian_Grand_Prix'&gt;1977_Brazilian_Grand_Prix&lt;/a&gt;</v>
      </c>
    </row>
    <row r="284" spans="1:6">
      <c r="A284" s="1">
        <v>1977</v>
      </c>
      <c r="B284" s="1">
        <v>3</v>
      </c>
      <c r="C284" s="1" t="s">
        <v>1103</v>
      </c>
      <c r="D284" s="81">
        <v>28189</v>
      </c>
      <c r="E284" s="81" t="s">
        <v>1287</v>
      </c>
      <c r="F284" s="1" t="str">
        <f t="shared" si="4"/>
        <v>&lt;a href='http://en.wikipedia.org/wiki/1977_South_African_Grand_Prix'&gt;1977_South_African_Grand_Prix&lt;/a&gt;</v>
      </c>
    </row>
    <row r="285" spans="1:6">
      <c r="A285" s="1">
        <v>1977</v>
      </c>
      <c r="B285" s="1">
        <v>4</v>
      </c>
      <c r="C285" s="1" t="s">
        <v>1265</v>
      </c>
      <c r="D285" s="81">
        <v>28218</v>
      </c>
      <c r="E285" s="81" t="s">
        <v>1288</v>
      </c>
      <c r="F285" s="1" t="str">
        <f t="shared" si="4"/>
        <v>&lt;a href='http://en.wikipedia.org/wiki/1977_United_States_Grand_Prix_West'&gt;1977_United_States_Grand_Prix_West&lt;/a&gt;</v>
      </c>
    </row>
    <row r="286" spans="1:6">
      <c r="A286" s="1">
        <v>1977</v>
      </c>
      <c r="B286" s="1">
        <v>5</v>
      </c>
      <c r="C286" s="1" t="s">
        <v>1125</v>
      </c>
      <c r="D286" s="81">
        <v>28253</v>
      </c>
      <c r="E286" s="81" t="s">
        <v>1289</v>
      </c>
      <c r="F286" s="1" t="str">
        <f t="shared" si="4"/>
        <v>&lt;a href='http://en.wikipedia.org/wiki/1977_Spanish_Grand_Prix'&gt;1977_Spanish_Grand_Prix&lt;/a&gt;</v>
      </c>
    </row>
    <row r="287" spans="1:6">
      <c r="A287" s="1">
        <v>1977</v>
      </c>
      <c r="B287" s="1">
        <v>6</v>
      </c>
      <c r="C287" s="1" t="s">
        <v>857</v>
      </c>
      <c r="D287" s="81">
        <v>28267</v>
      </c>
      <c r="E287" s="81" t="s">
        <v>1290</v>
      </c>
      <c r="F287" s="1" t="str">
        <f t="shared" si="4"/>
        <v>&lt;a href='http://en.wikipedia.org/wiki/1977_Monaco_Grand_Prix'&gt;1977_Monaco_Grand_Prix&lt;/a&gt;</v>
      </c>
    </row>
    <row r="288" spans="1:6">
      <c r="A288" s="1">
        <v>1977</v>
      </c>
      <c r="B288" s="1">
        <v>7</v>
      </c>
      <c r="C288" s="1" t="s">
        <v>1211</v>
      </c>
      <c r="D288" s="81">
        <v>28281</v>
      </c>
      <c r="E288" s="81" t="s">
        <v>1291</v>
      </c>
      <c r="F288" s="1" t="str">
        <f t="shared" si="4"/>
        <v>&lt;a href='http://en.wikipedia.org/wiki/1977_Belgian_Grand_Prix'&gt;1977_Belgian_Grand_Prix&lt;/a&gt;</v>
      </c>
    </row>
    <row r="289" spans="1:6">
      <c r="A289" s="1">
        <v>1977</v>
      </c>
      <c r="B289" s="1">
        <v>8</v>
      </c>
      <c r="C289" s="1" t="s">
        <v>1217</v>
      </c>
      <c r="D289" s="81">
        <v>28295</v>
      </c>
      <c r="E289" s="81" t="s">
        <v>1292</v>
      </c>
      <c r="F289" s="1" t="str">
        <f t="shared" si="4"/>
        <v>&lt;a href='http://en.wikipedia.org/wiki/1977_Swedish_Grand_Prix'&gt;1977_Swedish_Grand_Prix&lt;/a&gt;</v>
      </c>
    </row>
    <row r="290" spans="1:6">
      <c r="A290" s="1">
        <v>1977</v>
      </c>
      <c r="B290" s="1">
        <v>9</v>
      </c>
      <c r="C290" s="1" t="s">
        <v>1238</v>
      </c>
      <c r="D290" s="81">
        <v>28309</v>
      </c>
      <c r="E290" s="81" t="s">
        <v>1293</v>
      </c>
      <c r="F290" s="1" t="str">
        <f t="shared" si="4"/>
        <v>&lt;a href='http://en.wikipedia.org/wiki/1977_French_Grand_Prix'&gt;1977_French_Grand_Prix&lt;/a&gt;</v>
      </c>
    </row>
    <row r="291" spans="1:6">
      <c r="A291" s="1">
        <v>1977</v>
      </c>
      <c r="B291" s="1">
        <v>10</v>
      </c>
      <c r="C291" s="1" t="s">
        <v>851</v>
      </c>
      <c r="D291" s="81">
        <v>28322</v>
      </c>
      <c r="E291" s="81" t="s">
        <v>1294</v>
      </c>
      <c r="F291" s="1" t="str">
        <f t="shared" si="4"/>
        <v>&lt;a href='http://en.wikipedia.org/wiki/1977_British_Grand_Prix'&gt;1977_British_Grand_Prix&lt;/a&gt;</v>
      </c>
    </row>
    <row r="292" spans="1:6">
      <c r="A292" s="1">
        <v>1977</v>
      </c>
      <c r="B292" s="1">
        <v>11</v>
      </c>
      <c r="C292" s="1" t="s">
        <v>1162</v>
      </c>
      <c r="D292" s="81">
        <v>28337</v>
      </c>
      <c r="E292" s="81" t="s">
        <v>1295</v>
      </c>
      <c r="F292" s="1" t="str">
        <f t="shared" si="4"/>
        <v>&lt;a href='http://en.wikipedia.org/wiki/1977_German_Grand_Prix'&gt;1977_German_Grand_Prix&lt;/a&gt;</v>
      </c>
    </row>
    <row r="293" spans="1:6">
      <c r="A293" s="1">
        <v>1977</v>
      </c>
      <c r="B293" s="1">
        <v>12</v>
      </c>
      <c r="C293" s="1" t="s">
        <v>1166</v>
      </c>
      <c r="D293" s="81">
        <v>28351</v>
      </c>
      <c r="E293" s="81" t="s">
        <v>1296</v>
      </c>
      <c r="F293" s="1" t="str">
        <f t="shared" si="4"/>
        <v>&lt;a href='http://en.wikipedia.org/wiki/1977_Austrian_Grand_Prix'&gt;1977_Austrian_Grand_Prix&lt;/a&gt;</v>
      </c>
    </row>
    <row r="294" spans="1:6">
      <c r="A294" s="1">
        <v>1977</v>
      </c>
      <c r="B294" s="1">
        <v>13</v>
      </c>
      <c r="C294" s="1" t="s">
        <v>915</v>
      </c>
      <c r="D294" s="81">
        <v>28365</v>
      </c>
      <c r="E294" s="81" t="s">
        <v>1297</v>
      </c>
      <c r="F294" s="1" t="str">
        <f t="shared" si="4"/>
        <v>&lt;a href='http://en.wikipedia.org/wiki/1977_Dutch_Grand_Prix'&gt;1977_Dutch_Grand_Prix&lt;/a&gt;</v>
      </c>
    </row>
    <row r="295" spans="1:6">
      <c r="A295" s="1">
        <v>1977</v>
      </c>
      <c r="B295" s="1">
        <v>14</v>
      </c>
      <c r="C295" s="1" t="s">
        <v>883</v>
      </c>
      <c r="D295" s="81">
        <v>28379</v>
      </c>
      <c r="E295" s="81" t="s">
        <v>1298</v>
      </c>
      <c r="F295" s="1" t="str">
        <f t="shared" si="4"/>
        <v>&lt;a href='http://en.wikipedia.org/wiki/1977_Italian_Grand_Prix'&gt;1977_Italian_Grand_Prix&lt;/a&gt;</v>
      </c>
    </row>
    <row r="296" spans="1:6">
      <c r="A296" s="1">
        <v>1977</v>
      </c>
      <c r="B296" s="1">
        <v>15</v>
      </c>
      <c r="C296" s="1" t="s">
        <v>1031</v>
      </c>
      <c r="D296" s="81">
        <v>28400</v>
      </c>
      <c r="E296" s="81" t="s">
        <v>1299</v>
      </c>
      <c r="F296" s="1" t="str">
        <f t="shared" si="4"/>
        <v>&lt;a href='http://en.wikipedia.org/wiki/1977_United_States_Grand_Prix'&gt;1977_United_States_Grand_Prix&lt;/a&gt;</v>
      </c>
    </row>
    <row r="297" spans="1:6">
      <c r="A297" s="1">
        <v>1977</v>
      </c>
      <c r="B297" s="1">
        <v>16</v>
      </c>
      <c r="C297" s="1" t="s">
        <v>1116</v>
      </c>
      <c r="D297" s="81">
        <v>28407</v>
      </c>
      <c r="E297" s="81" t="s">
        <v>1300</v>
      </c>
      <c r="F297" s="1" t="str">
        <f t="shared" si="4"/>
        <v>&lt;a href='http://en.wikipedia.org/wiki/1977_Canadian_Grand_Prix'&gt;1977_Canadian_Grand_Prix&lt;/a&gt;</v>
      </c>
    </row>
    <row r="298" spans="1:6">
      <c r="A298" s="1">
        <v>1977</v>
      </c>
      <c r="B298" s="1">
        <v>17</v>
      </c>
      <c r="C298" s="1" t="s">
        <v>1281</v>
      </c>
      <c r="D298" s="81">
        <v>28421</v>
      </c>
      <c r="E298" s="81" t="s">
        <v>1301</v>
      </c>
      <c r="F298" s="1" t="str">
        <f t="shared" si="4"/>
        <v>&lt;a href='http://en.wikipedia.org/wiki/1977_Japanese_Grand_Prix'&gt;1977_Japanese_Grand_Prix&lt;/a&gt;</v>
      </c>
    </row>
    <row r="299" spans="1:6">
      <c r="A299" s="1">
        <v>1978</v>
      </c>
      <c r="B299" s="1">
        <v>1</v>
      </c>
      <c r="C299" s="1" t="s">
        <v>922</v>
      </c>
      <c r="D299" s="81">
        <v>28505</v>
      </c>
      <c r="E299" s="81" t="s">
        <v>1302</v>
      </c>
      <c r="F299" s="1" t="str">
        <f t="shared" si="4"/>
        <v>&lt;a href='http://en.wikipedia.org/wiki/1978_Argentine_Grand_Prix'&gt;1978_Argentine_Grand_Prix&lt;/a&gt;</v>
      </c>
    </row>
    <row r="300" spans="1:6">
      <c r="A300" s="1">
        <v>1978</v>
      </c>
      <c r="B300" s="1">
        <v>2</v>
      </c>
      <c r="C300" s="1" t="s">
        <v>1303</v>
      </c>
      <c r="D300" s="81">
        <v>28519</v>
      </c>
      <c r="E300" s="81" t="s">
        <v>1306</v>
      </c>
      <c r="F300" s="1" t="str">
        <f t="shared" si="4"/>
        <v>&lt;a href='http://en.wikipedia.org/wiki/1978_Brazilian_Grand_Prix'&gt;1978_Brazilian_Grand_Prix&lt;/a&gt;</v>
      </c>
    </row>
    <row r="301" spans="1:6">
      <c r="A301" s="1">
        <v>1978</v>
      </c>
      <c r="B301" s="1">
        <v>3</v>
      </c>
      <c r="C301" s="1" t="s">
        <v>1103</v>
      </c>
      <c r="D301" s="81">
        <v>28553</v>
      </c>
      <c r="E301" s="81" t="s">
        <v>1307</v>
      </c>
      <c r="F301" s="1" t="str">
        <f t="shared" si="4"/>
        <v>&lt;a href='http://en.wikipedia.org/wiki/1978_South_African_Grand_Prix'&gt;1978_South_African_Grand_Prix&lt;/a&gt;</v>
      </c>
    </row>
    <row r="302" spans="1:6">
      <c r="A302" s="1">
        <v>1978</v>
      </c>
      <c r="B302" s="1">
        <v>4</v>
      </c>
      <c r="C302" s="1" t="s">
        <v>1265</v>
      </c>
      <c r="D302" s="81">
        <v>28582</v>
      </c>
      <c r="E302" s="81" t="s">
        <v>1308</v>
      </c>
      <c r="F302" s="1" t="str">
        <f t="shared" si="4"/>
        <v>&lt;a href='http://en.wikipedia.org/wiki/1978_United_States_Grand_Prix_West'&gt;1978_United_States_Grand_Prix_West&lt;/a&gt;</v>
      </c>
    </row>
    <row r="303" spans="1:6">
      <c r="A303" s="1">
        <v>1978</v>
      </c>
      <c r="B303" s="1">
        <v>5</v>
      </c>
      <c r="C303" s="1" t="s">
        <v>857</v>
      </c>
      <c r="D303" s="81">
        <v>28617</v>
      </c>
      <c r="E303" s="81" t="s">
        <v>1309</v>
      </c>
      <c r="F303" s="1" t="str">
        <f t="shared" si="4"/>
        <v>&lt;a href='http://en.wikipedia.org/wiki/1978_Monaco_Grand_Prix'&gt;1978_Monaco_Grand_Prix&lt;/a&gt;</v>
      </c>
    </row>
    <row r="304" spans="1:6">
      <c r="A304" s="1">
        <v>1978</v>
      </c>
      <c r="B304" s="1">
        <v>6</v>
      </c>
      <c r="C304" s="1" t="s">
        <v>1211</v>
      </c>
      <c r="D304" s="81">
        <v>28631</v>
      </c>
      <c r="E304" s="81" t="s">
        <v>1310</v>
      </c>
      <c r="F304" s="1" t="str">
        <f t="shared" si="4"/>
        <v>&lt;a href='http://en.wikipedia.org/wiki/1978_Belgian_Grand_Prix'&gt;1978_Belgian_Grand_Prix&lt;/a&gt;</v>
      </c>
    </row>
    <row r="305" spans="1:6">
      <c r="A305" s="1">
        <v>1978</v>
      </c>
      <c r="B305" s="1">
        <v>7</v>
      </c>
      <c r="C305" s="1" t="s">
        <v>1125</v>
      </c>
      <c r="D305" s="81">
        <v>28645</v>
      </c>
      <c r="E305" s="81" t="s">
        <v>1311</v>
      </c>
      <c r="F305" s="1" t="str">
        <f t="shared" si="4"/>
        <v>&lt;a href='http://en.wikipedia.org/wiki/1978_Spanish_Grand_Prix'&gt;1978_Spanish_Grand_Prix&lt;/a&gt;</v>
      </c>
    </row>
    <row r="306" spans="1:6">
      <c r="A306" s="1">
        <v>1978</v>
      </c>
      <c r="B306" s="1">
        <v>8</v>
      </c>
      <c r="C306" s="1" t="s">
        <v>1217</v>
      </c>
      <c r="D306" s="81">
        <v>28658</v>
      </c>
      <c r="E306" s="81" t="s">
        <v>1312</v>
      </c>
      <c r="F306" s="1" t="str">
        <f t="shared" si="4"/>
        <v>&lt;a href='http://en.wikipedia.org/wiki/1978_Swedish_Grand_Prix'&gt;1978_Swedish_Grand_Prix&lt;/a&gt;</v>
      </c>
    </row>
    <row r="307" spans="1:6">
      <c r="A307" s="1">
        <v>1978</v>
      </c>
      <c r="B307" s="1">
        <v>9</v>
      </c>
      <c r="C307" s="1" t="s">
        <v>1178</v>
      </c>
      <c r="D307" s="81">
        <v>28673</v>
      </c>
      <c r="E307" s="81" t="s">
        <v>1313</v>
      </c>
      <c r="F307" s="1" t="str">
        <f t="shared" si="4"/>
        <v>&lt;a href='http://en.wikipedia.org/wiki/1978_French_Grand_Prix'&gt;1978_French_Grand_Prix&lt;/a&gt;</v>
      </c>
    </row>
    <row r="308" spans="1:6">
      <c r="A308" s="1">
        <v>1978</v>
      </c>
      <c r="B308" s="1">
        <v>10</v>
      </c>
      <c r="C308" s="1" t="s">
        <v>1067</v>
      </c>
      <c r="D308" s="81">
        <v>28687</v>
      </c>
      <c r="E308" s="81" t="s">
        <v>1314</v>
      </c>
      <c r="F308" s="1" t="str">
        <f t="shared" si="4"/>
        <v>&lt;a href='http://en.wikipedia.org/wiki/1978_British_Grand_Prix'&gt;1978_British_Grand_Prix&lt;/a&gt;</v>
      </c>
    </row>
    <row r="309" spans="1:6">
      <c r="A309" s="1">
        <v>1978</v>
      </c>
      <c r="B309" s="1">
        <v>11</v>
      </c>
      <c r="C309" s="1" t="s">
        <v>1162</v>
      </c>
      <c r="D309" s="81">
        <v>28701</v>
      </c>
      <c r="E309" s="81" t="s">
        <v>1315</v>
      </c>
      <c r="F309" s="1" t="str">
        <f t="shared" si="4"/>
        <v>&lt;a href='http://en.wikipedia.org/wiki/1978_German_Grand_Prix'&gt;1978_German_Grand_Prix&lt;/a&gt;</v>
      </c>
    </row>
    <row r="310" spans="1:6">
      <c r="A310" s="1">
        <v>1978</v>
      </c>
      <c r="B310" s="1">
        <v>12</v>
      </c>
      <c r="C310" s="1" t="s">
        <v>1166</v>
      </c>
      <c r="D310" s="81">
        <v>28715</v>
      </c>
      <c r="E310" s="81" t="s">
        <v>1316</v>
      </c>
      <c r="F310" s="1" t="str">
        <f t="shared" si="4"/>
        <v>&lt;a href='http://en.wikipedia.org/wiki/1978_Austrian_Grand_Prix'&gt;1978_Austrian_Grand_Prix&lt;/a&gt;</v>
      </c>
    </row>
    <row r="311" spans="1:6">
      <c r="A311" s="1">
        <v>1978</v>
      </c>
      <c r="B311" s="1">
        <v>13</v>
      </c>
      <c r="C311" s="1" t="s">
        <v>915</v>
      </c>
      <c r="D311" s="81">
        <v>28729</v>
      </c>
      <c r="E311" s="81" t="s">
        <v>1317</v>
      </c>
      <c r="F311" s="1" t="str">
        <f t="shared" si="4"/>
        <v>&lt;a href='http://en.wikipedia.org/wiki/1978_Dutch_Grand_Prix'&gt;1978_Dutch_Grand_Prix&lt;/a&gt;</v>
      </c>
    </row>
    <row r="312" spans="1:6">
      <c r="A312" s="1">
        <v>1978</v>
      </c>
      <c r="B312" s="1">
        <v>14</v>
      </c>
      <c r="C312" s="1" t="s">
        <v>883</v>
      </c>
      <c r="D312" s="81">
        <v>28743</v>
      </c>
      <c r="E312" s="81" t="s">
        <v>1318</v>
      </c>
      <c r="F312" s="1" t="str">
        <f t="shared" si="4"/>
        <v>&lt;a href='http://en.wikipedia.org/wiki/1978_Italian_Grand_Prix'&gt;1978_Italian_Grand_Prix&lt;/a&gt;</v>
      </c>
    </row>
    <row r="313" spans="1:6">
      <c r="A313" s="1">
        <v>1978</v>
      </c>
      <c r="B313" s="1">
        <v>15</v>
      </c>
      <c r="C313" s="1" t="s">
        <v>1031</v>
      </c>
      <c r="D313" s="81">
        <v>28764</v>
      </c>
      <c r="E313" s="81" t="s">
        <v>1319</v>
      </c>
      <c r="F313" s="1" t="str">
        <f t="shared" si="4"/>
        <v>&lt;a href='http://en.wikipedia.org/wiki/1978_United_States_Grand_Prix'&gt;1978_United_States_Grand_Prix&lt;/a&gt;</v>
      </c>
    </row>
    <row r="314" spans="1:6">
      <c r="A314" s="1">
        <v>1978</v>
      </c>
      <c r="B314" s="1">
        <v>16</v>
      </c>
      <c r="C314" s="1" t="s">
        <v>1320</v>
      </c>
      <c r="D314" s="81">
        <v>28771</v>
      </c>
      <c r="E314" s="81" t="s">
        <v>1323</v>
      </c>
      <c r="F314" s="1" t="str">
        <f t="shared" si="4"/>
        <v>&lt;a href='http://en.wikipedia.org/wiki/1978_Canadian_Grand_Prix'&gt;1978_Canadian_Grand_Prix&lt;/a&gt;</v>
      </c>
    </row>
    <row r="315" spans="1:6">
      <c r="A315" s="1">
        <v>1979</v>
      </c>
      <c r="B315" s="1">
        <v>1</v>
      </c>
      <c r="C315" s="1" t="s">
        <v>922</v>
      </c>
      <c r="D315" s="81">
        <v>28876</v>
      </c>
      <c r="E315" s="81" t="s">
        <v>1324</v>
      </c>
      <c r="F315" s="1" t="str">
        <f t="shared" si="4"/>
        <v>&lt;a href='http://en.wikipedia.org/wiki/1979_Argentine_Grand_Prix'&gt;1979_Argentine_Grand_Prix&lt;/a&gt;</v>
      </c>
    </row>
    <row r="316" spans="1:6">
      <c r="A316" s="1">
        <v>1979</v>
      </c>
      <c r="B316" s="1">
        <v>2</v>
      </c>
      <c r="C316" s="1" t="s">
        <v>1204</v>
      </c>
      <c r="D316" s="81">
        <v>28890</v>
      </c>
      <c r="E316" s="81" t="s">
        <v>1325</v>
      </c>
      <c r="F316" s="1" t="str">
        <f t="shared" si="4"/>
        <v>&lt;a href='http://en.wikipedia.org/wiki/1979_Brazilian_Grand_Prix'&gt;1979_Brazilian_Grand_Prix&lt;/a&gt;</v>
      </c>
    </row>
    <row r="317" spans="1:6">
      <c r="A317" s="1">
        <v>1979</v>
      </c>
      <c r="B317" s="1">
        <v>3</v>
      </c>
      <c r="C317" s="1" t="s">
        <v>1103</v>
      </c>
      <c r="D317" s="81">
        <v>28917</v>
      </c>
      <c r="E317" s="81" t="s">
        <v>1326</v>
      </c>
      <c r="F317" s="1" t="str">
        <f t="shared" si="4"/>
        <v>&lt;a href='http://en.wikipedia.org/wiki/1979_South_African_Grand_Prix'&gt;1979_South_African_Grand_Prix&lt;/a&gt;</v>
      </c>
    </row>
    <row r="318" spans="1:6">
      <c r="A318" s="1">
        <v>1979</v>
      </c>
      <c r="B318" s="1">
        <v>4</v>
      </c>
      <c r="C318" s="1" t="s">
        <v>1265</v>
      </c>
      <c r="D318" s="81">
        <v>28953</v>
      </c>
      <c r="E318" s="81" t="s">
        <v>1327</v>
      </c>
      <c r="F318" s="1" t="str">
        <f t="shared" si="4"/>
        <v>&lt;a href='http://en.wikipedia.org/wiki/1979_United_States_Grand_Prix_West'&gt;1979_United_States_Grand_Prix_West&lt;/a&gt;</v>
      </c>
    </row>
    <row r="319" spans="1:6">
      <c r="A319" s="1">
        <v>1979</v>
      </c>
      <c r="B319" s="1">
        <v>5</v>
      </c>
      <c r="C319" s="1" t="s">
        <v>1125</v>
      </c>
      <c r="D319" s="81">
        <v>28974</v>
      </c>
      <c r="E319" s="81" t="s">
        <v>1328</v>
      </c>
      <c r="F319" s="1" t="str">
        <f t="shared" si="4"/>
        <v>&lt;a href='http://en.wikipedia.org/wiki/1979_Spanish_Grand_Prix'&gt;1979_Spanish_Grand_Prix&lt;/a&gt;</v>
      </c>
    </row>
    <row r="320" spans="1:6">
      <c r="A320" s="1">
        <v>1979</v>
      </c>
      <c r="B320" s="1">
        <v>6</v>
      </c>
      <c r="C320" s="1" t="s">
        <v>1211</v>
      </c>
      <c r="D320" s="81">
        <v>28988</v>
      </c>
      <c r="E320" s="81" t="s">
        <v>1329</v>
      </c>
      <c r="F320" s="1" t="str">
        <f t="shared" si="4"/>
        <v>&lt;a href='http://en.wikipedia.org/wiki/1979_Belgian_Grand_Prix'&gt;1979_Belgian_Grand_Prix&lt;/a&gt;</v>
      </c>
    </row>
    <row r="321" spans="1:6">
      <c r="A321" s="1">
        <v>1979</v>
      </c>
      <c r="B321" s="1">
        <v>7</v>
      </c>
      <c r="C321" s="1" t="s">
        <v>857</v>
      </c>
      <c r="D321" s="81">
        <v>29002</v>
      </c>
      <c r="E321" s="81" t="s">
        <v>1330</v>
      </c>
      <c r="F321" s="1" t="str">
        <f t="shared" si="4"/>
        <v>&lt;a href='http://en.wikipedia.org/wiki/1979_Monaco_Grand_Prix'&gt;1979_Monaco_Grand_Prix&lt;/a&gt;</v>
      </c>
    </row>
    <row r="322" spans="1:6">
      <c r="A322" s="1">
        <v>1979</v>
      </c>
      <c r="B322" s="1">
        <v>8</v>
      </c>
      <c r="C322" s="1" t="s">
        <v>1238</v>
      </c>
      <c r="D322" s="81">
        <v>29037</v>
      </c>
      <c r="E322" s="81" t="s">
        <v>1331</v>
      </c>
      <c r="F322" s="1" t="str">
        <f t="shared" si="4"/>
        <v>&lt;a href='http://en.wikipedia.org/wiki/1979_French_Grand_Prix'&gt;1979_French_Grand_Prix&lt;/a&gt;</v>
      </c>
    </row>
    <row r="323" spans="1:6">
      <c r="A323" s="1">
        <v>1979</v>
      </c>
      <c r="B323" s="1">
        <v>9</v>
      </c>
      <c r="C323" s="1" t="s">
        <v>851</v>
      </c>
      <c r="D323" s="81">
        <v>29050</v>
      </c>
      <c r="E323" s="81" t="s">
        <v>1332</v>
      </c>
      <c r="F323" s="1" t="str">
        <f t="shared" ref="F323:F386" si="5">"&lt;a href='"&amp;E323&amp;"'&gt;"&amp;MID(E323,30,LEN(E323)-29)&amp;"&lt;/a&gt;"</f>
        <v>&lt;a href='http://en.wikipedia.org/wiki/1979_British_Grand_Prix'&gt;1979_British_Grand_Prix&lt;/a&gt;</v>
      </c>
    </row>
    <row r="324" spans="1:6">
      <c r="A324" s="1">
        <v>1979</v>
      </c>
      <c r="B324" s="1">
        <v>10</v>
      </c>
      <c r="C324" s="1" t="s">
        <v>1162</v>
      </c>
      <c r="D324" s="81">
        <v>29065</v>
      </c>
      <c r="E324" s="81" t="s">
        <v>1333</v>
      </c>
      <c r="F324" s="1" t="str">
        <f t="shared" si="5"/>
        <v>&lt;a href='http://en.wikipedia.org/wiki/1979_German_Grand_Prix'&gt;1979_German_Grand_Prix&lt;/a&gt;</v>
      </c>
    </row>
    <row r="325" spans="1:6">
      <c r="A325" s="1">
        <v>1979</v>
      </c>
      <c r="B325" s="1">
        <v>11</v>
      </c>
      <c r="C325" s="1" t="s">
        <v>1166</v>
      </c>
      <c r="D325" s="81">
        <v>29079</v>
      </c>
      <c r="E325" s="81" t="s">
        <v>1334</v>
      </c>
      <c r="F325" s="1" t="str">
        <f t="shared" si="5"/>
        <v>&lt;a href='http://en.wikipedia.org/wiki/1979_Austrian_Grand_Prix'&gt;1979_Austrian_Grand_Prix&lt;/a&gt;</v>
      </c>
    </row>
    <row r="326" spans="1:6">
      <c r="A326" s="1">
        <v>1979</v>
      </c>
      <c r="B326" s="1">
        <v>12</v>
      </c>
      <c r="C326" s="1" t="s">
        <v>915</v>
      </c>
      <c r="D326" s="81">
        <v>29093</v>
      </c>
      <c r="E326" s="81" t="s">
        <v>1335</v>
      </c>
      <c r="F326" s="1" t="str">
        <f t="shared" si="5"/>
        <v>&lt;a href='http://en.wikipedia.org/wiki/1979_Dutch_Grand_Prix'&gt;1979_Dutch_Grand_Prix&lt;/a&gt;</v>
      </c>
    </row>
    <row r="327" spans="1:6">
      <c r="A327" s="1">
        <v>1979</v>
      </c>
      <c r="B327" s="1">
        <v>13</v>
      </c>
      <c r="C327" s="1" t="s">
        <v>883</v>
      </c>
      <c r="D327" s="81">
        <v>29107</v>
      </c>
      <c r="E327" s="81" t="s">
        <v>1336</v>
      </c>
      <c r="F327" s="1" t="str">
        <f t="shared" si="5"/>
        <v>&lt;a href='http://en.wikipedia.org/wiki/1979_Italian_Grand_Prix'&gt;1979_Italian_Grand_Prix&lt;/a&gt;</v>
      </c>
    </row>
    <row r="328" spans="1:6">
      <c r="A328" s="1">
        <v>1979</v>
      </c>
      <c r="B328" s="1">
        <v>14</v>
      </c>
      <c r="C328" s="1" t="s">
        <v>1320</v>
      </c>
      <c r="D328" s="81">
        <v>29128</v>
      </c>
      <c r="E328" s="81" t="s">
        <v>1337</v>
      </c>
      <c r="F328" s="1" t="str">
        <f t="shared" si="5"/>
        <v>&lt;a href='http://en.wikipedia.org/wiki/1979_Canadian_Grand_Prix'&gt;1979_Canadian_Grand_Prix&lt;/a&gt;</v>
      </c>
    </row>
    <row r="329" spans="1:6">
      <c r="A329" s="1">
        <v>1979</v>
      </c>
      <c r="B329" s="1">
        <v>15</v>
      </c>
      <c r="C329" s="1" t="s">
        <v>1031</v>
      </c>
      <c r="D329" s="81">
        <v>29135</v>
      </c>
      <c r="E329" s="81" t="s">
        <v>1338</v>
      </c>
      <c r="F329" s="1" t="str">
        <f t="shared" si="5"/>
        <v>&lt;a href='http://en.wikipedia.org/wiki/1979_United_States_Grand_Prix'&gt;1979_United_States_Grand_Prix&lt;/a&gt;</v>
      </c>
    </row>
    <row r="330" spans="1:6">
      <c r="A330" s="1">
        <v>1980</v>
      </c>
      <c r="B330" s="1">
        <v>1</v>
      </c>
      <c r="C330" s="1" t="s">
        <v>922</v>
      </c>
      <c r="D330" s="81">
        <v>29233</v>
      </c>
      <c r="E330" s="81" t="s">
        <v>1339</v>
      </c>
      <c r="F330" s="1" t="str">
        <f t="shared" si="5"/>
        <v>&lt;a href='http://en.wikipedia.org/wiki/1980_Argentine_Grand_Prix'&gt;1980_Argentine_Grand_Prix&lt;/a&gt;</v>
      </c>
    </row>
    <row r="331" spans="1:6">
      <c r="A331" s="1">
        <v>1980</v>
      </c>
      <c r="B331" s="1">
        <v>2</v>
      </c>
      <c r="C331" s="1" t="s">
        <v>1204</v>
      </c>
      <c r="D331" s="81">
        <v>29247</v>
      </c>
      <c r="E331" s="81" t="s">
        <v>1340</v>
      </c>
      <c r="F331" s="1" t="str">
        <f t="shared" si="5"/>
        <v>&lt;a href='http://en.wikipedia.org/wiki/1980_Brazilian_Grand_Prix'&gt;1980_Brazilian_Grand_Prix&lt;/a&gt;</v>
      </c>
    </row>
    <row r="332" spans="1:6">
      <c r="A332" s="1">
        <v>1980</v>
      </c>
      <c r="B332" s="1">
        <v>3</v>
      </c>
      <c r="C332" s="1" t="s">
        <v>1103</v>
      </c>
      <c r="D332" s="81">
        <v>29281</v>
      </c>
      <c r="E332" s="81" t="s">
        <v>1341</v>
      </c>
      <c r="F332" s="1" t="str">
        <f t="shared" si="5"/>
        <v>&lt;a href='http://en.wikipedia.org/wiki/1980_South_African_Grand_Prix'&gt;1980_South_African_Grand_Prix&lt;/a&gt;</v>
      </c>
    </row>
    <row r="333" spans="1:6">
      <c r="A333" s="1">
        <v>1980</v>
      </c>
      <c r="B333" s="1">
        <v>4</v>
      </c>
      <c r="C333" s="1" t="s">
        <v>1265</v>
      </c>
      <c r="D333" s="81">
        <v>29310</v>
      </c>
      <c r="E333" s="81" t="s">
        <v>1342</v>
      </c>
      <c r="F333" s="1" t="str">
        <f t="shared" si="5"/>
        <v>&lt;a href='http://en.wikipedia.org/wiki/1980_United_States_Grand_Prix_West'&gt;1980_United_States_Grand_Prix_West&lt;/a&gt;</v>
      </c>
    </row>
    <row r="334" spans="1:6">
      <c r="A334" s="1">
        <v>1980</v>
      </c>
      <c r="B334" s="1">
        <v>5</v>
      </c>
      <c r="C334" s="1" t="s">
        <v>1211</v>
      </c>
      <c r="D334" s="81">
        <v>29345</v>
      </c>
      <c r="E334" s="81" t="s">
        <v>1343</v>
      </c>
      <c r="F334" s="1" t="str">
        <f t="shared" si="5"/>
        <v>&lt;a href='http://en.wikipedia.org/wiki/1980_Belgian_Grand_Prix'&gt;1980_Belgian_Grand_Prix&lt;/a&gt;</v>
      </c>
    </row>
    <row r="335" spans="1:6">
      <c r="A335" s="1">
        <v>1980</v>
      </c>
      <c r="B335" s="1">
        <v>6</v>
      </c>
      <c r="C335" s="1" t="s">
        <v>857</v>
      </c>
      <c r="D335" s="81">
        <v>29359</v>
      </c>
      <c r="E335" s="81" t="s">
        <v>1344</v>
      </c>
      <c r="F335" s="1" t="str">
        <f t="shared" si="5"/>
        <v>&lt;a href='http://en.wikipedia.org/wiki/1980_Monaco_Grand_Prix'&gt;1980_Monaco_Grand_Prix&lt;/a&gt;</v>
      </c>
    </row>
    <row r="336" spans="1:6">
      <c r="A336" s="1">
        <v>1980</v>
      </c>
      <c r="B336" s="1">
        <v>7</v>
      </c>
      <c r="C336" s="1" t="s">
        <v>1178</v>
      </c>
      <c r="D336" s="81">
        <v>29401</v>
      </c>
      <c r="E336" s="81" t="s">
        <v>1345</v>
      </c>
      <c r="F336" s="1" t="str">
        <f t="shared" si="5"/>
        <v>&lt;a href='http://en.wikipedia.org/wiki/1980_French_Grand_Prix'&gt;1980_French_Grand_Prix&lt;/a&gt;</v>
      </c>
    </row>
    <row r="337" spans="1:6">
      <c r="A337" s="1">
        <v>1980</v>
      </c>
      <c r="B337" s="1">
        <v>8</v>
      </c>
      <c r="C337" s="1" t="s">
        <v>1067</v>
      </c>
      <c r="D337" s="81">
        <v>29415</v>
      </c>
      <c r="E337" s="81" t="s">
        <v>1346</v>
      </c>
      <c r="F337" s="1" t="str">
        <f t="shared" si="5"/>
        <v>&lt;a href='http://en.wikipedia.org/wiki/1980_British_Grand_Prix'&gt;1980_British_Grand_Prix&lt;/a&gt;</v>
      </c>
    </row>
    <row r="338" spans="1:6">
      <c r="A338" s="1">
        <v>1980</v>
      </c>
      <c r="B338" s="1">
        <v>9</v>
      </c>
      <c r="C338" s="1" t="s">
        <v>1162</v>
      </c>
      <c r="D338" s="81">
        <v>29443</v>
      </c>
      <c r="E338" s="81" t="s">
        <v>1347</v>
      </c>
      <c r="F338" s="1" t="str">
        <f t="shared" si="5"/>
        <v>&lt;a href='http://en.wikipedia.org/wiki/1980_German_Grand_Prix'&gt;1980_German_Grand_Prix&lt;/a&gt;</v>
      </c>
    </row>
    <row r="339" spans="1:6">
      <c r="A339" s="1">
        <v>1980</v>
      </c>
      <c r="B339" s="1">
        <v>10</v>
      </c>
      <c r="C339" s="1" t="s">
        <v>1166</v>
      </c>
      <c r="D339" s="81">
        <v>29450</v>
      </c>
      <c r="E339" s="81" t="s">
        <v>1348</v>
      </c>
      <c r="F339" s="1" t="str">
        <f t="shared" si="5"/>
        <v>&lt;a href='http://en.wikipedia.org/wiki/1980_Austrian_Grand_Prix'&gt;1980_Austrian_Grand_Prix&lt;/a&gt;</v>
      </c>
    </row>
    <row r="340" spans="1:6">
      <c r="A340" s="1">
        <v>1980</v>
      </c>
      <c r="B340" s="1">
        <v>11</v>
      </c>
      <c r="C340" s="1" t="s">
        <v>915</v>
      </c>
      <c r="D340" s="81">
        <v>29464</v>
      </c>
      <c r="E340" s="81" t="s">
        <v>1349</v>
      </c>
      <c r="F340" s="1" t="str">
        <f t="shared" si="5"/>
        <v>&lt;a href='http://en.wikipedia.org/wiki/1980_Dutch_Grand_Prix'&gt;1980_Dutch_Grand_Prix&lt;/a&gt;</v>
      </c>
    </row>
    <row r="341" spans="1:6">
      <c r="A341" s="1">
        <v>1980</v>
      </c>
      <c r="B341" s="1">
        <v>12</v>
      </c>
      <c r="C341" s="1" t="s">
        <v>1350</v>
      </c>
      <c r="D341" s="81">
        <v>29478</v>
      </c>
      <c r="E341" s="81" t="s">
        <v>1353</v>
      </c>
      <c r="F341" s="1" t="str">
        <f t="shared" si="5"/>
        <v>&lt;a href='http://en.wikipedia.org/wiki/1980_Italian_Grand_Prix'&gt;1980_Italian_Grand_Prix&lt;/a&gt;</v>
      </c>
    </row>
    <row r="342" spans="1:6">
      <c r="A342" s="1">
        <v>1980</v>
      </c>
      <c r="B342" s="1">
        <v>13</v>
      </c>
      <c r="C342" s="1" t="s">
        <v>1320</v>
      </c>
      <c r="D342" s="81">
        <v>29492</v>
      </c>
      <c r="E342" s="81" t="s">
        <v>1354</v>
      </c>
      <c r="F342" s="1" t="str">
        <f t="shared" si="5"/>
        <v>&lt;a href='http://en.wikipedia.org/wiki/1980_Canadian_Grand_Prix'&gt;1980_Canadian_Grand_Prix&lt;/a&gt;</v>
      </c>
    </row>
    <row r="343" spans="1:6">
      <c r="A343" s="1">
        <v>1980</v>
      </c>
      <c r="B343" s="1">
        <v>14</v>
      </c>
      <c r="C343" s="1" t="s">
        <v>1031</v>
      </c>
      <c r="D343" s="81">
        <v>29499</v>
      </c>
      <c r="E343" s="81" t="s">
        <v>1355</v>
      </c>
      <c r="F343" s="1" t="str">
        <f t="shared" si="5"/>
        <v>&lt;a href='http://en.wikipedia.org/wiki/1980_United_States_Grand_Prix'&gt;1980_United_States_Grand_Prix&lt;/a&gt;</v>
      </c>
    </row>
    <row r="344" spans="1:6">
      <c r="A344" s="1">
        <v>1981</v>
      </c>
      <c r="B344" s="1">
        <v>1</v>
      </c>
      <c r="C344" s="1" t="s">
        <v>1265</v>
      </c>
      <c r="D344" s="81">
        <v>29660</v>
      </c>
      <c r="E344" s="81" t="s">
        <v>1356</v>
      </c>
      <c r="F344" s="1" t="str">
        <f t="shared" si="5"/>
        <v>&lt;a href='http://en.wikipedia.org/wiki/1981_United_States_Grand_Prix_West'&gt;1981_United_States_Grand_Prix_West&lt;/a&gt;</v>
      </c>
    </row>
    <row r="345" spans="1:6">
      <c r="A345" s="1">
        <v>1981</v>
      </c>
      <c r="B345" s="1">
        <v>2</v>
      </c>
      <c r="C345" s="1" t="s">
        <v>1303</v>
      </c>
      <c r="D345" s="81">
        <v>29674</v>
      </c>
      <c r="E345" s="81" t="s">
        <v>1357</v>
      </c>
      <c r="F345" s="1" t="str">
        <f t="shared" si="5"/>
        <v>&lt;a href='http://en.wikipedia.org/wiki/1981_Brazilian_Grand_Prix'&gt;1981_Brazilian_Grand_Prix&lt;/a&gt;</v>
      </c>
    </row>
    <row r="346" spans="1:6">
      <c r="A346" s="1">
        <v>1981</v>
      </c>
      <c r="B346" s="1">
        <v>3</v>
      </c>
      <c r="C346" s="1" t="s">
        <v>922</v>
      </c>
      <c r="D346" s="81">
        <v>29688</v>
      </c>
      <c r="E346" s="81" t="s">
        <v>1358</v>
      </c>
      <c r="F346" s="1" t="str">
        <f t="shared" si="5"/>
        <v>&lt;a href='http://en.wikipedia.org/wiki/1981_Argentine_Grand_Prix'&gt;1981_Argentine_Grand_Prix&lt;/a&gt;</v>
      </c>
    </row>
    <row r="347" spans="1:6">
      <c r="A347" s="1">
        <v>1981</v>
      </c>
      <c r="B347" s="1">
        <v>4</v>
      </c>
      <c r="C347" s="1" t="s">
        <v>1350</v>
      </c>
      <c r="D347" s="81">
        <v>29709</v>
      </c>
      <c r="E347" s="81" t="s">
        <v>1360</v>
      </c>
      <c r="F347" s="1" t="str">
        <f t="shared" si="5"/>
        <v>&lt;a href='http://en.wikipedia.org/wiki/1981_San_Marino_Grand_Prix'&gt;1981_San_Marino_Grand_Prix&lt;/a&gt;</v>
      </c>
    </row>
    <row r="348" spans="1:6">
      <c r="A348" s="1">
        <v>1981</v>
      </c>
      <c r="B348" s="1">
        <v>5</v>
      </c>
      <c r="C348" s="1" t="s">
        <v>1211</v>
      </c>
      <c r="D348" s="81">
        <v>29723</v>
      </c>
      <c r="E348" s="81" t="s">
        <v>1361</v>
      </c>
      <c r="F348" s="1" t="str">
        <f t="shared" si="5"/>
        <v>&lt;a href='http://en.wikipedia.org/wiki/1981_Belgian_Grand_Prix'&gt;1981_Belgian_Grand_Prix&lt;/a&gt;</v>
      </c>
    </row>
    <row r="349" spans="1:6">
      <c r="A349" s="1">
        <v>1981</v>
      </c>
      <c r="B349" s="1">
        <v>6</v>
      </c>
      <c r="C349" s="1" t="s">
        <v>857</v>
      </c>
      <c r="D349" s="81">
        <v>29737</v>
      </c>
      <c r="E349" s="81" t="s">
        <v>1362</v>
      </c>
      <c r="F349" s="1" t="str">
        <f t="shared" si="5"/>
        <v>&lt;a href='http://en.wikipedia.org/wiki/1981_Monaco_Grand_Prix'&gt;1981_Monaco_Grand_Prix&lt;/a&gt;</v>
      </c>
    </row>
    <row r="350" spans="1:6">
      <c r="A350" s="1">
        <v>1981</v>
      </c>
      <c r="B350" s="1">
        <v>7</v>
      </c>
      <c r="C350" s="1" t="s">
        <v>1125</v>
      </c>
      <c r="D350" s="81">
        <v>29758</v>
      </c>
      <c r="E350" s="81" t="s">
        <v>1363</v>
      </c>
      <c r="F350" s="1" t="str">
        <f t="shared" si="5"/>
        <v>&lt;a href='http://en.wikipedia.org/wiki/1981_Spanish_Grand_Prix'&gt;1981_Spanish_Grand_Prix&lt;/a&gt;</v>
      </c>
    </row>
    <row r="351" spans="1:6">
      <c r="A351" s="1">
        <v>1981</v>
      </c>
      <c r="B351" s="1">
        <v>8</v>
      </c>
      <c r="C351" s="1" t="s">
        <v>1238</v>
      </c>
      <c r="D351" s="81">
        <v>29772</v>
      </c>
      <c r="E351" s="81" t="s">
        <v>1364</v>
      </c>
      <c r="F351" s="1" t="str">
        <f t="shared" si="5"/>
        <v>&lt;a href='http://en.wikipedia.org/wiki/1981_French_Grand_Prix'&gt;1981_French_Grand_Prix&lt;/a&gt;</v>
      </c>
    </row>
    <row r="352" spans="1:6">
      <c r="A352" s="1">
        <v>1981</v>
      </c>
      <c r="B352" s="1">
        <v>9</v>
      </c>
      <c r="C352" s="1" t="s">
        <v>851</v>
      </c>
      <c r="D352" s="81">
        <v>29785</v>
      </c>
      <c r="E352" s="81" t="s">
        <v>1365</v>
      </c>
      <c r="F352" s="1" t="str">
        <f t="shared" si="5"/>
        <v>&lt;a href='http://en.wikipedia.org/wiki/1981_British_Grand_Prix'&gt;1981_British_Grand_Prix&lt;/a&gt;</v>
      </c>
    </row>
    <row r="353" spans="1:6">
      <c r="A353" s="1">
        <v>1981</v>
      </c>
      <c r="B353" s="1">
        <v>10</v>
      </c>
      <c r="C353" s="1" t="s">
        <v>1162</v>
      </c>
      <c r="D353" s="81">
        <v>29800</v>
      </c>
      <c r="E353" s="81" t="s">
        <v>1366</v>
      </c>
      <c r="F353" s="1" t="str">
        <f t="shared" si="5"/>
        <v>&lt;a href='http://en.wikipedia.org/wiki/1981_German_Grand_Prix'&gt;1981_German_Grand_Prix&lt;/a&gt;</v>
      </c>
    </row>
    <row r="354" spans="1:6">
      <c r="A354" s="1">
        <v>1981</v>
      </c>
      <c r="B354" s="1">
        <v>11</v>
      </c>
      <c r="C354" s="1" t="s">
        <v>1166</v>
      </c>
      <c r="D354" s="81">
        <v>29814</v>
      </c>
      <c r="E354" s="81" t="s">
        <v>1367</v>
      </c>
      <c r="F354" s="1" t="str">
        <f t="shared" si="5"/>
        <v>&lt;a href='http://en.wikipedia.org/wiki/1981_Austrian_Grand_Prix'&gt;1981_Austrian_Grand_Prix&lt;/a&gt;</v>
      </c>
    </row>
    <row r="355" spans="1:6">
      <c r="A355" s="1">
        <v>1981</v>
      </c>
      <c r="B355" s="1">
        <v>12</v>
      </c>
      <c r="C355" s="1" t="s">
        <v>915</v>
      </c>
      <c r="D355" s="81">
        <v>29828</v>
      </c>
      <c r="E355" s="81" t="s">
        <v>1368</v>
      </c>
      <c r="F355" s="1" t="str">
        <f t="shared" si="5"/>
        <v>&lt;a href='http://en.wikipedia.org/wiki/1981_Dutch_Grand_Prix'&gt;1981_Dutch_Grand_Prix&lt;/a&gt;</v>
      </c>
    </row>
    <row r="356" spans="1:6">
      <c r="A356" s="1">
        <v>1981</v>
      </c>
      <c r="B356" s="1">
        <v>13</v>
      </c>
      <c r="C356" s="1" t="s">
        <v>883</v>
      </c>
      <c r="D356" s="81">
        <v>29842</v>
      </c>
      <c r="E356" s="81" t="s">
        <v>1369</v>
      </c>
      <c r="F356" s="1" t="str">
        <f t="shared" si="5"/>
        <v>&lt;a href='http://en.wikipedia.org/wiki/1981_Italian_Grand_Prix'&gt;1981_Italian_Grand_Prix&lt;/a&gt;</v>
      </c>
    </row>
    <row r="357" spans="1:6">
      <c r="A357" s="1">
        <v>1981</v>
      </c>
      <c r="B357" s="1">
        <v>14</v>
      </c>
      <c r="C357" s="1" t="s">
        <v>1320</v>
      </c>
      <c r="D357" s="81">
        <v>29856</v>
      </c>
      <c r="E357" s="81" t="s">
        <v>1370</v>
      </c>
      <c r="F357" s="1" t="str">
        <f t="shared" si="5"/>
        <v>&lt;a href='http://en.wikipedia.org/wiki/1981_Canadian_Grand_Prix'&gt;1981_Canadian_Grand_Prix&lt;/a&gt;</v>
      </c>
    </row>
    <row r="358" spans="1:6">
      <c r="A358" s="1">
        <v>1981</v>
      </c>
      <c r="B358" s="1">
        <v>15</v>
      </c>
      <c r="C358" s="1" t="s">
        <v>1372</v>
      </c>
      <c r="D358" s="81">
        <v>29876</v>
      </c>
      <c r="E358" s="81" t="s">
        <v>1375</v>
      </c>
      <c r="F358" s="1" t="str">
        <f t="shared" si="5"/>
        <v>&lt;a href='http://en.wikipedia.org/wiki/1981_Caesars_Palace_Grand_Prix'&gt;1981_Caesars_Palace_Grand_Prix&lt;/a&gt;</v>
      </c>
    </row>
    <row r="359" spans="1:6">
      <c r="A359" s="1">
        <v>1982</v>
      </c>
      <c r="B359" s="1">
        <v>1</v>
      </c>
      <c r="C359" s="1" t="s">
        <v>1103</v>
      </c>
      <c r="D359" s="81">
        <v>29974</v>
      </c>
      <c r="E359" s="81" t="s">
        <v>1376</v>
      </c>
      <c r="F359" s="1" t="str">
        <f t="shared" si="5"/>
        <v>&lt;a href='http://en.wikipedia.org/wiki/1982_South_African_Grand_Prix'&gt;1982_South_African_Grand_Prix&lt;/a&gt;</v>
      </c>
    </row>
    <row r="360" spans="1:6">
      <c r="A360" s="1">
        <v>1982</v>
      </c>
      <c r="B360" s="1">
        <v>2</v>
      </c>
      <c r="C360" s="1" t="s">
        <v>1303</v>
      </c>
      <c r="D360" s="81">
        <v>30031</v>
      </c>
      <c r="E360" s="81" t="s">
        <v>1377</v>
      </c>
      <c r="F360" s="1" t="str">
        <f t="shared" si="5"/>
        <v>&lt;a href='http://en.wikipedia.org/wiki/1982_Brazilian_Grand_Prix'&gt;1982_Brazilian_Grand_Prix&lt;/a&gt;</v>
      </c>
    </row>
    <row r="361" spans="1:6">
      <c r="A361" s="1">
        <v>1982</v>
      </c>
      <c r="B361" s="1">
        <v>3</v>
      </c>
      <c r="C361" s="1" t="s">
        <v>1265</v>
      </c>
      <c r="D361" s="81">
        <v>30045</v>
      </c>
      <c r="E361" s="81" t="s">
        <v>1378</v>
      </c>
      <c r="F361" s="1" t="str">
        <f t="shared" si="5"/>
        <v>&lt;a href='http://en.wikipedia.org/wiki/1982_United_States_Grand_Prix_West'&gt;1982_United_States_Grand_Prix_West&lt;/a&gt;</v>
      </c>
    </row>
    <row r="362" spans="1:6">
      <c r="A362" s="1">
        <v>1982</v>
      </c>
      <c r="B362" s="1">
        <v>4</v>
      </c>
      <c r="C362" s="1" t="s">
        <v>1350</v>
      </c>
      <c r="D362" s="81">
        <v>30066</v>
      </c>
      <c r="E362" s="81" t="s">
        <v>1379</v>
      </c>
      <c r="F362" s="1" t="str">
        <f t="shared" si="5"/>
        <v>&lt;a href='http://en.wikipedia.org/wiki/1982_San_Marino_Grand_Prix'&gt;1982_San_Marino_Grand_Prix&lt;/a&gt;</v>
      </c>
    </row>
    <row r="363" spans="1:6">
      <c r="A363" s="1">
        <v>1982</v>
      </c>
      <c r="B363" s="1">
        <v>5</v>
      </c>
      <c r="C363" s="1" t="s">
        <v>1211</v>
      </c>
      <c r="D363" s="81">
        <v>30080</v>
      </c>
      <c r="E363" s="81" t="s">
        <v>1380</v>
      </c>
      <c r="F363" s="1" t="str">
        <f t="shared" si="5"/>
        <v>&lt;a href='http://en.wikipedia.org/wiki/1982_Belgian_Grand_Prix'&gt;1982_Belgian_Grand_Prix&lt;/a&gt;</v>
      </c>
    </row>
    <row r="364" spans="1:6">
      <c r="A364" s="1">
        <v>1982</v>
      </c>
      <c r="B364" s="1">
        <v>6</v>
      </c>
      <c r="C364" s="1" t="s">
        <v>857</v>
      </c>
      <c r="D364" s="81">
        <v>30094</v>
      </c>
      <c r="E364" s="81" t="s">
        <v>1381</v>
      </c>
      <c r="F364" s="1" t="str">
        <f t="shared" si="5"/>
        <v>&lt;a href='http://en.wikipedia.org/wiki/1982_Monaco_Grand_Prix'&gt;1982_Monaco_Grand_Prix&lt;/a&gt;</v>
      </c>
    </row>
    <row r="365" spans="1:6">
      <c r="A365" s="1">
        <v>1982</v>
      </c>
      <c r="B365" s="1">
        <v>7</v>
      </c>
      <c r="C365" s="1" t="s">
        <v>1383</v>
      </c>
      <c r="D365" s="81">
        <v>30108</v>
      </c>
      <c r="E365" s="81" t="s">
        <v>1386</v>
      </c>
      <c r="F365" s="1" t="str">
        <f t="shared" si="5"/>
        <v>&lt;a href='http://en.wikipedia.org/wiki/1982_Detroit_Grand_Prix'&gt;1982_Detroit_Grand_Prix&lt;/a&gt;</v>
      </c>
    </row>
    <row r="366" spans="1:6">
      <c r="A366" s="1">
        <v>1982</v>
      </c>
      <c r="B366" s="1">
        <v>8</v>
      </c>
      <c r="C366" s="1" t="s">
        <v>1320</v>
      </c>
      <c r="D366" s="81">
        <v>30115</v>
      </c>
      <c r="E366" s="81" t="s">
        <v>1387</v>
      </c>
      <c r="F366" s="1" t="str">
        <f t="shared" si="5"/>
        <v>&lt;a href='http://en.wikipedia.org/wiki/1982_Canadian_Grand_Prix'&gt;1982_Canadian_Grand_Prix&lt;/a&gt;</v>
      </c>
    </row>
    <row r="367" spans="1:6">
      <c r="A367" s="1">
        <v>1982</v>
      </c>
      <c r="B367" s="1">
        <v>9</v>
      </c>
      <c r="C367" s="1" t="s">
        <v>915</v>
      </c>
      <c r="D367" s="81">
        <v>30135</v>
      </c>
      <c r="E367" s="81" t="s">
        <v>1388</v>
      </c>
      <c r="F367" s="1" t="str">
        <f t="shared" si="5"/>
        <v>&lt;a href='http://en.wikipedia.org/wiki/1982_Dutch_Grand_Prix'&gt;1982_Dutch_Grand_Prix&lt;/a&gt;</v>
      </c>
    </row>
    <row r="368" spans="1:6">
      <c r="A368" s="1">
        <v>1982</v>
      </c>
      <c r="B368" s="1">
        <v>10</v>
      </c>
      <c r="C368" s="1" t="s">
        <v>1067</v>
      </c>
      <c r="D368" s="81">
        <v>30150</v>
      </c>
      <c r="E368" s="81" t="s">
        <v>1389</v>
      </c>
      <c r="F368" s="1" t="str">
        <f t="shared" si="5"/>
        <v>&lt;a href='http://en.wikipedia.org/wiki/1982_British_Grand_Prix'&gt;1982_British_Grand_Prix&lt;/a&gt;</v>
      </c>
    </row>
    <row r="369" spans="1:6">
      <c r="A369" s="1">
        <v>1982</v>
      </c>
      <c r="B369" s="1">
        <v>11</v>
      </c>
      <c r="C369" s="1" t="s">
        <v>1178</v>
      </c>
      <c r="D369" s="81">
        <v>30157</v>
      </c>
      <c r="E369" s="81" t="s">
        <v>1390</v>
      </c>
      <c r="F369" s="1" t="str">
        <f t="shared" si="5"/>
        <v>&lt;a href='http://en.wikipedia.org/wiki/1982_French_Grand_Prix'&gt;1982_French_Grand_Prix&lt;/a&gt;</v>
      </c>
    </row>
    <row r="370" spans="1:6">
      <c r="A370" s="1">
        <v>1982</v>
      </c>
      <c r="B370" s="1">
        <v>12</v>
      </c>
      <c r="C370" s="1" t="s">
        <v>1162</v>
      </c>
      <c r="D370" s="81">
        <v>30171</v>
      </c>
      <c r="E370" s="81" t="s">
        <v>1391</v>
      </c>
      <c r="F370" s="1" t="str">
        <f t="shared" si="5"/>
        <v>&lt;a href='http://en.wikipedia.org/wiki/1982_German_Grand_Prix'&gt;1982_German_Grand_Prix&lt;/a&gt;</v>
      </c>
    </row>
    <row r="371" spans="1:6">
      <c r="A371" s="1">
        <v>1982</v>
      </c>
      <c r="B371" s="1">
        <v>13</v>
      </c>
      <c r="C371" s="1" t="s">
        <v>1166</v>
      </c>
      <c r="D371" s="81">
        <v>30178</v>
      </c>
      <c r="E371" s="81" t="s">
        <v>1392</v>
      </c>
      <c r="F371" s="1" t="str">
        <f t="shared" si="5"/>
        <v>&lt;a href='http://en.wikipedia.org/wiki/1982_Austrian_Grand_Prix'&gt;1982_Austrian_Grand_Prix&lt;/a&gt;</v>
      </c>
    </row>
    <row r="372" spans="1:6">
      <c r="A372" s="1">
        <v>1982</v>
      </c>
      <c r="B372" s="1">
        <v>14</v>
      </c>
      <c r="C372" s="1" t="s">
        <v>1238</v>
      </c>
      <c r="D372" s="81">
        <v>30192</v>
      </c>
      <c r="E372" s="81" t="s">
        <v>1393</v>
      </c>
      <c r="F372" s="1" t="str">
        <f t="shared" si="5"/>
        <v>&lt;a href='http://en.wikipedia.org/wiki/1982_Swiss_Grand_Prix'&gt;1982_Swiss_Grand_Prix&lt;/a&gt;</v>
      </c>
    </row>
    <row r="373" spans="1:6">
      <c r="A373" s="1">
        <v>1982</v>
      </c>
      <c r="B373" s="1">
        <v>15</v>
      </c>
      <c r="C373" s="1" t="s">
        <v>883</v>
      </c>
      <c r="D373" s="81">
        <v>30206</v>
      </c>
      <c r="E373" s="81" t="s">
        <v>1394</v>
      </c>
      <c r="F373" s="1" t="str">
        <f t="shared" si="5"/>
        <v>&lt;a href='http://en.wikipedia.org/wiki/1982_Italian_Grand_Prix'&gt;1982_Italian_Grand_Prix&lt;/a&gt;</v>
      </c>
    </row>
    <row r="374" spans="1:6">
      <c r="A374" s="1">
        <v>1982</v>
      </c>
      <c r="B374" s="1">
        <v>16</v>
      </c>
      <c r="C374" s="1" t="s">
        <v>1372</v>
      </c>
      <c r="D374" s="81">
        <v>30219</v>
      </c>
      <c r="E374" s="81" t="s">
        <v>1395</v>
      </c>
      <c r="F374" s="1" t="str">
        <f t="shared" si="5"/>
        <v>&lt;a href='http://en.wikipedia.org/wiki/1982_Caesars_Palace_Grand_Prix'&gt;1982_Caesars_Palace_Grand_Prix&lt;/a&gt;</v>
      </c>
    </row>
    <row r="375" spans="1:6">
      <c r="A375" s="1">
        <v>1983</v>
      </c>
      <c r="B375" s="1">
        <v>1</v>
      </c>
      <c r="C375" s="1" t="s">
        <v>1303</v>
      </c>
      <c r="D375" s="81">
        <v>30388</v>
      </c>
      <c r="E375" s="81" t="s">
        <v>1396</v>
      </c>
      <c r="F375" s="1" t="str">
        <f t="shared" si="5"/>
        <v>&lt;a href='http://en.wikipedia.org/wiki/1983_Brazilian_Grand_Prix'&gt;1983_Brazilian_Grand_Prix&lt;/a&gt;</v>
      </c>
    </row>
    <row r="376" spans="1:6">
      <c r="A376" s="1">
        <v>1983</v>
      </c>
      <c r="B376" s="1">
        <v>2</v>
      </c>
      <c r="C376" s="1" t="s">
        <v>1265</v>
      </c>
      <c r="D376" s="81">
        <v>30402</v>
      </c>
      <c r="E376" s="81" t="s">
        <v>1397</v>
      </c>
      <c r="F376" s="1" t="str">
        <f t="shared" si="5"/>
        <v>&lt;a href='http://en.wikipedia.org/wiki/1983_United_States_Grand_Prix_West'&gt;1983_United_States_Grand_Prix_West&lt;/a&gt;</v>
      </c>
    </row>
    <row r="377" spans="1:6">
      <c r="A377" s="1">
        <v>1983</v>
      </c>
      <c r="B377" s="1">
        <v>3</v>
      </c>
      <c r="C377" s="1" t="s">
        <v>1178</v>
      </c>
      <c r="D377" s="81">
        <v>30423</v>
      </c>
      <c r="E377" s="81" t="s">
        <v>1398</v>
      </c>
      <c r="F377" s="1" t="str">
        <f t="shared" si="5"/>
        <v>&lt;a href='http://en.wikipedia.org/wiki/1983_French_Grand_Prix'&gt;1983_French_Grand_Prix&lt;/a&gt;</v>
      </c>
    </row>
    <row r="378" spans="1:6">
      <c r="A378" s="1">
        <v>1983</v>
      </c>
      <c r="B378" s="1">
        <v>4</v>
      </c>
      <c r="C378" s="1" t="s">
        <v>1350</v>
      </c>
      <c r="D378" s="81">
        <v>30437</v>
      </c>
      <c r="E378" s="81" t="s">
        <v>1399</v>
      </c>
      <c r="F378" s="1" t="str">
        <f t="shared" si="5"/>
        <v>&lt;a href='http://en.wikipedia.org/wiki/1983_San_Marino_Grand_Prix'&gt;1983_San_Marino_Grand_Prix&lt;/a&gt;</v>
      </c>
    </row>
    <row r="379" spans="1:6">
      <c r="A379" s="1">
        <v>1983</v>
      </c>
      <c r="B379" s="1">
        <v>5</v>
      </c>
      <c r="C379" s="1" t="s">
        <v>857</v>
      </c>
      <c r="D379" s="81">
        <v>30451</v>
      </c>
      <c r="E379" s="81" t="s">
        <v>1400</v>
      </c>
      <c r="F379" s="1" t="str">
        <f t="shared" si="5"/>
        <v>&lt;a href='http://en.wikipedia.org/wiki/1983_Monaco_Grand_Prix'&gt;1983_Monaco_Grand_Prix&lt;/a&gt;</v>
      </c>
    </row>
    <row r="380" spans="1:6">
      <c r="A380" s="1">
        <v>1983</v>
      </c>
      <c r="B380" s="1">
        <v>6</v>
      </c>
      <c r="C380" s="1" t="s">
        <v>873</v>
      </c>
      <c r="D380" s="81">
        <v>30458</v>
      </c>
      <c r="E380" s="81" t="s">
        <v>1401</v>
      </c>
      <c r="F380" s="1" t="str">
        <f t="shared" si="5"/>
        <v>&lt;a href='http://en.wikipedia.org/wiki/1983_Belgian_Grand_Prix'&gt;1983_Belgian_Grand_Prix&lt;/a&gt;</v>
      </c>
    </row>
    <row r="381" spans="1:6">
      <c r="A381" s="1">
        <v>1983</v>
      </c>
      <c r="B381" s="1">
        <v>7</v>
      </c>
      <c r="C381" s="1" t="s">
        <v>1383</v>
      </c>
      <c r="D381" s="81">
        <v>30472</v>
      </c>
      <c r="E381" s="81" t="s">
        <v>1402</v>
      </c>
      <c r="F381" s="1" t="str">
        <f t="shared" si="5"/>
        <v>&lt;a href='http://en.wikipedia.org/wiki/1983_Detroit_Grand_Prix'&gt;1983_Detroit_Grand_Prix&lt;/a&gt;</v>
      </c>
    </row>
    <row r="382" spans="1:6">
      <c r="A382" s="1">
        <v>1983</v>
      </c>
      <c r="B382" s="1">
        <v>8</v>
      </c>
      <c r="C382" s="1" t="s">
        <v>1320</v>
      </c>
      <c r="D382" s="81">
        <v>30479</v>
      </c>
      <c r="E382" s="81" t="s">
        <v>1403</v>
      </c>
      <c r="F382" s="1" t="str">
        <f t="shared" si="5"/>
        <v>&lt;a href='http://en.wikipedia.org/wiki/1983_Canadian_Grand_Prix'&gt;1983_Canadian_Grand_Prix&lt;/a&gt;</v>
      </c>
    </row>
    <row r="383" spans="1:6">
      <c r="A383" s="1">
        <v>1983</v>
      </c>
      <c r="B383" s="1">
        <v>9</v>
      </c>
      <c r="C383" s="1" t="s">
        <v>851</v>
      </c>
      <c r="D383" s="81">
        <v>30513</v>
      </c>
      <c r="E383" s="81" t="s">
        <v>1404</v>
      </c>
      <c r="F383" s="1" t="str">
        <f t="shared" si="5"/>
        <v>&lt;a href='http://en.wikipedia.org/wiki/1983_British_Grand_Prix'&gt;1983_British_Grand_Prix&lt;/a&gt;</v>
      </c>
    </row>
    <row r="384" spans="1:6">
      <c r="A384" s="1">
        <v>1983</v>
      </c>
      <c r="B384" s="1">
        <v>10</v>
      </c>
      <c r="C384" s="1" t="s">
        <v>1162</v>
      </c>
      <c r="D384" s="81">
        <v>30535</v>
      </c>
      <c r="E384" s="81" t="s">
        <v>1405</v>
      </c>
      <c r="F384" s="1" t="str">
        <f t="shared" si="5"/>
        <v>&lt;a href='http://en.wikipedia.org/wiki/1983_German_Grand_Prix'&gt;1983_German_Grand_Prix&lt;/a&gt;</v>
      </c>
    </row>
    <row r="385" spans="1:6">
      <c r="A385" s="1">
        <v>1983</v>
      </c>
      <c r="B385" s="1">
        <v>11</v>
      </c>
      <c r="C385" s="1" t="s">
        <v>1166</v>
      </c>
      <c r="D385" s="81">
        <v>30542</v>
      </c>
      <c r="E385" s="81" t="s">
        <v>1406</v>
      </c>
      <c r="F385" s="1" t="str">
        <f t="shared" si="5"/>
        <v>&lt;a href='http://en.wikipedia.org/wiki/1983_Austrian_Grand_Prix'&gt;1983_Austrian_Grand_Prix&lt;/a&gt;</v>
      </c>
    </row>
    <row r="386" spans="1:6">
      <c r="A386" s="1">
        <v>1983</v>
      </c>
      <c r="B386" s="1">
        <v>12</v>
      </c>
      <c r="C386" s="1" t="s">
        <v>915</v>
      </c>
      <c r="D386" s="81">
        <v>30556</v>
      </c>
      <c r="E386" s="81" t="s">
        <v>1407</v>
      </c>
      <c r="F386" s="1" t="str">
        <f t="shared" si="5"/>
        <v>&lt;a href='http://en.wikipedia.org/wiki/1983_Dutch_Grand_Prix'&gt;1983_Dutch_Grand_Prix&lt;/a&gt;</v>
      </c>
    </row>
    <row r="387" spans="1:6">
      <c r="A387" s="1">
        <v>1983</v>
      </c>
      <c r="B387" s="1">
        <v>13</v>
      </c>
      <c r="C387" s="1" t="s">
        <v>883</v>
      </c>
      <c r="D387" s="81">
        <v>30570</v>
      </c>
      <c r="E387" s="81" t="s">
        <v>1408</v>
      </c>
      <c r="F387" s="1" t="str">
        <f t="shared" ref="F387:F450" si="6">"&lt;a href='"&amp;E387&amp;"'&gt;"&amp;MID(E387,30,LEN(E387)-29)&amp;"&lt;/a&gt;"</f>
        <v>&lt;a href='http://en.wikipedia.org/wiki/1983_Italian_Grand_Prix'&gt;1983_Italian_Grand_Prix&lt;/a&gt;</v>
      </c>
    </row>
    <row r="388" spans="1:6">
      <c r="A388" s="1">
        <v>1983</v>
      </c>
      <c r="B388" s="1">
        <v>14</v>
      </c>
      <c r="C388" s="1" t="s">
        <v>1067</v>
      </c>
      <c r="D388" s="81">
        <v>30584</v>
      </c>
      <c r="E388" s="81" t="s">
        <v>1410</v>
      </c>
      <c r="F388" s="1" t="str">
        <f t="shared" si="6"/>
        <v>&lt;a href='http://en.wikipedia.org/wiki/1983_European_Grand_Prix'&gt;1983_European_Grand_Prix&lt;/a&gt;</v>
      </c>
    </row>
    <row r="389" spans="1:6">
      <c r="A389" s="1">
        <v>1983</v>
      </c>
      <c r="B389" s="1">
        <v>15</v>
      </c>
      <c r="C389" s="1" t="s">
        <v>1103</v>
      </c>
      <c r="D389" s="81">
        <v>30604</v>
      </c>
      <c r="E389" s="81" t="s">
        <v>1411</v>
      </c>
      <c r="F389" s="1" t="str">
        <f t="shared" si="6"/>
        <v>&lt;a href='http://en.wikipedia.org/wiki/1983_South_African_Grand_Prix'&gt;1983_South_African_Grand_Prix&lt;/a&gt;</v>
      </c>
    </row>
    <row r="390" spans="1:6">
      <c r="A390" s="1">
        <v>1984</v>
      </c>
      <c r="B390" s="1">
        <v>1</v>
      </c>
      <c r="C390" s="1" t="s">
        <v>1303</v>
      </c>
      <c r="D390" s="81">
        <v>30766</v>
      </c>
      <c r="E390" s="81" t="s">
        <v>1412</v>
      </c>
      <c r="F390" s="1" t="str">
        <f t="shared" si="6"/>
        <v>&lt;a href='http://en.wikipedia.org/wiki/1984_Brazilian_Grand_Prix'&gt;1984_Brazilian_Grand_Prix&lt;/a&gt;</v>
      </c>
    </row>
    <row r="391" spans="1:6">
      <c r="A391" s="1">
        <v>1984</v>
      </c>
      <c r="B391" s="1">
        <v>2</v>
      </c>
      <c r="C391" s="1" t="s">
        <v>1103</v>
      </c>
      <c r="D391" s="81">
        <v>30779</v>
      </c>
      <c r="E391" s="81" t="s">
        <v>1413</v>
      </c>
      <c r="F391" s="1" t="str">
        <f t="shared" si="6"/>
        <v>&lt;a href='http://en.wikipedia.org/wiki/1984_South_African_Grand_Prix'&gt;1984_South_African_Grand_Prix&lt;/a&gt;</v>
      </c>
    </row>
    <row r="392" spans="1:6">
      <c r="A392" s="1">
        <v>1984</v>
      </c>
      <c r="B392" s="1">
        <v>3</v>
      </c>
      <c r="C392" s="1" t="s">
        <v>1211</v>
      </c>
      <c r="D392" s="81">
        <v>30801</v>
      </c>
      <c r="E392" s="81" t="s">
        <v>1414</v>
      </c>
      <c r="F392" s="1" t="str">
        <f t="shared" si="6"/>
        <v>&lt;a href='http://en.wikipedia.org/wiki/1984_Belgian_Grand_Prix'&gt;1984_Belgian_Grand_Prix&lt;/a&gt;</v>
      </c>
    </row>
    <row r="393" spans="1:6">
      <c r="A393" s="1">
        <v>1984</v>
      </c>
      <c r="B393" s="1">
        <v>4</v>
      </c>
      <c r="C393" s="1" t="s">
        <v>1350</v>
      </c>
      <c r="D393" s="81">
        <v>30808</v>
      </c>
      <c r="E393" s="81" t="s">
        <v>1415</v>
      </c>
      <c r="F393" s="1" t="str">
        <f t="shared" si="6"/>
        <v>&lt;a href='http://en.wikipedia.org/wiki/1984_San_Marino_Grand_Prix'&gt;1984_San_Marino_Grand_Prix&lt;/a&gt;</v>
      </c>
    </row>
    <row r="394" spans="1:6">
      <c r="A394" s="1">
        <v>1984</v>
      </c>
      <c r="B394" s="1">
        <v>5</v>
      </c>
      <c r="C394" s="1" t="s">
        <v>1238</v>
      </c>
      <c r="D394" s="81">
        <v>30822</v>
      </c>
      <c r="E394" s="81" t="s">
        <v>1416</v>
      </c>
      <c r="F394" s="1" t="str">
        <f t="shared" si="6"/>
        <v>&lt;a href='http://en.wikipedia.org/wiki/1984_French_Grand_Prix'&gt;1984_French_Grand_Prix&lt;/a&gt;</v>
      </c>
    </row>
    <row r="395" spans="1:6">
      <c r="A395" s="1">
        <v>1984</v>
      </c>
      <c r="B395" s="1">
        <v>6</v>
      </c>
      <c r="C395" s="1" t="s">
        <v>857</v>
      </c>
      <c r="D395" s="81">
        <v>30836</v>
      </c>
      <c r="E395" s="81" t="s">
        <v>1417</v>
      </c>
      <c r="F395" s="1" t="str">
        <f t="shared" si="6"/>
        <v>&lt;a href='http://en.wikipedia.org/wiki/1984_Monaco_Grand_Prix'&gt;1984_Monaco_Grand_Prix&lt;/a&gt;</v>
      </c>
    </row>
    <row r="396" spans="1:6">
      <c r="A396" s="1">
        <v>1984</v>
      </c>
      <c r="B396" s="1">
        <v>7</v>
      </c>
      <c r="C396" s="1" t="s">
        <v>1320</v>
      </c>
      <c r="D396" s="81">
        <v>30850</v>
      </c>
      <c r="E396" s="81" t="s">
        <v>1418</v>
      </c>
      <c r="F396" s="1" t="str">
        <f t="shared" si="6"/>
        <v>&lt;a href='http://en.wikipedia.org/wiki/1984_Canadian_Grand_Prix'&gt;1984_Canadian_Grand_Prix&lt;/a&gt;</v>
      </c>
    </row>
    <row r="397" spans="1:6">
      <c r="A397" s="1">
        <v>1984</v>
      </c>
      <c r="B397" s="1">
        <v>8</v>
      </c>
      <c r="C397" s="1" t="s">
        <v>1383</v>
      </c>
      <c r="D397" s="81">
        <v>30857</v>
      </c>
      <c r="E397" s="81" t="s">
        <v>1419</v>
      </c>
      <c r="F397" s="1" t="str">
        <f t="shared" si="6"/>
        <v>&lt;a href='http://en.wikipedia.org/wiki/1984_Detroit_Grand_Prix'&gt;1984_Detroit_Grand_Prix&lt;/a&gt;</v>
      </c>
    </row>
    <row r="398" spans="1:6">
      <c r="A398" s="1">
        <v>1984</v>
      </c>
      <c r="B398" s="1">
        <v>9</v>
      </c>
      <c r="C398" s="1" t="s">
        <v>1421</v>
      </c>
      <c r="D398" s="81">
        <v>30871</v>
      </c>
      <c r="E398" s="81" t="s">
        <v>1424</v>
      </c>
      <c r="F398" s="1" t="str">
        <f t="shared" si="6"/>
        <v>&lt;a href='http://en.wikipedia.org/wiki/1984_Dallas_Grand_Prix'&gt;1984_Dallas_Grand_Prix&lt;/a&gt;</v>
      </c>
    </row>
    <row r="399" spans="1:6">
      <c r="A399" s="1">
        <v>1984</v>
      </c>
      <c r="B399" s="1">
        <v>10</v>
      </c>
      <c r="C399" s="1" t="s">
        <v>1067</v>
      </c>
      <c r="D399" s="81">
        <v>30885</v>
      </c>
      <c r="E399" s="81" t="s">
        <v>1425</v>
      </c>
      <c r="F399" s="1" t="str">
        <f t="shared" si="6"/>
        <v>&lt;a href='http://en.wikipedia.org/wiki/1984_British_Grand_Prix'&gt;1984_British_Grand_Prix&lt;/a&gt;</v>
      </c>
    </row>
    <row r="400" spans="1:6">
      <c r="A400" s="1">
        <v>1984</v>
      </c>
      <c r="B400" s="1">
        <v>11</v>
      </c>
      <c r="C400" s="1" t="s">
        <v>1162</v>
      </c>
      <c r="D400" s="81">
        <v>30899</v>
      </c>
      <c r="E400" s="81" t="s">
        <v>1426</v>
      </c>
      <c r="F400" s="1" t="str">
        <f t="shared" si="6"/>
        <v>&lt;a href='http://en.wikipedia.org/wiki/1984_German_Grand_Prix'&gt;1984_German_Grand_Prix&lt;/a&gt;</v>
      </c>
    </row>
    <row r="401" spans="1:6">
      <c r="A401" s="1">
        <v>1984</v>
      </c>
      <c r="B401" s="1">
        <v>12</v>
      </c>
      <c r="C401" s="1" t="s">
        <v>1166</v>
      </c>
      <c r="D401" s="81">
        <v>30913</v>
      </c>
      <c r="E401" s="81" t="s">
        <v>1427</v>
      </c>
      <c r="F401" s="1" t="str">
        <f t="shared" si="6"/>
        <v>&lt;a href='http://en.wikipedia.org/wiki/1984_Austrian_Grand_Prix'&gt;1984_Austrian_Grand_Prix&lt;/a&gt;</v>
      </c>
    </row>
    <row r="402" spans="1:6">
      <c r="A402" s="1">
        <v>1984</v>
      </c>
      <c r="B402" s="1">
        <v>13</v>
      </c>
      <c r="C402" s="1" t="s">
        <v>915</v>
      </c>
      <c r="D402" s="81">
        <v>30920</v>
      </c>
      <c r="E402" s="81" t="s">
        <v>1428</v>
      </c>
      <c r="F402" s="1" t="str">
        <f t="shared" si="6"/>
        <v>&lt;a href='http://en.wikipedia.org/wiki/1984_Dutch_Grand_Prix'&gt;1984_Dutch_Grand_Prix&lt;/a&gt;</v>
      </c>
    </row>
    <row r="403" spans="1:6">
      <c r="A403" s="1">
        <v>1984</v>
      </c>
      <c r="B403" s="1">
        <v>14</v>
      </c>
      <c r="C403" s="1" t="s">
        <v>883</v>
      </c>
      <c r="D403" s="81">
        <v>30934</v>
      </c>
      <c r="E403" s="81" t="s">
        <v>1429</v>
      </c>
      <c r="F403" s="1" t="str">
        <f t="shared" si="6"/>
        <v>&lt;a href='http://en.wikipedia.org/wiki/1984_Italian_Grand_Prix'&gt;1984_Italian_Grand_Prix&lt;/a&gt;</v>
      </c>
    </row>
    <row r="404" spans="1:6">
      <c r="A404" s="1">
        <v>1984</v>
      </c>
      <c r="B404" s="1">
        <v>15</v>
      </c>
      <c r="C404" s="1" t="s">
        <v>894</v>
      </c>
      <c r="D404" s="81">
        <v>30962</v>
      </c>
      <c r="E404" s="81" t="s">
        <v>1430</v>
      </c>
      <c r="F404" s="1" t="str">
        <f t="shared" si="6"/>
        <v>&lt;a href='http://en.wikipedia.org/wiki/1984_European_Grand_Prix'&gt;1984_European_Grand_Prix&lt;/a&gt;</v>
      </c>
    </row>
    <row r="405" spans="1:6">
      <c r="A405" s="1">
        <v>1984</v>
      </c>
      <c r="B405" s="1">
        <v>16</v>
      </c>
      <c r="C405" s="1" t="s">
        <v>1431</v>
      </c>
      <c r="D405" s="81">
        <v>30976</v>
      </c>
      <c r="E405" s="81" t="s">
        <v>1434</v>
      </c>
      <c r="F405" s="1" t="str">
        <f t="shared" si="6"/>
        <v>&lt;a href='http://en.wikipedia.org/wiki/1984_Portuguese_Grand_Prix'&gt;1984_Portuguese_Grand_Prix&lt;/a&gt;</v>
      </c>
    </row>
    <row r="406" spans="1:6">
      <c r="A406" s="1">
        <v>1985</v>
      </c>
      <c r="B406" s="1">
        <v>1</v>
      </c>
      <c r="C406" s="1" t="s">
        <v>1303</v>
      </c>
      <c r="D406" s="81">
        <v>31144</v>
      </c>
      <c r="E406" s="81" t="s">
        <v>1435</v>
      </c>
      <c r="F406" s="1" t="str">
        <f t="shared" si="6"/>
        <v>&lt;a href='http://en.wikipedia.org/wiki/1985_Brazilian_Grand_Prix'&gt;1985_Brazilian_Grand_Prix&lt;/a&gt;</v>
      </c>
    </row>
    <row r="407" spans="1:6">
      <c r="A407" s="1">
        <v>1985</v>
      </c>
      <c r="B407" s="1">
        <v>2</v>
      </c>
      <c r="C407" s="1" t="s">
        <v>1431</v>
      </c>
      <c r="D407" s="81">
        <v>31158</v>
      </c>
      <c r="E407" s="81" t="s">
        <v>1436</v>
      </c>
      <c r="F407" s="1" t="str">
        <f t="shared" si="6"/>
        <v>&lt;a href='http://en.wikipedia.org/wiki/1985_Portuguese_Grand_Prix'&gt;1985_Portuguese_Grand_Prix&lt;/a&gt;</v>
      </c>
    </row>
    <row r="408" spans="1:6">
      <c r="A408" s="1">
        <v>1985</v>
      </c>
      <c r="B408" s="1">
        <v>3</v>
      </c>
      <c r="C408" s="1" t="s">
        <v>1350</v>
      </c>
      <c r="D408" s="81">
        <v>31172</v>
      </c>
      <c r="E408" s="81" t="s">
        <v>1437</v>
      </c>
      <c r="F408" s="1" t="str">
        <f t="shared" si="6"/>
        <v>&lt;a href='http://en.wikipedia.org/wiki/1985_San_Marino_Grand_Prix'&gt;1985_San_Marino_Grand_Prix&lt;/a&gt;</v>
      </c>
    </row>
    <row r="409" spans="1:6">
      <c r="A409" s="1">
        <v>1985</v>
      </c>
      <c r="B409" s="1">
        <v>4</v>
      </c>
      <c r="C409" s="1" t="s">
        <v>857</v>
      </c>
      <c r="D409" s="81">
        <v>31186</v>
      </c>
      <c r="E409" s="81" t="s">
        <v>1438</v>
      </c>
      <c r="F409" s="1" t="str">
        <f t="shared" si="6"/>
        <v>&lt;a href='http://en.wikipedia.org/wiki/1985_Monaco_Grand_Prix'&gt;1985_Monaco_Grand_Prix&lt;/a&gt;</v>
      </c>
    </row>
    <row r="410" spans="1:6">
      <c r="A410" s="1">
        <v>1985</v>
      </c>
      <c r="B410" s="1">
        <v>5</v>
      </c>
      <c r="C410" s="1" t="s">
        <v>1320</v>
      </c>
      <c r="D410" s="81">
        <v>31214</v>
      </c>
      <c r="E410" s="81" t="s">
        <v>1439</v>
      </c>
      <c r="F410" s="1" t="str">
        <f t="shared" si="6"/>
        <v>&lt;a href='http://en.wikipedia.org/wiki/1985_Canadian_Grand_Prix'&gt;1985_Canadian_Grand_Prix&lt;/a&gt;</v>
      </c>
    </row>
    <row r="411" spans="1:6">
      <c r="A411" s="1">
        <v>1985</v>
      </c>
      <c r="B411" s="1">
        <v>6</v>
      </c>
      <c r="C411" s="1" t="s">
        <v>1383</v>
      </c>
      <c r="D411" s="81">
        <v>31221</v>
      </c>
      <c r="E411" s="81" t="s">
        <v>1440</v>
      </c>
      <c r="F411" s="1" t="str">
        <f t="shared" si="6"/>
        <v>&lt;a href='http://en.wikipedia.org/wiki/1985_Detroit_Grand_Prix'&gt;1985_Detroit_Grand_Prix&lt;/a&gt;</v>
      </c>
    </row>
    <row r="412" spans="1:6">
      <c r="A412" s="1">
        <v>1985</v>
      </c>
      <c r="B412" s="1">
        <v>7</v>
      </c>
      <c r="C412" s="1" t="s">
        <v>1178</v>
      </c>
      <c r="D412" s="81">
        <v>31235</v>
      </c>
      <c r="E412" s="81" t="s">
        <v>1441</v>
      </c>
      <c r="F412" s="1" t="str">
        <f t="shared" si="6"/>
        <v>&lt;a href='http://en.wikipedia.org/wiki/1985_French_Grand_Prix'&gt;1985_French_Grand_Prix&lt;/a&gt;</v>
      </c>
    </row>
    <row r="413" spans="1:6">
      <c r="A413" s="1">
        <v>1985</v>
      </c>
      <c r="B413" s="1">
        <v>8</v>
      </c>
      <c r="C413" s="1" t="s">
        <v>851</v>
      </c>
      <c r="D413" s="81">
        <v>31249</v>
      </c>
      <c r="E413" s="81" t="s">
        <v>1442</v>
      </c>
      <c r="F413" s="1" t="str">
        <f t="shared" si="6"/>
        <v>&lt;a href='http://en.wikipedia.org/wiki/1985_British_Grand_Prix'&gt;1985_British_Grand_Prix&lt;/a&gt;</v>
      </c>
    </row>
    <row r="414" spans="1:6">
      <c r="A414" s="1">
        <v>1985</v>
      </c>
      <c r="B414" s="1">
        <v>9</v>
      </c>
      <c r="C414" s="1" t="s">
        <v>894</v>
      </c>
      <c r="D414" s="81">
        <v>31263</v>
      </c>
      <c r="E414" s="81" t="s">
        <v>1443</v>
      </c>
      <c r="F414" s="1" t="str">
        <f t="shared" si="6"/>
        <v>&lt;a href='http://en.wikipedia.org/wiki/1985_German_Grand_Prix'&gt;1985_German_Grand_Prix&lt;/a&gt;</v>
      </c>
    </row>
    <row r="415" spans="1:6">
      <c r="A415" s="1">
        <v>1985</v>
      </c>
      <c r="B415" s="1">
        <v>10</v>
      </c>
      <c r="C415" s="1" t="s">
        <v>1166</v>
      </c>
      <c r="D415" s="81">
        <v>31277</v>
      </c>
      <c r="E415" s="81" t="s">
        <v>1444</v>
      </c>
      <c r="F415" s="1" t="str">
        <f t="shared" si="6"/>
        <v>&lt;a href='http://en.wikipedia.org/wiki/1985_Austrian_Grand_Prix'&gt;1985_Austrian_Grand_Prix&lt;/a&gt;</v>
      </c>
    </row>
    <row r="416" spans="1:6">
      <c r="A416" s="1">
        <v>1985</v>
      </c>
      <c r="B416" s="1">
        <v>11</v>
      </c>
      <c r="C416" s="1" t="s">
        <v>915</v>
      </c>
      <c r="D416" s="81">
        <v>31284</v>
      </c>
      <c r="E416" s="81" t="s">
        <v>1445</v>
      </c>
      <c r="F416" s="1" t="str">
        <f t="shared" si="6"/>
        <v>&lt;a href='http://en.wikipedia.org/wiki/1985_Dutch_Grand_Prix'&gt;1985_Dutch_Grand_Prix&lt;/a&gt;</v>
      </c>
    </row>
    <row r="417" spans="1:6">
      <c r="A417" s="1">
        <v>1985</v>
      </c>
      <c r="B417" s="1">
        <v>12</v>
      </c>
      <c r="C417" s="1" t="s">
        <v>883</v>
      </c>
      <c r="D417" s="81">
        <v>31298</v>
      </c>
      <c r="E417" s="81" t="s">
        <v>1446</v>
      </c>
      <c r="F417" s="1" t="str">
        <f t="shared" si="6"/>
        <v>&lt;a href='http://en.wikipedia.org/wiki/1985_Italian_Grand_Prix'&gt;1985_Italian_Grand_Prix&lt;/a&gt;</v>
      </c>
    </row>
    <row r="418" spans="1:6">
      <c r="A418" s="1">
        <v>1985</v>
      </c>
      <c r="B418" s="1">
        <v>13</v>
      </c>
      <c r="C418" s="1" t="s">
        <v>873</v>
      </c>
      <c r="D418" s="81">
        <v>31305</v>
      </c>
      <c r="E418" s="81" t="s">
        <v>1447</v>
      </c>
      <c r="F418" s="1" t="str">
        <f t="shared" si="6"/>
        <v>&lt;a href='http://en.wikipedia.org/wiki/1985_Belgian_Grand_Prix'&gt;1985_Belgian_Grand_Prix&lt;/a&gt;</v>
      </c>
    </row>
    <row r="419" spans="1:6">
      <c r="A419" s="1">
        <v>1985</v>
      </c>
      <c r="B419" s="1">
        <v>14</v>
      </c>
      <c r="C419" s="1" t="s">
        <v>1067</v>
      </c>
      <c r="D419" s="81">
        <v>31326</v>
      </c>
      <c r="E419" s="81" t="s">
        <v>1448</v>
      </c>
      <c r="F419" s="1" t="str">
        <f t="shared" si="6"/>
        <v>&lt;a href='http://en.wikipedia.org/wiki/1985_European_Grand_Prix'&gt;1985_European_Grand_Prix&lt;/a&gt;</v>
      </c>
    </row>
    <row r="420" spans="1:6">
      <c r="A420" s="1">
        <v>1985</v>
      </c>
      <c r="B420" s="1">
        <v>15</v>
      </c>
      <c r="C420" s="1" t="s">
        <v>1103</v>
      </c>
      <c r="D420" s="81">
        <v>31339</v>
      </c>
      <c r="E420" s="81" t="s">
        <v>1449</v>
      </c>
      <c r="F420" s="1" t="str">
        <f t="shared" si="6"/>
        <v>&lt;a href='http://en.wikipedia.org/wiki/1985_South_African_Grand_Prix'&gt;1985_South_African_Grand_Prix&lt;/a&gt;</v>
      </c>
    </row>
    <row r="421" spans="1:6">
      <c r="A421" s="1">
        <v>1985</v>
      </c>
      <c r="B421" s="1">
        <v>16</v>
      </c>
      <c r="C421" s="1" t="s">
        <v>1451</v>
      </c>
      <c r="D421" s="81">
        <v>31354</v>
      </c>
      <c r="E421" s="81" t="s">
        <v>1455</v>
      </c>
      <c r="F421" s="1" t="str">
        <f t="shared" si="6"/>
        <v>&lt;a href='http://en.wikipedia.org/wiki/1985_Australian_Grand_Prix'&gt;1985_Australian_Grand_Prix&lt;/a&gt;</v>
      </c>
    </row>
    <row r="422" spans="1:6">
      <c r="A422" s="1">
        <v>1986</v>
      </c>
      <c r="B422" s="1">
        <v>1</v>
      </c>
      <c r="C422" s="1" t="s">
        <v>1303</v>
      </c>
      <c r="D422" s="81">
        <v>31494</v>
      </c>
      <c r="E422" s="81" t="s">
        <v>1456</v>
      </c>
      <c r="F422" s="1" t="str">
        <f t="shared" si="6"/>
        <v>&lt;a href='http://en.wikipedia.org/wiki/1986_Brazilian_Grand_Prix'&gt;1986_Brazilian_Grand_Prix&lt;/a&gt;</v>
      </c>
    </row>
    <row r="423" spans="1:6">
      <c r="A423" s="1">
        <v>1986</v>
      </c>
      <c r="B423" s="1">
        <v>2</v>
      </c>
      <c r="C423" s="1" t="s">
        <v>1457</v>
      </c>
      <c r="D423" s="81">
        <v>31515</v>
      </c>
      <c r="E423" s="81" t="s">
        <v>1460</v>
      </c>
      <c r="F423" s="1" t="str">
        <f t="shared" si="6"/>
        <v>&lt;a href='http://en.wikipedia.org/wiki/1986_Spanish_Grand_Prix'&gt;1986_Spanish_Grand_Prix&lt;/a&gt;</v>
      </c>
    </row>
    <row r="424" spans="1:6">
      <c r="A424" s="1">
        <v>1986</v>
      </c>
      <c r="B424" s="1">
        <v>3</v>
      </c>
      <c r="C424" s="1" t="s">
        <v>1350</v>
      </c>
      <c r="D424" s="81">
        <v>31529</v>
      </c>
      <c r="E424" s="81" t="s">
        <v>1461</v>
      </c>
      <c r="F424" s="1" t="str">
        <f t="shared" si="6"/>
        <v>&lt;a href='http://en.wikipedia.org/wiki/1986_San_Marino_Grand_Prix'&gt;1986_San_Marino_Grand_Prix&lt;/a&gt;</v>
      </c>
    </row>
    <row r="425" spans="1:6">
      <c r="A425" s="1">
        <v>1986</v>
      </c>
      <c r="B425" s="1">
        <v>4</v>
      </c>
      <c r="C425" s="1" t="s">
        <v>857</v>
      </c>
      <c r="D425" s="81">
        <v>31543</v>
      </c>
      <c r="E425" s="81" t="s">
        <v>1462</v>
      </c>
      <c r="F425" s="1" t="str">
        <f t="shared" si="6"/>
        <v>&lt;a href='http://en.wikipedia.org/wiki/1986_Monaco_Grand_Prix'&gt;1986_Monaco_Grand_Prix&lt;/a&gt;</v>
      </c>
    </row>
    <row r="426" spans="1:6">
      <c r="A426" s="1">
        <v>1986</v>
      </c>
      <c r="B426" s="1">
        <v>5</v>
      </c>
      <c r="C426" s="1" t="s">
        <v>873</v>
      </c>
      <c r="D426" s="81">
        <v>31557</v>
      </c>
      <c r="E426" s="81" t="s">
        <v>1463</v>
      </c>
      <c r="F426" s="1" t="str">
        <f t="shared" si="6"/>
        <v>&lt;a href='http://en.wikipedia.org/wiki/1986_Belgian_Grand_Prix'&gt;1986_Belgian_Grand_Prix&lt;/a&gt;</v>
      </c>
    </row>
    <row r="427" spans="1:6">
      <c r="A427" s="1">
        <v>1986</v>
      </c>
      <c r="B427" s="1">
        <v>6</v>
      </c>
      <c r="C427" s="1" t="s">
        <v>1320</v>
      </c>
      <c r="D427" s="81">
        <v>31578</v>
      </c>
      <c r="E427" s="81" t="s">
        <v>1464</v>
      </c>
      <c r="F427" s="1" t="str">
        <f t="shared" si="6"/>
        <v>&lt;a href='http://en.wikipedia.org/wiki/1986_Canadian_Grand_Prix'&gt;1986_Canadian_Grand_Prix&lt;/a&gt;</v>
      </c>
    </row>
    <row r="428" spans="1:6">
      <c r="A428" s="1">
        <v>1986</v>
      </c>
      <c r="B428" s="1">
        <v>7</v>
      </c>
      <c r="C428" s="1" t="s">
        <v>1383</v>
      </c>
      <c r="D428" s="81">
        <v>31585</v>
      </c>
      <c r="E428" s="81" t="s">
        <v>1465</v>
      </c>
      <c r="F428" s="1" t="str">
        <f t="shared" si="6"/>
        <v>&lt;a href='http://en.wikipedia.org/wiki/1986_Detroit_Grand_Prix'&gt;1986_Detroit_Grand_Prix&lt;/a&gt;</v>
      </c>
    </row>
    <row r="429" spans="1:6">
      <c r="A429" s="1">
        <v>1986</v>
      </c>
      <c r="B429" s="1">
        <v>8</v>
      </c>
      <c r="C429" s="1" t="s">
        <v>1178</v>
      </c>
      <c r="D429" s="81">
        <v>31599</v>
      </c>
      <c r="E429" s="81" t="s">
        <v>1466</v>
      </c>
      <c r="F429" s="1" t="str">
        <f t="shared" si="6"/>
        <v>&lt;a href='http://en.wikipedia.org/wiki/1986_French_Grand_Prix'&gt;1986_French_Grand_Prix&lt;/a&gt;</v>
      </c>
    </row>
    <row r="430" spans="1:6">
      <c r="A430" s="1">
        <v>1986</v>
      </c>
      <c r="B430" s="1">
        <v>9</v>
      </c>
      <c r="C430" s="1" t="s">
        <v>1067</v>
      </c>
      <c r="D430" s="81">
        <v>31606</v>
      </c>
      <c r="E430" s="81" t="s">
        <v>1467</v>
      </c>
      <c r="F430" s="1" t="str">
        <f t="shared" si="6"/>
        <v>&lt;a href='http://en.wikipedia.org/wiki/1986_British_Grand_Prix'&gt;1986_British_Grand_Prix&lt;/a&gt;</v>
      </c>
    </row>
    <row r="431" spans="1:6">
      <c r="A431" s="1">
        <v>1986</v>
      </c>
      <c r="B431" s="1">
        <v>10</v>
      </c>
      <c r="C431" s="1" t="s">
        <v>1162</v>
      </c>
      <c r="D431" s="81">
        <v>31620</v>
      </c>
      <c r="E431" s="81" t="s">
        <v>1468</v>
      </c>
      <c r="F431" s="1" t="str">
        <f t="shared" si="6"/>
        <v>&lt;a href='http://en.wikipedia.org/wiki/1986_German_Grand_Prix'&gt;1986_German_Grand_Prix&lt;/a&gt;</v>
      </c>
    </row>
    <row r="432" spans="1:6">
      <c r="A432" s="1">
        <v>1986</v>
      </c>
      <c r="B432" s="1">
        <v>11</v>
      </c>
      <c r="C432" s="1" t="s">
        <v>1470</v>
      </c>
      <c r="D432" s="81">
        <v>31634</v>
      </c>
      <c r="E432" s="81" t="s">
        <v>1474</v>
      </c>
      <c r="F432" s="1" t="str">
        <f t="shared" si="6"/>
        <v>&lt;a href='http://en.wikipedia.org/wiki/1986_Hungarian_Grand_Prix'&gt;1986_Hungarian_Grand_Prix&lt;/a&gt;</v>
      </c>
    </row>
    <row r="433" spans="1:6">
      <c r="A433" s="1">
        <v>1986</v>
      </c>
      <c r="B433" s="1">
        <v>12</v>
      </c>
      <c r="C433" s="1" t="s">
        <v>1166</v>
      </c>
      <c r="D433" s="81">
        <v>31641</v>
      </c>
      <c r="E433" s="81" t="s">
        <v>1475</v>
      </c>
      <c r="F433" s="1" t="str">
        <f t="shared" si="6"/>
        <v>&lt;a href='http://en.wikipedia.org/wiki/1986_Austrian_Grand_Prix'&gt;1986_Austrian_Grand_Prix&lt;/a&gt;</v>
      </c>
    </row>
    <row r="434" spans="1:6">
      <c r="A434" s="1">
        <v>1986</v>
      </c>
      <c r="B434" s="1">
        <v>13</v>
      </c>
      <c r="C434" s="1" t="s">
        <v>883</v>
      </c>
      <c r="D434" s="81">
        <v>31662</v>
      </c>
      <c r="E434" s="81" t="s">
        <v>1476</v>
      </c>
      <c r="F434" s="1" t="str">
        <f t="shared" si="6"/>
        <v>&lt;a href='http://en.wikipedia.org/wiki/1986_Italian_Grand_Prix'&gt;1986_Italian_Grand_Prix&lt;/a&gt;</v>
      </c>
    </row>
    <row r="435" spans="1:6">
      <c r="A435" s="1">
        <v>1986</v>
      </c>
      <c r="B435" s="1">
        <v>14</v>
      </c>
      <c r="C435" s="1" t="s">
        <v>1431</v>
      </c>
      <c r="D435" s="81">
        <v>31676</v>
      </c>
      <c r="E435" s="81" t="s">
        <v>1477</v>
      </c>
      <c r="F435" s="1" t="str">
        <f t="shared" si="6"/>
        <v>&lt;a href='http://en.wikipedia.org/wiki/1986_Portuguese_Grand_Prix'&gt;1986_Portuguese_Grand_Prix&lt;/a&gt;</v>
      </c>
    </row>
    <row r="436" spans="1:6">
      <c r="A436" s="1">
        <v>1986</v>
      </c>
      <c r="B436" s="1">
        <v>15</v>
      </c>
      <c r="C436" s="1" t="s">
        <v>1057</v>
      </c>
      <c r="D436" s="81">
        <v>31697</v>
      </c>
      <c r="E436" s="81" t="s">
        <v>1478</v>
      </c>
      <c r="F436" s="1" t="str">
        <f t="shared" si="6"/>
        <v>&lt;a href='http://en.wikipedia.org/wiki/1986_Mexican_Grand_Prix'&gt;1986_Mexican_Grand_Prix&lt;/a&gt;</v>
      </c>
    </row>
    <row r="437" spans="1:6">
      <c r="A437" s="1">
        <v>1986</v>
      </c>
      <c r="B437" s="1">
        <v>16</v>
      </c>
      <c r="C437" s="1" t="s">
        <v>1451</v>
      </c>
      <c r="D437" s="81">
        <v>31711</v>
      </c>
      <c r="E437" s="81" t="s">
        <v>1479</v>
      </c>
      <c r="F437" s="1" t="str">
        <f t="shared" si="6"/>
        <v>&lt;a href='http://en.wikipedia.org/wiki/1986_Australian_Grand_Prix'&gt;1986_Australian_Grand_Prix&lt;/a&gt;</v>
      </c>
    </row>
    <row r="438" spans="1:6">
      <c r="A438" s="1">
        <v>1987</v>
      </c>
      <c r="B438" s="1">
        <v>1</v>
      </c>
      <c r="C438" s="1" t="s">
        <v>1303</v>
      </c>
      <c r="D438" s="81">
        <v>31879</v>
      </c>
      <c r="E438" s="81" t="s">
        <v>1480</v>
      </c>
      <c r="F438" s="1" t="str">
        <f t="shared" si="6"/>
        <v>&lt;a href='http://en.wikipedia.org/wiki/1987_Brazilian_Grand_Prix'&gt;1987_Brazilian_Grand_Prix&lt;/a&gt;</v>
      </c>
    </row>
    <row r="439" spans="1:6">
      <c r="A439" s="1">
        <v>1987</v>
      </c>
      <c r="B439" s="1">
        <v>2</v>
      </c>
      <c r="C439" s="1" t="s">
        <v>1350</v>
      </c>
      <c r="D439" s="81">
        <v>31900</v>
      </c>
      <c r="E439" s="81" t="s">
        <v>1481</v>
      </c>
      <c r="F439" s="1" t="str">
        <f t="shared" si="6"/>
        <v>&lt;a href='http://en.wikipedia.org/wiki/1987_San_Marino_Grand_Prix'&gt;1987_San_Marino_Grand_Prix&lt;/a&gt;</v>
      </c>
    </row>
    <row r="440" spans="1:6">
      <c r="A440" s="1">
        <v>1987</v>
      </c>
      <c r="B440" s="1">
        <v>3</v>
      </c>
      <c r="C440" s="1" t="s">
        <v>873</v>
      </c>
      <c r="D440" s="81">
        <v>31914</v>
      </c>
      <c r="E440" s="81" t="s">
        <v>1482</v>
      </c>
      <c r="F440" s="1" t="str">
        <f t="shared" si="6"/>
        <v>&lt;a href='http://en.wikipedia.org/wiki/1987_Belgian_Grand_Prix'&gt;1987_Belgian_Grand_Prix&lt;/a&gt;</v>
      </c>
    </row>
    <row r="441" spans="1:6">
      <c r="A441" s="1">
        <v>1987</v>
      </c>
      <c r="B441" s="1">
        <v>4</v>
      </c>
      <c r="C441" s="1" t="s">
        <v>857</v>
      </c>
      <c r="D441" s="81">
        <v>31928</v>
      </c>
      <c r="E441" s="81" t="s">
        <v>1483</v>
      </c>
      <c r="F441" s="1" t="str">
        <f t="shared" si="6"/>
        <v>&lt;a href='http://en.wikipedia.org/wiki/1987_Monaco_Grand_Prix'&gt;1987_Monaco_Grand_Prix&lt;/a&gt;</v>
      </c>
    </row>
    <row r="442" spans="1:6">
      <c r="A442" s="1">
        <v>1987</v>
      </c>
      <c r="B442" s="1">
        <v>5</v>
      </c>
      <c r="C442" s="1" t="s">
        <v>1383</v>
      </c>
      <c r="D442" s="81">
        <v>31949</v>
      </c>
      <c r="E442" s="81" t="s">
        <v>1484</v>
      </c>
      <c r="F442" s="1" t="str">
        <f t="shared" si="6"/>
        <v>&lt;a href='http://en.wikipedia.org/wiki/1987_Detroit_Grand_Prix'&gt;1987_Detroit_Grand_Prix&lt;/a&gt;</v>
      </c>
    </row>
    <row r="443" spans="1:6">
      <c r="A443" s="1">
        <v>1987</v>
      </c>
      <c r="B443" s="1">
        <v>6</v>
      </c>
      <c r="C443" s="1" t="s">
        <v>1178</v>
      </c>
      <c r="D443" s="81">
        <v>31963</v>
      </c>
      <c r="E443" s="81" t="s">
        <v>1485</v>
      </c>
      <c r="F443" s="1" t="str">
        <f t="shared" si="6"/>
        <v>&lt;a href='http://en.wikipedia.org/wiki/1987_French_Grand_Prix'&gt;1987_French_Grand_Prix&lt;/a&gt;</v>
      </c>
    </row>
    <row r="444" spans="1:6">
      <c r="A444" s="1">
        <v>1987</v>
      </c>
      <c r="B444" s="1">
        <v>7</v>
      </c>
      <c r="C444" s="1" t="s">
        <v>851</v>
      </c>
      <c r="D444" s="81">
        <v>31970</v>
      </c>
      <c r="E444" s="81" t="s">
        <v>1486</v>
      </c>
      <c r="F444" s="1" t="str">
        <f t="shared" si="6"/>
        <v>&lt;a href='http://en.wikipedia.org/wiki/1987_British_Grand_Prix'&gt;1987_British_Grand_Prix&lt;/a&gt;</v>
      </c>
    </row>
    <row r="445" spans="1:6">
      <c r="A445" s="1">
        <v>1987</v>
      </c>
      <c r="B445" s="1">
        <v>8</v>
      </c>
      <c r="C445" s="1" t="s">
        <v>1162</v>
      </c>
      <c r="D445" s="81">
        <v>31984</v>
      </c>
      <c r="E445" s="81" t="s">
        <v>1487</v>
      </c>
      <c r="F445" s="1" t="str">
        <f t="shared" si="6"/>
        <v>&lt;a href='http://en.wikipedia.org/wiki/1987_German_Grand_Prix'&gt;1987_German_Grand_Prix&lt;/a&gt;</v>
      </c>
    </row>
    <row r="446" spans="1:6">
      <c r="A446" s="1">
        <v>1987</v>
      </c>
      <c r="B446" s="1">
        <v>9</v>
      </c>
      <c r="C446" s="1" t="s">
        <v>1470</v>
      </c>
      <c r="D446" s="81">
        <v>31998</v>
      </c>
      <c r="E446" s="81" t="s">
        <v>1488</v>
      </c>
      <c r="F446" s="1" t="str">
        <f t="shared" si="6"/>
        <v>&lt;a href='http://en.wikipedia.org/wiki/1987_Hungarian_Grand_Prix'&gt;1987_Hungarian_Grand_Prix&lt;/a&gt;</v>
      </c>
    </row>
    <row r="447" spans="1:6">
      <c r="A447" s="1">
        <v>1987</v>
      </c>
      <c r="B447" s="1">
        <v>10</v>
      </c>
      <c r="C447" s="1" t="s">
        <v>1166</v>
      </c>
      <c r="D447" s="81">
        <v>31946</v>
      </c>
      <c r="E447" s="81" t="s">
        <v>1489</v>
      </c>
      <c r="F447" s="1" t="str">
        <f t="shared" si="6"/>
        <v>&lt;a href='http://en.wikipedia.org/wiki/1987_Austrian_Grand_Prix'&gt;1987_Austrian_Grand_Prix&lt;/a&gt;</v>
      </c>
    </row>
    <row r="448" spans="1:6">
      <c r="A448" s="1">
        <v>1987</v>
      </c>
      <c r="B448" s="1">
        <v>11</v>
      </c>
      <c r="C448" s="1" t="s">
        <v>883</v>
      </c>
      <c r="D448" s="81">
        <v>32026</v>
      </c>
      <c r="E448" s="81" t="s">
        <v>1490</v>
      </c>
      <c r="F448" s="1" t="str">
        <f t="shared" si="6"/>
        <v>&lt;a href='http://en.wikipedia.org/wiki/1987_Italian_Grand_Prix'&gt;1987_Italian_Grand_Prix&lt;/a&gt;</v>
      </c>
    </row>
    <row r="449" spans="1:6">
      <c r="A449" s="1">
        <v>1987</v>
      </c>
      <c r="B449" s="1">
        <v>12</v>
      </c>
      <c r="C449" s="1" t="s">
        <v>1431</v>
      </c>
      <c r="D449" s="81">
        <v>32040</v>
      </c>
      <c r="E449" s="81" t="s">
        <v>1491</v>
      </c>
      <c r="F449" s="1" t="str">
        <f t="shared" si="6"/>
        <v>&lt;a href='http://en.wikipedia.org/wiki/1987_Portuguese_Grand_Prix'&gt;1987_Portuguese_Grand_Prix&lt;/a&gt;</v>
      </c>
    </row>
    <row r="450" spans="1:6">
      <c r="A450" s="1">
        <v>1987</v>
      </c>
      <c r="B450" s="1">
        <v>13</v>
      </c>
      <c r="C450" s="1" t="s">
        <v>1457</v>
      </c>
      <c r="D450" s="81">
        <v>32047</v>
      </c>
      <c r="E450" s="81" t="s">
        <v>1492</v>
      </c>
      <c r="F450" s="1" t="str">
        <f t="shared" si="6"/>
        <v>&lt;a href='http://en.wikipedia.org/wiki/1987_Spanish_Grand_Prix'&gt;1987_Spanish_Grand_Prix&lt;/a&gt;</v>
      </c>
    </row>
    <row r="451" spans="1:6">
      <c r="A451" s="1">
        <v>1987</v>
      </c>
      <c r="B451" s="1">
        <v>14</v>
      </c>
      <c r="C451" s="1" t="s">
        <v>1057</v>
      </c>
      <c r="D451" s="81">
        <v>32068</v>
      </c>
      <c r="E451" s="81" t="s">
        <v>1493</v>
      </c>
      <c r="F451" s="1" t="str">
        <f t="shared" ref="F451:F514" si="7">"&lt;a href='"&amp;E451&amp;"'&gt;"&amp;MID(E451,30,LEN(E451)-29)&amp;"&lt;/a&gt;"</f>
        <v>&lt;a href='http://en.wikipedia.org/wiki/1987_Mexican_Grand_Prix'&gt;1987_Mexican_Grand_Prix&lt;/a&gt;</v>
      </c>
    </row>
    <row r="452" spans="1:6">
      <c r="A452" s="1">
        <v>1987</v>
      </c>
      <c r="B452" s="1">
        <v>15</v>
      </c>
      <c r="C452" s="1" t="s">
        <v>1494</v>
      </c>
      <c r="D452" s="81">
        <v>32082</v>
      </c>
      <c r="E452" s="81" t="s">
        <v>1497</v>
      </c>
      <c r="F452" s="1" t="str">
        <f t="shared" si="7"/>
        <v>&lt;a href='http://en.wikipedia.org/wiki/1987_Japanese_Grand_Prix'&gt;1987_Japanese_Grand_Prix&lt;/a&gt;</v>
      </c>
    </row>
    <row r="453" spans="1:6">
      <c r="A453" s="1">
        <v>1987</v>
      </c>
      <c r="B453" s="1">
        <v>16</v>
      </c>
      <c r="C453" s="1" t="s">
        <v>1451</v>
      </c>
      <c r="D453" s="81">
        <v>32096</v>
      </c>
      <c r="E453" s="81" t="s">
        <v>1498</v>
      </c>
      <c r="F453" s="1" t="str">
        <f t="shared" si="7"/>
        <v>&lt;a href='http://en.wikipedia.org/wiki/1987_Australian_Grand_Prix'&gt;1987_Australian_Grand_Prix&lt;/a&gt;</v>
      </c>
    </row>
    <row r="454" spans="1:6">
      <c r="A454" s="1">
        <v>1988</v>
      </c>
      <c r="B454" s="1">
        <v>1</v>
      </c>
      <c r="C454" s="1" t="s">
        <v>1303</v>
      </c>
      <c r="D454" s="81">
        <v>32236</v>
      </c>
      <c r="E454" s="81" t="s">
        <v>1499</v>
      </c>
      <c r="F454" s="1" t="str">
        <f t="shared" si="7"/>
        <v>&lt;a href='http://en.wikipedia.org/wiki/1988_Brazilian_Grand_Prix'&gt;1988_Brazilian_Grand_Prix&lt;/a&gt;</v>
      </c>
    </row>
    <row r="455" spans="1:6">
      <c r="A455" s="1">
        <v>1988</v>
      </c>
      <c r="B455" s="1">
        <v>2</v>
      </c>
      <c r="C455" s="1" t="s">
        <v>1350</v>
      </c>
      <c r="D455" s="81">
        <v>32264</v>
      </c>
      <c r="E455" s="81" t="s">
        <v>1500</v>
      </c>
      <c r="F455" s="1" t="str">
        <f t="shared" si="7"/>
        <v>&lt;a href='http://en.wikipedia.org/wiki/1988_San_Marino_Grand_Prix'&gt;1988_San_Marino_Grand_Prix&lt;/a&gt;</v>
      </c>
    </row>
    <row r="456" spans="1:6">
      <c r="A456" s="1">
        <v>1988</v>
      </c>
      <c r="B456" s="1">
        <v>3</v>
      </c>
      <c r="C456" s="1" t="s">
        <v>857</v>
      </c>
      <c r="D456" s="81">
        <v>32278</v>
      </c>
      <c r="E456" s="81" t="s">
        <v>1501</v>
      </c>
      <c r="F456" s="1" t="str">
        <f t="shared" si="7"/>
        <v>&lt;a href='http://en.wikipedia.org/wiki/1988_Monaco_Grand_Prix'&gt;1988_Monaco_Grand_Prix&lt;/a&gt;</v>
      </c>
    </row>
    <row r="457" spans="1:6">
      <c r="A457" s="1">
        <v>1988</v>
      </c>
      <c r="B457" s="1">
        <v>4</v>
      </c>
      <c r="C457" s="1" t="s">
        <v>1057</v>
      </c>
      <c r="D457" s="81">
        <v>32292</v>
      </c>
      <c r="E457" s="81" t="s">
        <v>1502</v>
      </c>
      <c r="F457" s="1" t="str">
        <f t="shared" si="7"/>
        <v>&lt;a href='http://en.wikipedia.org/wiki/1988_Mexican_Grand_Prix'&gt;1988_Mexican_Grand_Prix&lt;/a&gt;</v>
      </c>
    </row>
    <row r="458" spans="1:6">
      <c r="A458" s="1">
        <v>1988</v>
      </c>
      <c r="B458" s="1">
        <v>5</v>
      </c>
      <c r="C458" s="1" t="s">
        <v>1320</v>
      </c>
      <c r="D458" s="81">
        <v>32306</v>
      </c>
      <c r="E458" s="81" t="s">
        <v>1503</v>
      </c>
      <c r="F458" s="1" t="str">
        <f t="shared" si="7"/>
        <v>&lt;a href='http://en.wikipedia.org/wiki/1988_Canadian_Grand_Prix'&gt;1988_Canadian_Grand_Prix&lt;/a&gt;</v>
      </c>
    </row>
    <row r="459" spans="1:6">
      <c r="A459" s="1">
        <v>1988</v>
      </c>
      <c r="B459" s="1">
        <v>6</v>
      </c>
      <c r="C459" s="1" t="s">
        <v>1383</v>
      </c>
      <c r="D459" s="81">
        <v>32313</v>
      </c>
      <c r="E459" s="81" t="s">
        <v>1504</v>
      </c>
      <c r="F459" s="1" t="str">
        <f t="shared" si="7"/>
        <v>&lt;a href='http://en.wikipedia.org/wiki/1988_Detroit_Grand_Prix'&gt;1988_Detroit_Grand_Prix&lt;/a&gt;</v>
      </c>
    </row>
    <row r="460" spans="1:6">
      <c r="A460" s="1">
        <v>1988</v>
      </c>
      <c r="B460" s="1">
        <v>7</v>
      </c>
      <c r="C460" s="1" t="s">
        <v>1178</v>
      </c>
      <c r="D460" s="81">
        <v>32327</v>
      </c>
      <c r="E460" s="81" t="s">
        <v>1505</v>
      </c>
      <c r="F460" s="1" t="str">
        <f t="shared" si="7"/>
        <v>&lt;a href='http://en.wikipedia.org/wiki/1988_French_Grand_Prix'&gt;1988_French_Grand_Prix&lt;/a&gt;</v>
      </c>
    </row>
    <row r="461" spans="1:6">
      <c r="A461" s="1">
        <v>1988</v>
      </c>
      <c r="B461" s="1">
        <v>8</v>
      </c>
      <c r="C461" s="1" t="s">
        <v>851</v>
      </c>
      <c r="D461" s="81">
        <v>32334</v>
      </c>
      <c r="E461" s="81" t="s">
        <v>1506</v>
      </c>
      <c r="F461" s="1" t="str">
        <f t="shared" si="7"/>
        <v>&lt;a href='http://en.wikipedia.org/wiki/1988_British_Grand_Prix'&gt;1988_British_Grand_Prix&lt;/a&gt;</v>
      </c>
    </row>
    <row r="462" spans="1:6">
      <c r="A462" s="1">
        <v>1988</v>
      </c>
      <c r="B462" s="1">
        <v>9</v>
      </c>
      <c r="C462" s="1" t="s">
        <v>1162</v>
      </c>
      <c r="D462" s="81">
        <v>32348</v>
      </c>
      <c r="E462" s="81" t="s">
        <v>1507</v>
      </c>
      <c r="F462" s="1" t="str">
        <f t="shared" si="7"/>
        <v>&lt;a href='http://en.wikipedia.org/wiki/1988_German_Grand_Prix'&gt;1988_German_Grand_Prix&lt;/a&gt;</v>
      </c>
    </row>
    <row r="463" spans="1:6">
      <c r="A463" s="1">
        <v>1988</v>
      </c>
      <c r="B463" s="1">
        <v>10</v>
      </c>
      <c r="C463" s="1" t="s">
        <v>1470</v>
      </c>
      <c r="D463" s="81">
        <v>32362</v>
      </c>
      <c r="E463" s="81" t="s">
        <v>1508</v>
      </c>
      <c r="F463" s="1" t="str">
        <f t="shared" si="7"/>
        <v>&lt;a href='http://en.wikipedia.org/wiki/1988_Hungarian_Grand_Prix'&gt;1988_Hungarian_Grand_Prix&lt;/a&gt;</v>
      </c>
    </row>
    <row r="464" spans="1:6">
      <c r="A464" s="1">
        <v>1988</v>
      </c>
      <c r="B464" s="1">
        <v>11</v>
      </c>
      <c r="C464" s="1" t="s">
        <v>873</v>
      </c>
      <c r="D464" s="81">
        <v>32383</v>
      </c>
      <c r="E464" s="81" t="s">
        <v>1509</v>
      </c>
      <c r="F464" s="1" t="str">
        <f t="shared" si="7"/>
        <v>&lt;a href='http://en.wikipedia.org/wiki/1988_Belgian_Grand_Prix'&gt;1988_Belgian_Grand_Prix&lt;/a&gt;</v>
      </c>
    </row>
    <row r="465" spans="1:6">
      <c r="A465" s="1">
        <v>1988</v>
      </c>
      <c r="B465" s="1">
        <v>12</v>
      </c>
      <c r="C465" s="1" t="s">
        <v>883</v>
      </c>
      <c r="D465" s="81">
        <v>32397</v>
      </c>
      <c r="E465" s="81" t="s">
        <v>1510</v>
      </c>
      <c r="F465" s="1" t="str">
        <f t="shared" si="7"/>
        <v>&lt;a href='http://en.wikipedia.org/wiki/1988_Italian_Grand_Prix'&gt;1988_Italian_Grand_Prix&lt;/a&gt;</v>
      </c>
    </row>
    <row r="466" spans="1:6">
      <c r="A466" s="1">
        <v>1988</v>
      </c>
      <c r="B466" s="1">
        <v>13</v>
      </c>
      <c r="C466" s="1" t="s">
        <v>1431</v>
      </c>
      <c r="D466" s="81">
        <v>32411</v>
      </c>
      <c r="E466" s="81" t="s">
        <v>1511</v>
      </c>
      <c r="F466" s="1" t="str">
        <f t="shared" si="7"/>
        <v>&lt;a href='http://en.wikipedia.org/wiki/1988_Portuguese_Grand_Prix'&gt;1988_Portuguese_Grand_Prix&lt;/a&gt;</v>
      </c>
    </row>
    <row r="467" spans="1:6">
      <c r="A467" s="1">
        <v>1988</v>
      </c>
      <c r="B467" s="1">
        <v>14</v>
      </c>
      <c r="C467" s="1" t="s">
        <v>1457</v>
      </c>
      <c r="D467" s="81">
        <v>32418</v>
      </c>
      <c r="E467" s="81" t="s">
        <v>1512</v>
      </c>
      <c r="F467" s="1" t="str">
        <f t="shared" si="7"/>
        <v>&lt;a href='http://en.wikipedia.org/wiki/1988_Spanish_Grand_Prix'&gt;1988_Spanish_Grand_Prix&lt;/a&gt;</v>
      </c>
    </row>
    <row r="468" spans="1:6">
      <c r="A468" s="1">
        <v>1988</v>
      </c>
      <c r="B468" s="1">
        <v>15</v>
      </c>
      <c r="C468" s="1" t="s">
        <v>1494</v>
      </c>
      <c r="D468" s="81">
        <v>32446</v>
      </c>
      <c r="E468" s="81" t="s">
        <v>1513</v>
      </c>
      <c r="F468" s="1" t="str">
        <f t="shared" si="7"/>
        <v>&lt;a href='http://en.wikipedia.org/wiki/1988_Japanese_Grand_Prix'&gt;1988_Japanese_Grand_Prix&lt;/a&gt;</v>
      </c>
    </row>
    <row r="469" spans="1:6">
      <c r="A469" s="1">
        <v>1988</v>
      </c>
      <c r="B469" s="1">
        <v>16</v>
      </c>
      <c r="C469" s="1" t="s">
        <v>1451</v>
      </c>
      <c r="D469" s="81">
        <v>32460</v>
      </c>
      <c r="E469" s="81" t="s">
        <v>1514</v>
      </c>
      <c r="F469" s="1" t="str">
        <f t="shared" si="7"/>
        <v>&lt;a href='http://en.wikipedia.org/wiki/1988_Australian_Grand_Prix'&gt;1988_Australian_Grand_Prix&lt;/a&gt;</v>
      </c>
    </row>
    <row r="470" spans="1:6">
      <c r="A470" s="1">
        <v>1989</v>
      </c>
      <c r="B470" s="1">
        <v>1</v>
      </c>
      <c r="C470" s="1" t="s">
        <v>1303</v>
      </c>
      <c r="D470" s="81">
        <v>32593</v>
      </c>
      <c r="E470" s="81" t="s">
        <v>1515</v>
      </c>
      <c r="F470" s="1" t="str">
        <f t="shared" si="7"/>
        <v>&lt;a href='http://en.wikipedia.org/wiki/1989_Brazilian_Grand_Prix'&gt;1989_Brazilian_Grand_Prix&lt;/a&gt;</v>
      </c>
    </row>
    <row r="471" spans="1:6">
      <c r="A471" s="1">
        <v>1989</v>
      </c>
      <c r="B471" s="1">
        <v>2</v>
      </c>
      <c r="C471" s="1" t="s">
        <v>1350</v>
      </c>
      <c r="D471" s="81">
        <v>32621</v>
      </c>
      <c r="E471" s="81" t="s">
        <v>1516</v>
      </c>
      <c r="F471" s="1" t="str">
        <f t="shared" si="7"/>
        <v>&lt;a href='http://en.wikipedia.org/wiki/1989_San_Marino_Grand_Prix'&gt;1989_San_Marino_Grand_Prix&lt;/a&gt;</v>
      </c>
    </row>
    <row r="472" spans="1:6">
      <c r="A472" s="1">
        <v>1989</v>
      </c>
      <c r="B472" s="1">
        <v>3</v>
      </c>
      <c r="C472" s="1" t="s">
        <v>857</v>
      </c>
      <c r="D472" s="81">
        <v>32635</v>
      </c>
      <c r="E472" s="81" t="s">
        <v>1517</v>
      </c>
      <c r="F472" s="1" t="str">
        <f t="shared" si="7"/>
        <v>&lt;a href='http://en.wikipedia.org/wiki/1989_Monaco_Grand_Prix'&gt;1989_Monaco_Grand_Prix&lt;/a&gt;</v>
      </c>
    </row>
    <row r="473" spans="1:6">
      <c r="A473" s="1">
        <v>1989</v>
      </c>
      <c r="B473" s="1">
        <v>4</v>
      </c>
      <c r="C473" s="1" t="s">
        <v>1057</v>
      </c>
      <c r="D473" s="81">
        <v>32656</v>
      </c>
      <c r="E473" s="81" t="s">
        <v>1518</v>
      </c>
      <c r="F473" s="1" t="str">
        <f t="shared" si="7"/>
        <v>&lt;a href='http://en.wikipedia.org/wiki/1989_Mexican_Grand_Prix'&gt;1989_Mexican_Grand_Prix&lt;/a&gt;</v>
      </c>
    </row>
    <row r="474" spans="1:6">
      <c r="A474" s="1">
        <v>1989</v>
      </c>
      <c r="B474" s="1">
        <v>5</v>
      </c>
      <c r="C474" s="1" t="s">
        <v>1519</v>
      </c>
      <c r="D474" s="81">
        <v>32663</v>
      </c>
      <c r="E474" s="81" t="s">
        <v>1522</v>
      </c>
      <c r="F474" s="1" t="str">
        <f t="shared" si="7"/>
        <v>&lt;a href='http://en.wikipedia.org/wiki/1989_United_States_Grand_Prix'&gt;1989_United_States_Grand_Prix&lt;/a&gt;</v>
      </c>
    </row>
    <row r="475" spans="1:6">
      <c r="A475" s="1">
        <v>1989</v>
      </c>
      <c r="B475" s="1">
        <v>6</v>
      </c>
      <c r="C475" s="1" t="s">
        <v>1320</v>
      </c>
      <c r="D475" s="81">
        <v>32677</v>
      </c>
      <c r="E475" s="81" t="s">
        <v>1523</v>
      </c>
      <c r="F475" s="1" t="str">
        <f t="shared" si="7"/>
        <v>&lt;a href='http://en.wikipedia.org/wiki/1989_Canadian_Grand_Prix'&gt;1989_Canadian_Grand_Prix&lt;/a&gt;</v>
      </c>
    </row>
    <row r="476" spans="1:6">
      <c r="A476" s="1">
        <v>1989</v>
      </c>
      <c r="B476" s="1">
        <v>7</v>
      </c>
      <c r="C476" s="1" t="s">
        <v>1178</v>
      </c>
      <c r="D476" s="81">
        <v>32698</v>
      </c>
      <c r="E476" s="81" t="s">
        <v>1524</v>
      </c>
      <c r="F476" s="1" t="str">
        <f t="shared" si="7"/>
        <v>&lt;a href='http://en.wikipedia.org/wiki/1989_French_Grand_Prix'&gt;1989_French_Grand_Prix&lt;/a&gt;</v>
      </c>
    </row>
    <row r="477" spans="1:6">
      <c r="A477" s="1">
        <v>1989</v>
      </c>
      <c r="B477" s="1">
        <v>8</v>
      </c>
      <c r="C477" s="1" t="s">
        <v>851</v>
      </c>
      <c r="D477" s="81">
        <v>32705</v>
      </c>
      <c r="E477" s="81" t="s">
        <v>1525</v>
      </c>
      <c r="F477" s="1" t="str">
        <f t="shared" si="7"/>
        <v>&lt;a href='http://en.wikipedia.org/wiki/1989_British_Grand_Prix'&gt;1989_British_Grand_Prix&lt;/a&gt;</v>
      </c>
    </row>
    <row r="478" spans="1:6">
      <c r="A478" s="1">
        <v>1989</v>
      </c>
      <c r="B478" s="1">
        <v>9</v>
      </c>
      <c r="C478" s="1" t="s">
        <v>1162</v>
      </c>
      <c r="D478" s="81">
        <v>32719</v>
      </c>
      <c r="E478" s="81" t="s">
        <v>1526</v>
      </c>
      <c r="F478" s="1" t="str">
        <f t="shared" si="7"/>
        <v>&lt;a href='http://en.wikipedia.org/wiki/1989_German_Grand_Prix'&gt;1989_German_Grand_Prix&lt;/a&gt;</v>
      </c>
    </row>
    <row r="479" spans="1:6">
      <c r="A479" s="1">
        <v>1989</v>
      </c>
      <c r="B479" s="1">
        <v>10</v>
      </c>
      <c r="C479" s="1" t="s">
        <v>1470</v>
      </c>
      <c r="D479" s="81">
        <v>32733</v>
      </c>
      <c r="E479" s="81" t="s">
        <v>1527</v>
      </c>
      <c r="F479" s="1" t="str">
        <f t="shared" si="7"/>
        <v>&lt;a href='http://en.wikipedia.org/wiki/1989_Hungarian_Grand_Prix'&gt;1989_Hungarian_Grand_Prix&lt;/a&gt;</v>
      </c>
    </row>
    <row r="480" spans="1:6">
      <c r="A480" s="1">
        <v>1989</v>
      </c>
      <c r="B480" s="1">
        <v>11</v>
      </c>
      <c r="C480" s="1" t="s">
        <v>873</v>
      </c>
      <c r="D480" s="81">
        <v>32747</v>
      </c>
      <c r="E480" s="81" t="s">
        <v>1528</v>
      </c>
      <c r="F480" s="1" t="str">
        <f t="shared" si="7"/>
        <v>&lt;a href='http://en.wikipedia.org/wiki/1989_Belgian_Grand_Prix'&gt;1989_Belgian_Grand_Prix&lt;/a&gt;</v>
      </c>
    </row>
    <row r="481" spans="1:6">
      <c r="A481" s="1">
        <v>1989</v>
      </c>
      <c r="B481" s="1">
        <v>12</v>
      </c>
      <c r="C481" s="1" t="s">
        <v>883</v>
      </c>
      <c r="D481" s="81">
        <v>32761</v>
      </c>
      <c r="E481" s="81" t="s">
        <v>1529</v>
      </c>
      <c r="F481" s="1" t="str">
        <f t="shared" si="7"/>
        <v>&lt;a href='http://en.wikipedia.org/wiki/1989_Italian_Grand_Prix'&gt;1989_Italian_Grand_Prix&lt;/a&gt;</v>
      </c>
    </row>
    <row r="482" spans="1:6">
      <c r="A482" s="1">
        <v>1989</v>
      </c>
      <c r="B482" s="1">
        <v>13</v>
      </c>
      <c r="C482" s="1" t="s">
        <v>1431</v>
      </c>
      <c r="D482" s="81">
        <v>32775</v>
      </c>
      <c r="E482" s="81" t="s">
        <v>1530</v>
      </c>
      <c r="F482" s="1" t="str">
        <f t="shared" si="7"/>
        <v>&lt;a href='http://en.wikipedia.org/wiki/1989_Portuguese_Grand_Prix'&gt;1989_Portuguese_Grand_Prix&lt;/a&gt;</v>
      </c>
    </row>
    <row r="483" spans="1:6">
      <c r="A483" s="1">
        <v>1989</v>
      </c>
      <c r="B483" s="1">
        <v>14</v>
      </c>
      <c r="C483" s="1" t="s">
        <v>1457</v>
      </c>
      <c r="D483" s="81">
        <v>32782</v>
      </c>
      <c r="E483" s="81" t="s">
        <v>1531</v>
      </c>
      <c r="F483" s="1" t="str">
        <f t="shared" si="7"/>
        <v>&lt;a href='http://en.wikipedia.org/wiki/1989_Spanish_Grand_Prix'&gt;1989_Spanish_Grand_Prix&lt;/a&gt;</v>
      </c>
    </row>
    <row r="484" spans="1:6">
      <c r="A484" s="1">
        <v>1989</v>
      </c>
      <c r="B484" s="1">
        <v>15</v>
      </c>
      <c r="C484" s="1" t="s">
        <v>1494</v>
      </c>
      <c r="D484" s="81">
        <v>32803</v>
      </c>
      <c r="E484" s="81" t="s">
        <v>1532</v>
      </c>
      <c r="F484" s="1" t="str">
        <f t="shared" si="7"/>
        <v>&lt;a href='http://en.wikipedia.org/wiki/1989_Japanese_Grand_Prix'&gt;1989_Japanese_Grand_Prix&lt;/a&gt;</v>
      </c>
    </row>
    <row r="485" spans="1:6">
      <c r="A485" s="1">
        <v>1989</v>
      </c>
      <c r="B485" s="1">
        <v>16</v>
      </c>
      <c r="C485" s="1" t="s">
        <v>1451</v>
      </c>
      <c r="D485" s="81">
        <v>32817</v>
      </c>
      <c r="E485" s="81" t="s">
        <v>1533</v>
      </c>
      <c r="F485" s="1" t="str">
        <f t="shared" si="7"/>
        <v>&lt;a href='http://en.wikipedia.org/wiki/1989_Australian_Grand_Prix'&gt;1989_Australian_Grand_Prix&lt;/a&gt;</v>
      </c>
    </row>
    <row r="486" spans="1:6">
      <c r="A486" s="1">
        <v>1990</v>
      </c>
      <c r="B486" s="1">
        <v>1</v>
      </c>
      <c r="C486" s="1" t="s">
        <v>1519</v>
      </c>
      <c r="D486" s="81">
        <v>32943</v>
      </c>
      <c r="E486" s="81" t="s">
        <v>1534</v>
      </c>
      <c r="F486" s="1" t="str">
        <f t="shared" si="7"/>
        <v>&lt;a href='http://en.wikipedia.org/wiki/1990_United_States_Grand_Prix'&gt;1990_United_States_Grand_Prix&lt;/a&gt;</v>
      </c>
    </row>
    <row r="487" spans="1:6">
      <c r="A487" s="1">
        <v>1990</v>
      </c>
      <c r="B487" s="1">
        <v>2</v>
      </c>
      <c r="C487" s="1" t="s">
        <v>1204</v>
      </c>
      <c r="D487" s="81">
        <v>32957</v>
      </c>
      <c r="E487" s="81" t="s">
        <v>1535</v>
      </c>
      <c r="F487" s="1" t="str">
        <f t="shared" si="7"/>
        <v>&lt;a href='http://en.wikipedia.org/wiki/1990_Brazilian_Grand_Prix'&gt;1990_Brazilian_Grand_Prix&lt;/a&gt;</v>
      </c>
    </row>
    <row r="488" spans="1:6">
      <c r="A488" s="1">
        <v>1990</v>
      </c>
      <c r="B488" s="1">
        <v>3</v>
      </c>
      <c r="C488" s="1" t="s">
        <v>1350</v>
      </c>
      <c r="D488" s="81">
        <v>33006</v>
      </c>
      <c r="E488" s="81" t="s">
        <v>1536</v>
      </c>
      <c r="F488" s="1" t="str">
        <f t="shared" si="7"/>
        <v>&lt;a href='http://en.wikipedia.org/wiki/1990_San_Marino_Grand_Prix'&gt;1990_San_Marino_Grand_Prix&lt;/a&gt;</v>
      </c>
    </row>
    <row r="489" spans="1:6">
      <c r="A489" s="1">
        <v>1990</v>
      </c>
      <c r="B489" s="1">
        <v>4</v>
      </c>
      <c r="C489" s="1" t="s">
        <v>857</v>
      </c>
      <c r="D489" s="81">
        <v>33020</v>
      </c>
      <c r="E489" s="81" t="s">
        <v>1537</v>
      </c>
      <c r="F489" s="1" t="str">
        <f t="shared" si="7"/>
        <v>&lt;a href='http://en.wikipedia.org/wiki/1990_Monaco_Grand_Prix'&gt;1990_Monaco_Grand_Prix&lt;/a&gt;</v>
      </c>
    </row>
    <row r="490" spans="1:6">
      <c r="A490" s="1">
        <v>1990</v>
      </c>
      <c r="B490" s="1">
        <v>5</v>
      </c>
      <c r="C490" s="1" t="s">
        <v>1320</v>
      </c>
      <c r="D490" s="81">
        <v>33034</v>
      </c>
      <c r="E490" s="81" t="s">
        <v>1538</v>
      </c>
      <c r="F490" s="1" t="str">
        <f t="shared" si="7"/>
        <v>&lt;a href='http://en.wikipedia.org/wiki/1990_Canadian_Grand_Prix'&gt;1990_Canadian_Grand_Prix&lt;/a&gt;</v>
      </c>
    </row>
    <row r="491" spans="1:6">
      <c r="A491" s="1">
        <v>1990</v>
      </c>
      <c r="B491" s="1">
        <v>6</v>
      </c>
      <c r="C491" s="1" t="s">
        <v>1057</v>
      </c>
      <c r="D491" s="81">
        <v>33048</v>
      </c>
      <c r="E491" s="81" t="s">
        <v>1539</v>
      </c>
      <c r="F491" s="1" t="str">
        <f t="shared" si="7"/>
        <v>&lt;a href='http://en.wikipedia.org/wiki/1990_Mexican_Grand_Prix'&gt;1990_Mexican_Grand_Prix&lt;/a&gt;</v>
      </c>
    </row>
    <row r="492" spans="1:6">
      <c r="A492" s="1">
        <v>1990</v>
      </c>
      <c r="B492" s="1">
        <v>7</v>
      </c>
      <c r="C492" s="1" t="s">
        <v>1178</v>
      </c>
      <c r="D492" s="81">
        <v>33062</v>
      </c>
      <c r="E492" s="81" t="s">
        <v>1540</v>
      </c>
      <c r="F492" s="1" t="str">
        <f t="shared" si="7"/>
        <v>&lt;a href='http://en.wikipedia.org/wiki/1990_French_Grand_Prix'&gt;1990_French_Grand_Prix&lt;/a&gt;</v>
      </c>
    </row>
    <row r="493" spans="1:6">
      <c r="A493" s="1">
        <v>1990</v>
      </c>
      <c r="B493" s="1">
        <v>8</v>
      </c>
      <c r="C493" s="1" t="s">
        <v>851</v>
      </c>
      <c r="D493" s="81">
        <v>33069</v>
      </c>
      <c r="E493" s="81" t="s">
        <v>1541</v>
      </c>
      <c r="F493" s="1" t="str">
        <f t="shared" si="7"/>
        <v>&lt;a href='http://en.wikipedia.org/wiki/1990_British_Grand_Prix'&gt;1990_British_Grand_Prix&lt;/a&gt;</v>
      </c>
    </row>
    <row r="494" spans="1:6">
      <c r="A494" s="1">
        <v>1990</v>
      </c>
      <c r="B494" s="1">
        <v>9</v>
      </c>
      <c r="C494" s="1" t="s">
        <v>1162</v>
      </c>
      <c r="D494" s="81">
        <v>33083</v>
      </c>
      <c r="E494" s="81" t="s">
        <v>1542</v>
      </c>
      <c r="F494" s="1" t="str">
        <f t="shared" si="7"/>
        <v>&lt;a href='http://en.wikipedia.org/wiki/1990_German_Grand_Prix'&gt;1990_German_Grand_Prix&lt;/a&gt;</v>
      </c>
    </row>
    <row r="495" spans="1:6">
      <c r="A495" s="1">
        <v>1990</v>
      </c>
      <c r="B495" s="1">
        <v>10</v>
      </c>
      <c r="C495" s="1" t="s">
        <v>1470</v>
      </c>
      <c r="D495" s="81">
        <v>33097</v>
      </c>
      <c r="E495" s="81" t="s">
        <v>1543</v>
      </c>
      <c r="F495" s="1" t="str">
        <f t="shared" si="7"/>
        <v>&lt;a href='http://en.wikipedia.org/wiki/1990_Hungarian_Grand_Prix'&gt;1990_Hungarian_Grand_Prix&lt;/a&gt;</v>
      </c>
    </row>
    <row r="496" spans="1:6">
      <c r="A496" s="1">
        <v>1990</v>
      </c>
      <c r="B496" s="1">
        <v>11</v>
      </c>
      <c r="C496" s="1" t="s">
        <v>873</v>
      </c>
      <c r="D496" s="81">
        <v>33111</v>
      </c>
      <c r="E496" s="81" t="s">
        <v>1544</v>
      </c>
      <c r="F496" s="1" t="str">
        <f t="shared" si="7"/>
        <v>&lt;a href='http://en.wikipedia.org/wiki/1990_Belgian_Grand_Prix'&gt;1990_Belgian_Grand_Prix&lt;/a&gt;</v>
      </c>
    </row>
    <row r="497" spans="1:6">
      <c r="A497" s="1">
        <v>1990</v>
      </c>
      <c r="B497" s="1">
        <v>12</v>
      </c>
      <c r="C497" s="1" t="s">
        <v>883</v>
      </c>
      <c r="D497" s="81">
        <v>33125</v>
      </c>
      <c r="E497" s="81" t="s">
        <v>1545</v>
      </c>
      <c r="F497" s="1" t="str">
        <f t="shared" si="7"/>
        <v>&lt;a href='http://en.wikipedia.org/wiki/1990_Italian_Grand_Prix'&gt;1990_Italian_Grand_Prix&lt;/a&gt;</v>
      </c>
    </row>
    <row r="498" spans="1:6">
      <c r="A498" s="1">
        <v>1990</v>
      </c>
      <c r="B498" s="1">
        <v>13</v>
      </c>
      <c r="C498" s="1" t="s">
        <v>1431</v>
      </c>
      <c r="D498" s="81">
        <v>33139</v>
      </c>
      <c r="E498" s="81" t="s">
        <v>1546</v>
      </c>
      <c r="F498" s="1" t="str">
        <f t="shared" si="7"/>
        <v>&lt;a href='http://en.wikipedia.org/wiki/1990_Portuguese_Grand_Prix'&gt;1990_Portuguese_Grand_Prix&lt;/a&gt;</v>
      </c>
    </row>
    <row r="499" spans="1:6">
      <c r="A499" s="1">
        <v>1990</v>
      </c>
      <c r="B499" s="1">
        <v>14</v>
      </c>
      <c r="C499" s="1" t="s">
        <v>1457</v>
      </c>
      <c r="D499" s="81">
        <v>33146</v>
      </c>
      <c r="E499" s="81" t="s">
        <v>1547</v>
      </c>
      <c r="F499" s="1" t="str">
        <f t="shared" si="7"/>
        <v>&lt;a href='http://en.wikipedia.org/wiki/1990_Spanish_Grand_Prix'&gt;1990_Spanish_Grand_Prix&lt;/a&gt;</v>
      </c>
    </row>
    <row r="500" spans="1:6">
      <c r="A500" s="1">
        <v>1990</v>
      </c>
      <c r="B500" s="1">
        <v>15</v>
      </c>
      <c r="C500" s="1" t="s">
        <v>1494</v>
      </c>
      <c r="D500" s="81">
        <v>33167</v>
      </c>
      <c r="E500" s="81" t="s">
        <v>1548</v>
      </c>
      <c r="F500" s="1" t="str">
        <f t="shared" si="7"/>
        <v>&lt;a href='http://en.wikipedia.org/wiki/1990_Japanese_Grand_Prix'&gt;1990_Japanese_Grand_Prix&lt;/a&gt;</v>
      </c>
    </row>
    <row r="501" spans="1:6">
      <c r="A501" s="1">
        <v>1990</v>
      </c>
      <c r="B501" s="1">
        <v>16</v>
      </c>
      <c r="C501" s="1" t="s">
        <v>1451</v>
      </c>
      <c r="D501" s="81">
        <v>33181</v>
      </c>
      <c r="E501" s="81" t="s">
        <v>1549</v>
      </c>
      <c r="F501" s="1" t="str">
        <f t="shared" si="7"/>
        <v>&lt;a href='http://en.wikipedia.org/wiki/1990_Australian_Grand_Prix'&gt;1990_Australian_Grand_Prix&lt;/a&gt;</v>
      </c>
    </row>
    <row r="502" spans="1:6">
      <c r="A502" s="1">
        <v>1991</v>
      </c>
      <c r="B502" s="1">
        <v>1</v>
      </c>
      <c r="C502" s="1" t="s">
        <v>1519</v>
      </c>
      <c r="D502" s="81">
        <v>33307</v>
      </c>
      <c r="E502" s="81" t="s">
        <v>1550</v>
      </c>
      <c r="F502" s="1" t="str">
        <f t="shared" si="7"/>
        <v>&lt;a href='http://en.wikipedia.org/wiki/1991_United_States_Grand_Prix'&gt;1991_United_States_Grand_Prix&lt;/a&gt;</v>
      </c>
    </row>
    <row r="503" spans="1:6">
      <c r="A503" s="1">
        <v>1991</v>
      </c>
      <c r="B503" s="1">
        <v>2</v>
      </c>
      <c r="C503" s="1" t="s">
        <v>1204</v>
      </c>
      <c r="D503" s="81">
        <v>33321</v>
      </c>
      <c r="E503" s="81" t="s">
        <v>1551</v>
      </c>
      <c r="F503" s="1" t="str">
        <f t="shared" si="7"/>
        <v>&lt;a href='http://en.wikipedia.org/wiki/1991_Brazilian_Grand_Prix'&gt;1991_Brazilian_Grand_Prix&lt;/a&gt;</v>
      </c>
    </row>
    <row r="504" spans="1:6">
      <c r="A504" s="1">
        <v>1991</v>
      </c>
      <c r="B504" s="1">
        <v>3</v>
      </c>
      <c r="C504" s="1" t="s">
        <v>1350</v>
      </c>
      <c r="D504" s="81">
        <v>33356</v>
      </c>
      <c r="E504" s="81" t="s">
        <v>1552</v>
      </c>
      <c r="F504" s="1" t="str">
        <f t="shared" si="7"/>
        <v>&lt;a href='http://en.wikipedia.org/wiki/1991_San_Marino_Grand_Prix'&gt;1991_San_Marino_Grand_Prix&lt;/a&gt;</v>
      </c>
    </row>
    <row r="505" spans="1:6">
      <c r="A505" s="1">
        <v>1991</v>
      </c>
      <c r="B505" s="1">
        <v>4</v>
      </c>
      <c r="C505" s="1" t="s">
        <v>857</v>
      </c>
      <c r="D505" s="81">
        <v>33370</v>
      </c>
      <c r="E505" s="81" t="s">
        <v>1553</v>
      </c>
      <c r="F505" s="1" t="str">
        <f t="shared" si="7"/>
        <v>&lt;a href='http://en.wikipedia.org/wiki/1991_Monaco_Grand_Prix'&gt;1991_Monaco_Grand_Prix&lt;/a&gt;</v>
      </c>
    </row>
    <row r="506" spans="1:6">
      <c r="A506" s="1">
        <v>1991</v>
      </c>
      <c r="B506" s="1">
        <v>5</v>
      </c>
      <c r="C506" s="1" t="s">
        <v>1320</v>
      </c>
      <c r="D506" s="81">
        <v>33391</v>
      </c>
      <c r="E506" s="81" t="s">
        <v>1554</v>
      </c>
      <c r="F506" s="1" t="str">
        <f t="shared" si="7"/>
        <v>&lt;a href='http://en.wikipedia.org/wiki/1991_Canadian_Grand_Prix'&gt;1991_Canadian_Grand_Prix&lt;/a&gt;</v>
      </c>
    </row>
    <row r="507" spans="1:6">
      <c r="A507" s="1">
        <v>1991</v>
      </c>
      <c r="B507" s="1">
        <v>6</v>
      </c>
      <c r="C507" s="1" t="s">
        <v>1057</v>
      </c>
      <c r="D507" s="81">
        <v>33405</v>
      </c>
      <c r="E507" s="81" t="s">
        <v>1555</v>
      </c>
      <c r="F507" s="1" t="str">
        <f t="shared" si="7"/>
        <v>&lt;a href='http://en.wikipedia.org/wiki/1991_Mexican_Grand_Prix'&gt;1991_Mexican_Grand_Prix&lt;/a&gt;</v>
      </c>
    </row>
    <row r="508" spans="1:6">
      <c r="A508" s="1">
        <v>1991</v>
      </c>
      <c r="B508" s="1">
        <v>7</v>
      </c>
      <c r="C508" s="1" t="s">
        <v>1556</v>
      </c>
      <c r="D508" s="81">
        <v>33426</v>
      </c>
      <c r="E508" s="81" t="s">
        <v>1559</v>
      </c>
      <c r="F508" s="1" t="str">
        <f t="shared" si="7"/>
        <v>&lt;a href='http://en.wikipedia.org/wiki/1991_French_Grand_Prix'&gt;1991_French_Grand_Prix&lt;/a&gt;</v>
      </c>
    </row>
    <row r="509" spans="1:6">
      <c r="A509" s="1">
        <v>1991</v>
      </c>
      <c r="B509" s="1">
        <v>8</v>
      </c>
      <c r="C509" s="1" t="s">
        <v>851</v>
      </c>
      <c r="D509" s="81">
        <v>33433</v>
      </c>
      <c r="E509" s="81" t="s">
        <v>1560</v>
      </c>
      <c r="F509" s="1" t="str">
        <f t="shared" si="7"/>
        <v>&lt;a href='http://en.wikipedia.org/wiki/1991_British_Grand_Prix'&gt;1991_British_Grand_Prix&lt;/a&gt;</v>
      </c>
    </row>
    <row r="510" spans="1:6">
      <c r="A510" s="1">
        <v>1991</v>
      </c>
      <c r="B510" s="1">
        <v>9</v>
      </c>
      <c r="C510" s="1" t="s">
        <v>1162</v>
      </c>
      <c r="D510" s="81">
        <v>33447</v>
      </c>
      <c r="E510" s="81" t="s">
        <v>1561</v>
      </c>
      <c r="F510" s="1" t="str">
        <f t="shared" si="7"/>
        <v>&lt;a href='http://en.wikipedia.org/wiki/1991_German_Grand_Prix'&gt;1991_German_Grand_Prix&lt;/a&gt;</v>
      </c>
    </row>
    <row r="511" spans="1:6">
      <c r="A511" s="1">
        <v>1991</v>
      </c>
      <c r="B511" s="1">
        <v>10</v>
      </c>
      <c r="C511" s="1" t="s">
        <v>1470</v>
      </c>
      <c r="D511" s="81">
        <v>33461</v>
      </c>
      <c r="E511" s="81" t="s">
        <v>1562</v>
      </c>
      <c r="F511" s="1" t="str">
        <f t="shared" si="7"/>
        <v>&lt;a href='http://en.wikipedia.org/wiki/1991_Hungarian_Grand_Prix'&gt;1991_Hungarian_Grand_Prix&lt;/a&gt;</v>
      </c>
    </row>
    <row r="512" spans="1:6">
      <c r="A512" s="1">
        <v>1991</v>
      </c>
      <c r="B512" s="1">
        <v>11</v>
      </c>
      <c r="C512" s="1" t="s">
        <v>873</v>
      </c>
      <c r="D512" s="81">
        <v>33475</v>
      </c>
      <c r="E512" s="81" t="s">
        <v>1563</v>
      </c>
      <c r="F512" s="1" t="str">
        <f t="shared" si="7"/>
        <v>&lt;a href='http://en.wikipedia.org/wiki/1991_Belgian_Grand_Prix'&gt;1991_Belgian_Grand_Prix&lt;/a&gt;</v>
      </c>
    </row>
    <row r="513" spans="1:6">
      <c r="A513" s="1">
        <v>1991</v>
      </c>
      <c r="B513" s="1">
        <v>12</v>
      </c>
      <c r="C513" s="1" t="s">
        <v>883</v>
      </c>
      <c r="D513" s="81">
        <v>33489</v>
      </c>
      <c r="E513" s="81" t="s">
        <v>1564</v>
      </c>
      <c r="F513" s="1" t="str">
        <f t="shared" si="7"/>
        <v>&lt;a href='http://en.wikipedia.org/wiki/1991_Italian_Grand_Prix'&gt;1991_Italian_Grand_Prix&lt;/a&gt;</v>
      </c>
    </row>
    <row r="514" spans="1:6">
      <c r="A514" s="1">
        <v>1991</v>
      </c>
      <c r="B514" s="1">
        <v>13</v>
      </c>
      <c r="C514" s="1" t="s">
        <v>1431</v>
      </c>
      <c r="D514" s="81">
        <v>33503</v>
      </c>
      <c r="E514" s="81" t="s">
        <v>1565</v>
      </c>
      <c r="F514" s="1" t="str">
        <f t="shared" si="7"/>
        <v>&lt;a href='http://en.wikipedia.org/wiki/1991_Portuguese_Grand_Prix'&gt;1991_Portuguese_Grand_Prix&lt;/a&gt;</v>
      </c>
    </row>
    <row r="515" spans="1:6">
      <c r="A515" s="1">
        <v>1991</v>
      </c>
      <c r="B515" s="1">
        <v>14</v>
      </c>
      <c r="C515" s="1" t="s">
        <v>1566</v>
      </c>
      <c r="D515" s="81">
        <v>33510</v>
      </c>
      <c r="E515" s="81" t="s">
        <v>1569</v>
      </c>
      <c r="F515" s="1" t="str">
        <f t="shared" ref="F515:F578" si="8">"&lt;a href='"&amp;E515&amp;"'&gt;"&amp;MID(E515,30,LEN(E515)-29)&amp;"&lt;/a&gt;"</f>
        <v>&lt;a href='http://en.wikipedia.org/wiki/1991_Spanish_Grand_Prix'&gt;1991_Spanish_Grand_Prix&lt;/a&gt;</v>
      </c>
    </row>
    <row r="516" spans="1:6">
      <c r="A516" s="1">
        <v>1991</v>
      </c>
      <c r="B516" s="1">
        <v>15</v>
      </c>
      <c r="C516" s="1" t="s">
        <v>1494</v>
      </c>
      <c r="D516" s="81">
        <v>33531</v>
      </c>
      <c r="E516" s="81" t="s">
        <v>1570</v>
      </c>
      <c r="F516" s="1" t="str">
        <f t="shared" si="8"/>
        <v>&lt;a href='http://en.wikipedia.org/wiki/1991_Japanese_Grand_Prix'&gt;1991_Japanese_Grand_Prix&lt;/a&gt;</v>
      </c>
    </row>
    <row r="517" spans="1:6">
      <c r="A517" s="1">
        <v>1991</v>
      </c>
      <c r="B517" s="1">
        <v>16</v>
      </c>
      <c r="C517" s="1" t="s">
        <v>1451</v>
      </c>
      <c r="D517" s="81">
        <v>33545</v>
      </c>
      <c r="E517" s="81" t="s">
        <v>1571</v>
      </c>
      <c r="F517" s="1" t="str">
        <f t="shared" si="8"/>
        <v>&lt;a href='http://en.wikipedia.org/wiki/1991_Australian_Grand_Prix'&gt;1991_Australian_Grand_Prix&lt;/a&gt;</v>
      </c>
    </row>
    <row r="518" spans="1:6">
      <c r="A518" s="1">
        <v>1992</v>
      </c>
      <c r="B518" s="1">
        <v>1</v>
      </c>
      <c r="C518" s="1" t="s">
        <v>1103</v>
      </c>
      <c r="D518" s="81">
        <v>33664</v>
      </c>
      <c r="E518" s="81" t="s">
        <v>1572</v>
      </c>
      <c r="F518" s="1" t="str">
        <f t="shared" si="8"/>
        <v>&lt;a href='http://en.wikipedia.org/wiki/1992_South_African_Grand_Prix'&gt;1992_South_African_Grand_Prix&lt;/a&gt;</v>
      </c>
    </row>
    <row r="519" spans="1:6">
      <c r="A519" s="1">
        <v>1992</v>
      </c>
      <c r="B519" s="1">
        <v>2</v>
      </c>
      <c r="C519" s="1" t="s">
        <v>1057</v>
      </c>
      <c r="D519" s="81">
        <v>33685</v>
      </c>
      <c r="E519" s="81" t="s">
        <v>1573</v>
      </c>
      <c r="F519" s="1" t="str">
        <f t="shared" si="8"/>
        <v>&lt;a href='http://en.wikipedia.org/wiki/1992_Mexican_Grand_Prix'&gt;1992_Mexican_Grand_Prix&lt;/a&gt;</v>
      </c>
    </row>
    <row r="520" spans="1:6">
      <c r="A520" s="1">
        <v>1992</v>
      </c>
      <c r="B520" s="1">
        <v>3</v>
      </c>
      <c r="C520" s="1" t="s">
        <v>1204</v>
      </c>
      <c r="D520" s="81">
        <v>33699</v>
      </c>
      <c r="E520" s="81" t="s">
        <v>1574</v>
      </c>
      <c r="F520" s="1" t="str">
        <f t="shared" si="8"/>
        <v>&lt;a href='http://en.wikipedia.org/wiki/1992_Brazilian_Grand_Prix'&gt;1992_Brazilian_Grand_Prix&lt;/a&gt;</v>
      </c>
    </row>
    <row r="521" spans="1:6">
      <c r="A521" s="1">
        <v>1992</v>
      </c>
      <c r="B521" s="1">
        <v>4</v>
      </c>
      <c r="C521" s="1" t="s">
        <v>1566</v>
      </c>
      <c r="D521" s="81">
        <v>33727</v>
      </c>
      <c r="E521" s="81" t="s">
        <v>1575</v>
      </c>
      <c r="F521" s="1" t="str">
        <f t="shared" si="8"/>
        <v>&lt;a href='http://en.wikipedia.org/wiki/1992_Spanish_Grand_Prix'&gt;1992_Spanish_Grand_Prix&lt;/a&gt;</v>
      </c>
    </row>
    <row r="522" spans="1:6">
      <c r="A522" s="1">
        <v>1992</v>
      </c>
      <c r="B522" s="1">
        <v>5</v>
      </c>
      <c r="C522" s="1" t="s">
        <v>1350</v>
      </c>
      <c r="D522" s="81">
        <v>33741</v>
      </c>
      <c r="E522" s="81" t="s">
        <v>1576</v>
      </c>
      <c r="F522" s="1" t="str">
        <f t="shared" si="8"/>
        <v>&lt;a href='http://en.wikipedia.org/wiki/1992_San_Marino_Grand_Prix'&gt;1992_San_Marino_Grand_Prix&lt;/a&gt;</v>
      </c>
    </row>
    <row r="523" spans="1:6">
      <c r="A523" s="1">
        <v>1992</v>
      </c>
      <c r="B523" s="1">
        <v>6</v>
      </c>
      <c r="C523" s="1" t="s">
        <v>857</v>
      </c>
      <c r="D523" s="81">
        <v>33755</v>
      </c>
      <c r="E523" s="81" t="s">
        <v>1577</v>
      </c>
      <c r="F523" s="1" t="str">
        <f t="shared" si="8"/>
        <v>&lt;a href='http://en.wikipedia.org/wiki/1992_Monaco_Grand_Prix'&gt;1992_Monaco_Grand_Prix&lt;/a&gt;</v>
      </c>
    </row>
    <row r="524" spans="1:6">
      <c r="A524" s="1">
        <v>1992</v>
      </c>
      <c r="B524" s="1">
        <v>7</v>
      </c>
      <c r="C524" s="1" t="s">
        <v>1320</v>
      </c>
      <c r="D524" s="81">
        <v>33769</v>
      </c>
      <c r="E524" s="81" t="s">
        <v>1578</v>
      </c>
      <c r="F524" s="1" t="str">
        <f t="shared" si="8"/>
        <v>&lt;a href='http://en.wikipedia.org/wiki/1992_Canadian_Grand_Prix'&gt;1992_Canadian_Grand_Prix&lt;/a&gt;</v>
      </c>
    </row>
    <row r="525" spans="1:6">
      <c r="A525" s="1">
        <v>1992</v>
      </c>
      <c r="B525" s="1">
        <v>8</v>
      </c>
      <c r="C525" s="1" t="s">
        <v>1556</v>
      </c>
      <c r="D525" s="81">
        <v>33790</v>
      </c>
      <c r="E525" s="81" t="s">
        <v>1579</v>
      </c>
      <c r="F525" s="1" t="str">
        <f t="shared" si="8"/>
        <v>&lt;a href='http://en.wikipedia.org/wiki/1992_French_Grand_Prix'&gt;1992_French_Grand_Prix&lt;/a&gt;</v>
      </c>
    </row>
    <row r="526" spans="1:6">
      <c r="A526" s="1">
        <v>1992</v>
      </c>
      <c r="B526" s="1">
        <v>9</v>
      </c>
      <c r="C526" s="1" t="s">
        <v>851</v>
      </c>
      <c r="D526" s="81">
        <v>33797</v>
      </c>
      <c r="E526" s="81" t="s">
        <v>1580</v>
      </c>
      <c r="F526" s="1" t="str">
        <f t="shared" si="8"/>
        <v>&lt;a href='http://en.wikipedia.org/wiki/1992_British_Grand_Prix'&gt;1992_British_Grand_Prix&lt;/a&gt;</v>
      </c>
    </row>
    <row r="527" spans="1:6">
      <c r="A527" s="1">
        <v>1992</v>
      </c>
      <c r="B527" s="1">
        <v>10</v>
      </c>
      <c r="C527" s="1" t="s">
        <v>1162</v>
      </c>
      <c r="D527" s="81">
        <v>33811</v>
      </c>
      <c r="E527" s="81" t="s">
        <v>1581</v>
      </c>
      <c r="F527" s="1" t="str">
        <f t="shared" si="8"/>
        <v>&lt;a href='http://en.wikipedia.org/wiki/1992_German_Grand_Prix'&gt;1992_German_Grand_Prix&lt;/a&gt;</v>
      </c>
    </row>
    <row r="528" spans="1:6">
      <c r="A528" s="1">
        <v>1992</v>
      </c>
      <c r="B528" s="1">
        <v>11</v>
      </c>
      <c r="C528" s="1" t="s">
        <v>1470</v>
      </c>
      <c r="D528" s="81">
        <v>33832</v>
      </c>
      <c r="E528" s="81" t="s">
        <v>1582</v>
      </c>
      <c r="F528" s="1" t="str">
        <f t="shared" si="8"/>
        <v>&lt;a href='http://en.wikipedia.org/wiki/1992_Hungarian_Grand_Prix'&gt;1992_Hungarian_Grand_Prix&lt;/a&gt;</v>
      </c>
    </row>
    <row r="529" spans="1:6">
      <c r="A529" s="1">
        <v>1992</v>
      </c>
      <c r="B529" s="1">
        <v>12</v>
      </c>
      <c r="C529" s="1" t="s">
        <v>873</v>
      </c>
      <c r="D529" s="81">
        <v>33846</v>
      </c>
      <c r="E529" s="81" t="s">
        <v>1583</v>
      </c>
      <c r="F529" s="1" t="str">
        <f t="shared" si="8"/>
        <v>&lt;a href='http://en.wikipedia.org/wiki/1992_Belgian_Grand_Prix'&gt;1992_Belgian_Grand_Prix&lt;/a&gt;</v>
      </c>
    </row>
    <row r="530" spans="1:6">
      <c r="A530" s="1">
        <v>1992</v>
      </c>
      <c r="B530" s="1">
        <v>13</v>
      </c>
      <c r="C530" s="1" t="s">
        <v>883</v>
      </c>
      <c r="D530" s="81">
        <v>33860</v>
      </c>
      <c r="E530" s="81" t="s">
        <v>1584</v>
      </c>
      <c r="F530" s="1" t="str">
        <f t="shared" si="8"/>
        <v>&lt;a href='http://en.wikipedia.org/wiki/1992_Italian_Grand_Prix'&gt;1992_Italian_Grand_Prix&lt;/a&gt;</v>
      </c>
    </row>
    <row r="531" spans="1:6">
      <c r="A531" s="1">
        <v>1992</v>
      </c>
      <c r="B531" s="1">
        <v>14</v>
      </c>
      <c r="C531" s="1" t="s">
        <v>1431</v>
      </c>
      <c r="D531" s="81">
        <v>33874</v>
      </c>
      <c r="E531" s="81" t="s">
        <v>1585</v>
      </c>
      <c r="F531" s="1" t="str">
        <f t="shared" si="8"/>
        <v>&lt;a href='http://en.wikipedia.org/wiki/1992_Portuguese_Grand_Prix'&gt;1992_Portuguese_Grand_Prix&lt;/a&gt;</v>
      </c>
    </row>
    <row r="532" spans="1:6">
      <c r="A532" s="1">
        <v>1992</v>
      </c>
      <c r="B532" s="1">
        <v>15</v>
      </c>
      <c r="C532" s="1" t="s">
        <v>1494</v>
      </c>
      <c r="D532" s="81">
        <v>33902</v>
      </c>
      <c r="E532" s="81" t="s">
        <v>1586</v>
      </c>
      <c r="F532" s="1" t="str">
        <f t="shared" si="8"/>
        <v>&lt;a href='http://en.wikipedia.org/wiki/1992_Japanese_Grand_Prix'&gt;1992_Japanese_Grand_Prix&lt;/a&gt;</v>
      </c>
    </row>
    <row r="533" spans="1:6">
      <c r="A533" s="1">
        <v>1992</v>
      </c>
      <c r="B533" s="1">
        <v>16</v>
      </c>
      <c r="C533" s="1" t="s">
        <v>1451</v>
      </c>
      <c r="D533" s="81">
        <v>33916</v>
      </c>
      <c r="E533" s="81" t="s">
        <v>1587</v>
      </c>
      <c r="F533" s="1" t="str">
        <f t="shared" si="8"/>
        <v>&lt;a href='http://en.wikipedia.org/wiki/1992_Australian_Grand_Prix'&gt;1992_Australian_Grand_Prix&lt;/a&gt;</v>
      </c>
    </row>
    <row r="534" spans="1:6">
      <c r="A534" s="1">
        <v>1993</v>
      </c>
      <c r="B534" s="1">
        <v>1</v>
      </c>
      <c r="C534" s="1" t="s">
        <v>1103</v>
      </c>
      <c r="D534" s="81">
        <v>34042</v>
      </c>
      <c r="E534" s="81" t="s">
        <v>1588</v>
      </c>
      <c r="F534" s="1" t="str">
        <f t="shared" si="8"/>
        <v>&lt;a href='http://en.wikipedia.org/wiki/1993_South_African_Grand_Prix'&gt;1993_South_African_Grand_Prix&lt;/a&gt;</v>
      </c>
    </row>
    <row r="535" spans="1:6">
      <c r="A535" s="1">
        <v>1993</v>
      </c>
      <c r="B535" s="1">
        <v>2</v>
      </c>
      <c r="C535" s="1" t="s">
        <v>1204</v>
      </c>
      <c r="D535" s="81">
        <v>34056</v>
      </c>
      <c r="E535" s="81" t="s">
        <v>1589</v>
      </c>
      <c r="F535" s="1" t="str">
        <f t="shared" si="8"/>
        <v>&lt;a href='http://en.wikipedia.org/wiki/1993_Brazilian_Grand_Prix'&gt;1993_Brazilian_Grand_Prix&lt;/a&gt;</v>
      </c>
    </row>
    <row r="536" spans="1:6">
      <c r="A536" s="1">
        <v>1993</v>
      </c>
      <c r="B536" s="1">
        <v>3</v>
      </c>
      <c r="C536" s="1" t="s">
        <v>1590</v>
      </c>
      <c r="D536" s="81">
        <v>34070</v>
      </c>
      <c r="E536" s="81" t="s">
        <v>1593</v>
      </c>
      <c r="F536" s="1" t="str">
        <f t="shared" si="8"/>
        <v>&lt;a href='http://en.wikipedia.org/wiki/1993_European_Grand_Prix'&gt;1993_European_Grand_Prix&lt;/a&gt;</v>
      </c>
    </row>
    <row r="537" spans="1:6">
      <c r="A537" s="1">
        <v>1993</v>
      </c>
      <c r="B537" s="1">
        <v>4</v>
      </c>
      <c r="C537" s="1" t="s">
        <v>1350</v>
      </c>
      <c r="D537" s="81">
        <v>34084</v>
      </c>
      <c r="E537" s="81" t="s">
        <v>1594</v>
      </c>
      <c r="F537" s="1" t="str">
        <f t="shared" si="8"/>
        <v>&lt;a href='http://en.wikipedia.org/wiki/1993_San_Marino_Grand_Prix'&gt;1993_San_Marino_Grand_Prix&lt;/a&gt;</v>
      </c>
    </row>
    <row r="538" spans="1:6">
      <c r="A538" s="1">
        <v>1993</v>
      </c>
      <c r="B538" s="1">
        <v>5</v>
      </c>
      <c r="C538" s="1" t="s">
        <v>1566</v>
      </c>
      <c r="D538" s="81">
        <v>34098</v>
      </c>
      <c r="E538" s="81" t="s">
        <v>1595</v>
      </c>
      <c r="F538" s="1" t="str">
        <f t="shared" si="8"/>
        <v>&lt;a href='http://en.wikipedia.org/wiki/1993_Spanish_Grand_Prix'&gt;1993_Spanish_Grand_Prix&lt;/a&gt;</v>
      </c>
    </row>
    <row r="539" spans="1:6">
      <c r="A539" s="1">
        <v>1993</v>
      </c>
      <c r="B539" s="1">
        <v>6</v>
      </c>
      <c r="C539" s="1" t="s">
        <v>857</v>
      </c>
      <c r="D539" s="81">
        <v>34112</v>
      </c>
      <c r="E539" s="81" t="s">
        <v>1596</v>
      </c>
      <c r="F539" s="1" t="str">
        <f t="shared" si="8"/>
        <v>&lt;a href='http://en.wikipedia.org/wiki/1993_Monaco_Grand_Prix'&gt;1993_Monaco_Grand_Prix&lt;/a&gt;</v>
      </c>
    </row>
    <row r="540" spans="1:6">
      <c r="A540" s="1">
        <v>1993</v>
      </c>
      <c r="B540" s="1">
        <v>7</v>
      </c>
      <c r="C540" s="1" t="s">
        <v>1320</v>
      </c>
      <c r="D540" s="81">
        <v>34133</v>
      </c>
      <c r="E540" s="81" t="s">
        <v>1597</v>
      </c>
      <c r="F540" s="1" t="str">
        <f t="shared" si="8"/>
        <v>&lt;a href='http://en.wikipedia.org/wiki/1993_Canadian_Grand_Prix'&gt;1993_Canadian_Grand_Prix&lt;/a&gt;</v>
      </c>
    </row>
    <row r="541" spans="1:6">
      <c r="A541" s="1">
        <v>1993</v>
      </c>
      <c r="B541" s="1">
        <v>8</v>
      </c>
      <c r="C541" s="1" t="s">
        <v>1556</v>
      </c>
      <c r="D541" s="81">
        <v>34154</v>
      </c>
      <c r="E541" s="81" t="s">
        <v>1598</v>
      </c>
      <c r="F541" s="1" t="str">
        <f t="shared" si="8"/>
        <v>&lt;a href='http://en.wikipedia.org/wiki/1993_French_Grand_Prix'&gt;1993_French_Grand_Prix&lt;/a&gt;</v>
      </c>
    </row>
    <row r="542" spans="1:6">
      <c r="A542" s="1">
        <v>1993</v>
      </c>
      <c r="B542" s="1">
        <v>9</v>
      </c>
      <c r="C542" s="1" t="s">
        <v>851</v>
      </c>
      <c r="D542" s="81">
        <v>34161</v>
      </c>
      <c r="E542" s="81" t="s">
        <v>1599</v>
      </c>
      <c r="F542" s="1" t="str">
        <f t="shared" si="8"/>
        <v>&lt;a href='http://en.wikipedia.org/wiki/1993_British_Grand_Prix'&gt;1993_British_Grand_Prix&lt;/a&gt;</v>
      </c>
    </row>
    <row r="543" spans="1:6">
      <c r="A543" s="1">
        <v>1993</v>
      </c>
      <c r="B543" s="1">
        <v>10</v>
      </c>
      <c r="C543" s="1" t="s">
        <v>1162</v>
      </c>
      <c r="D543" s="81">
        <v>34175</v>
      </c>
      <c r="E543" s="81" t="s">
        <v>1600</v>
      </c>
      <c r="F543" s="1" t="str">
        <f t="shared" si="8"/>
        <v>&lt;a href='http://en.wikipedia.org/wiki/1993_German_Grand_Prix'&gt;1993_German_Grand_Prix&lt;/a&gt;</v>
      </c>
    </row>
    <row r="544" spans="1:6">
      <c r="A544" s="1">
        <v>1993</v>
      </c>
      <c r="B544" s="1">
        <v>11</v>
      </c>
      <c r="C544" s="1" t="s">
        <v>1470</v>
      </c>
      <c r="D544" s="81">
        <v>34196</v>
      </c>
      <c r="E544" s="81" t="s">
        <v>1601</v>
      </c>
      <c r="F544" s="1" t="str">
        <f t="shared" si="8"/>
        <v>&lt;a href='http://en.wikipedia.org/wiki/1993_Hungarian_Grand_Prix'&gt;1993_Hungarian_Grand_Prix&lt;/a&gt;</v>
      </c>
    </row>
    <row r="545" spans="1:6">
      <c r="A545" s="1">
        <v>1993</v>
      </c>
      <c r="B545" s="1">
        <v>12</v>
      </c>
      <c r="C545" s="1" t="s">
        <v>873</v>
      </c>
      <c r="D545" s="81">
        <v>34210</v>
      </c>
      <c r="E545" s="81" t="s">
        <v>1602</v>
      </c>
      <c r="F545" s="1" t="str">
        <f t="shared" si="8"/>
        <v>&lt;a href='http://en.wikipedia.org/wiki/1993_Belgian_Grand_Prix'&gt;1993_Belgian_Grand_Prix&lt;/a&gt;</v>
      </c>
    </row>
    <row r="546" spans="1:6">
      <c r="A546" s="1">
        <v>1993</v>
      </c>
      <c r="B546" s="1">
        <v>13</v>
      </c>
      <c r="C546" s="1" t="s">
        <v>883</v>
      </c>
      <c r="D546" s="81">
        <v>34224</v>
      </c>
      <c r="E546" s="81" t="s">
        <v>1603</v>
      </c>
      <c r="F546" s="1" t="str">
        <f t="shared" si="8"/>
        <v>&lt;a href='http://en.wikipedia.org/wiki/1993_Italian_Grand_Prix'&gt;1993_Italian_Grand_Prix&lt;/a&gt;</v>
      </c>
    </row>
    <row r="547" spans="1:6">
      <c r="A547" s="1">
        <v>1993</v>
      </c>
      <c r="B547" s="1">
        <v>14</v>
      </c>
      <c r="C547" s="1" t="s">
        <v>1431</v>
      </c>
      <c r="D547" s="81">
        <v>34238</v>
      </c>
      <c r="E547" s="81" t="s">
        <v>1604</v>
      </c>
      <c r="F547" s="1" t="str">
        <f t="shared" si="8"/>
        <v>&lt;a href='http://en.wikipedia.org/wiki/1993_Portuguese_Grand_Prix'&gt;1993_Portuguese_Grand_Prix&lt;/a&gt;</v>
      </c>
    </row>
    <row r="548" spans="1:6">
      <c r="A548" s="1">
        <v>1993</v>
      </c>
      <c r="B548" s="1">
        <v>15</v>
      </c>
      <c r="C548" s="1" t="s">
        <v>1494</v>
      </c>
      <c r="D548" s="81">
        <v>34266</v>
      </c>
      <c r="E548" s="81" t="s">
        <v>1605</v>
      </c>
      <c r="F548" s="1" t="str">
        <f t="shared" si="8"/>
        <v>&lt;a href='http://en.wikipedia.org/wiki/1993_Japanese_Grand_Prix'&gt;1993_Japanese_Grand_Prix&lt;/a&gt;</v>
      </c>
    </row>
    <row r="549" spans="1:6">
      <c r="A549" s="1">
        <v>1993</v>
      </c>
      <c r="B549" s="1">
        <v>16</v>
      </c>
      <c r="C549" s="1" t="s">
        <v>1451</v>
      </c>
      <c r="D549" s="81">
        <v>34280</v>
      </c>
      <c r="E549" s="81" t="s">
        <v>1606</v>
      </c>
      <c r="F549" s="1" t="str">
        <f t="shared" si="8"/>
        <v>&lt;a href='http://en.wikipedia.org/wiki/1993_Australian_Grand_Prix'&gt;1993_Australian_Grand_Prix&lt;/a&gt;</v>
      </c>
    </row>
    <row r="550" spans="1:6">
      <c r="A550" s="1">
        <v>1994</v>
      </c>
      <c r="B550" s="1">
        <v>1</v>
      </c>
      <c r="C550" s="1" t="s">
        <v>1204</v>
      </c>
      <c r="D550" s="81">
        <v>34420</v>
      </c>
      <c r="E550" s="81" t="s">
        <v>1607</v>
      </c>
      <c r="F550" s="1" t="str">
        <f t="shared" si="8"/>
        <v>&lt;a href='http://en.wikipedia.org/wiki/1994_Brazilian_Grand_Prix'&gt;1994_Brazilian_Grand_Prix&lt;/a&gt;</v>
      </c>
    </row>
    <row r="551" spans="1:6">
      <c r="A551" s="1">
        <v>1994</v>
      </c>
      <c r="B551" s="1">
        <v>2</v>
      </c>
      <c r="C551" s="1" t="s">
        <v>1609</v>
      </c>
      <c r="D551" s="81">
        <v>34441</v>
      </c>
      <c r="E551" s="81" t="s">
        <v>1612</v>
      </c>
      <c r="F551" s="1" t="str">
        <f t="shared" si="8"/>
        <v>&lt;a href='http://en.wikipedia.org/wiki/1994_Pacific_Grand_Prix'&gt;1994_Pacific_Grand_Prix&lt;/a&gt;</v>
      </c>
    </row>
    <row r="552" spans="1:6">
      <c r="A552" s="1">
        <v>1994</v>
      </c>
      <c r="B552" s="1">
        <v>3</v>
      </c>
      <c r="C552" s="1" t="s">
        <v>1350</v>
      </c>
      <c r="D552" s="81">
        <v>34455</v>
      </c>
      <c r="E552" s="81" t="s">
        <v>1613</v>
      </c>
      <c r="F552" s="1" t="str">
        <f t="shared" si="8"/>
        <v>&lt;a href='http://en.wikipedia.org/wiki/1994_San_Marino_Grand_Prix'&gt;1994_San_Marino_Grand_Prix&lt;/a&gt;</v>
      </c>
    </row>
    <row r="553" spans="1:6">
      <c r="A553" s="1">
        <v>1994</v>
      </c>
      <c r="B553" s="1">
        <v>4</v>
      </c>
      <c r="C553" s="1" t="s">
        <v>857</v>
      </c>
      <c r="D553" s="81">
        <v>34469</v>
      </c>
      <c r="E553" s="81" t="s">
        <v>1614</v>
      </c>
      <c r="F553" s="1" t="str">
        <f t="shared" si="8"/>
        <v>&lt;a href='http://en.wikipedia.org/wiki/1994_Monaco_Grand_Prix'&gt;1994_Monaco_Grand_Prix&lt;/a&gt;</v>
      </c>
    </row>
    <row r="554" spans="1:6">
      <c r="A554" s="1">
        <v>1994</v>
      </c>
      <c r="B554" s="1">
        <v>5</v>
      </c>
      <c r="C554" s="1" t="s">
        <v>1566</v>
      </c>
      <c r="D554" s="81">
        <v>34483</v>
      </c>
      <c r="E554" s="81" t="s">
        <v>1615</v>
      </c>
      <c r="F554" s="1" t="str">
        <f t="shared" si="8"/>
        <v>&lt;a href='http://en.wikipedia.org/wiki/1994_Spanish_Grand_Prix'&gt;1994_Spanish_Grand_Prix&lt;/a&gt;</v>
      </c>
    </row>
    <row r="555" spans="1:6">
      <c r="A555" s="1">
        <v>1994</v>
      </c>
      <c r="B555" s="1">
        <v>6</v>
      </c>
      <c r="C555" s="1" t="s">
        <v>1320</v>
      </c>
      <c r="D555" s="81">
        <v>34497</v>
      </c>
      <c r="E555" s="81" t="s">
        <v>1616</v>
      </c>
      <c r="F555" s="1" t="str">
        <f t="shared" si="8"/>
        <v>&lt;a href='http://en.wikipedia.org/wiki/1994_Canadian_Grand_Prix'&gt;1994_Canadian_Grand_Prix&lt;/a&gt;</v>
      </c>
    </row>
    <row r="556" spans="1:6">
      <c r="A556" s="1">
        <v>1994</v>
      </c>
      <c r="B556" s="1">
        <v>7</v>
      </c>
      <c r="C556" s="1" t="s">
        <v>1556</v>
      </c>
      <c r="D556" s="81">
        <v>34518</v>
      </c>
      <c r="E556" s="81" t="s">
        <v>1617</v>
      </c>
      <c r="F556" s="1" t="str">
        <f t="shared" si="8"/>
        <v>&lt;a href='http://en.wikipedia.org/wiki/1994_French_Grand_Prix'&gt;1994_French_Grand_Prix&lt;/a&gt;</v>
      </c>
    </row>
    <row r="557" spans="1:6">
      <c r="A557" s="1">
        <v>1994</v>
      </c>
      <c r="B557" s="1">
        <v>8</v>
      </c>
      <c r="C557" s="1" t="s">
        <v>851</v>
      </c>
      <c r="D557" s="81">
        <v>34525</v>
      </c>
      <c r="E557" s="81" t="s">
        <v>1618</v>
      </c>
      <c r="F557" s="1" t="str">
        <f t="shared" si="8"/>
        <v>&lt;a href='http://en.wikipedia.org/wiki/1994_British_Grand_Prix'&gt;1994_British_Grand_Prix&lt;/a&gt;</v>
      </c>
    </row>
    <row r="558" spans="1:6">
      <c r="A558" s="1">
        <v>1994</v>
      </c>
      <c r="B558" s="1">
        <v>9</v>
      </c>
      <c r="C558" s="1" t="s">
        <v>1162</v>
      </c>
      <c r="D558" s="81">
        <v>34546</v>
      </c>
      <c r="E558" s="81" t="s">
        <v>1619</v>
      </c>
      <c r="F558" s="1" t="str">
        <f t="shared" si="8"/>
        <v>&lt;a href='http://en.wikipedia.org/wiki/1994_German_Grand_Prix'&gt;1994_German_Grand_Prix&lt;/a&gt;</v>
      </c>
    </row>
    <row r="559" spans="1:6">
      <c r="A559" s="1">
        <v>1994</v>
      </c>
      <c r="B559" s="1">
        <v>10</v>
      </c>
      <c r="C559" s="1" t="s">
        <v>1470</v>
      </c>
      <c r="D559" s="81">
        <v>34560</v>
      </c>
      <c r="E559" s="81" t="s">
        <v>1620</v>
      </c>
      <c r="F559" s="1" t="str">
        <f t="shared" si="8"/>
        <v>&lt;a href='http://en.wikipedia.org/wiki/1994_Hungarian_Grand_Prix'&gt;1994_Hungarian_Grand_Prix&lt;/a&gt;</v>
      </c>
    </row>
    <row r="560" spans="1:6">
      <c r="A560" s="1">
        <v>1994</v>
      </c>
      <c r="B560" s="1">
        <v>11</v>
      </c>
      <c r="C560" s="1" t="s">
        <v>873</v>
      </c>
      <c r="D560" s="81">
        <v>34574</v>
      </c>
      <c r="E560" s="81" t="s">
        <v>1621</v>
      </c>
      <c r="F560" s="1" t="str">
        <f t="shared" si="8"/>
        <v>&lt;a href='http://en.wikipedia.org/wiki/1994_Belgian_Grand_Prix'&gt;1994_Belgian_Grand_Prix&lt;/a&gt;</v>
      </c>
    </row>
    <row r="561" spans="1:6">
      <c r="A561" s="1">
        <v>1994</v>
      </c>
      <c r="B561" s="1">
        <v>12</v>
      </c>
      <c r="C561" s="1" t="s">
        <v>883</v>
      </c>
      <c r="D561" s="81">
        <v>34588</v>
      </c>
      <c r="E561" s="81" t="s">
        <v>1622</v>
      </c>
      <c r="F561" s="1" t="str">
        <f t="shared" si="8"/>
        <v>&lt;a href='http://en.wikipedia.org/wiki/1994_Italian_Grand_Prix'&gt;1994_Italian_Grand_Prix&lt;/a&gt;</v>
      </c>
    </row>
    <row r="562" spans="1:6">
      <c r="A562" s="1">
        <v>1994</v>
      </c>
      <c r="B562" s="1">
        <v>13</v>
      </c>
      <c r="C562" s="1" t="s">
        <v>1431</v>
      </c>
      <c r="D562" s="81">
        <v>34602</v>
      </c>
      <c r="E562" s="81" t="s">
        <v>1623</v>
      </c>
      <c r="F562" s="1" t="str">
        <f t="shared" si="8"/>
        <v>&lt;a href='http://en.wikipedia.org/wiki/1994_Portuguese_Grand_Prix'&gt;1994_Portuguese_Grand_Prix&lt;/a&gt;</v>
      </c>
    </row>
    <row r="563" spans="1:6">
      <c r="A563" s="1">
        <v>1994</v>
      </c>
      <c r="B563" s="1">
        <v>14</v>
      </c>
      <c r="C563" s="1" t="s">
        <v>1457</v>
      </c>
      <c r="D563" s="81">
        <v>34623</v>
      </c>
      <c r="E563" s="81" t="s">
        <v>1624</v>
      </c>
      <c r="F563" s="1" t="str">
        <f t="shared" si="8"/>
        <v>&lt;a href='http://en.wikipedia.org/wiki/1994_European_Grand_Prix'&gt;1994_European_Grand_Prix&lt;/a&gt;</v>
      </c>
    </row>
    <row r="564" spans="1:6">
      <c r="A564" s="1">
        <v>1994</v>
      </c>
      <c r="B564" s="1">
        <v>15</v>
      </c>
      <c r="C564" s="1" t="s">
        <v>1494</v>
      </c>
      <c r="D564" s="81">
        <v>34644</v>
      </c>
      <c r="E564" s="81" t="s">
        <v>1625</v>
      </c>
      <c r="F564" s="1" t="str">
        <f t="shared" si="8"/>
        <v>&lt;a href='http://en.wikipedia.org/wiki/1994_Japanese_Grand_Prix'&gt;1994_Japanese_Grand_Prix&lt;/a&gt;</v>
      </c>
    </row>
    <row r="565" spans="1:6">
      <c r="A565" s="1">
        <v>1994</v>
      </c>
      <c r="B565" s="1">
        <v>16</v>
      </c>
      <c r="C565" s="1" t="s">
        <v>1451</v>
      </c>
      <c r="D565" s="81">
        <v>34651</v>
      </c>
      <c r="E565" s="81" t="s">
        <v>1626</v>
      </c>
      <c r="F565" s="1" t="str">
        <f t="shared" si="8"/>
        <v>&lt;a href='http://en.wikipedia.org/wiki/1994_Australian_Grand_Prix'&gt;1994_Australian_Grand_Prix&lt;/a&gt;</v>
      </c>
    </row>
    <row r="566" spans="1:6">
      <c r="A566" s="1">
        <v>1995</v>
      </c>
      <c r="B566" s="1">
        <v>1</v>
      </c>
      <c r="C566" s="1" t="s">
        <v>1204</v>
      </c>
      <c r="D566" s="81">
        <v>34784</v>
      </c>
      <c r="E566" s="81" t="s">
        <v>1627</v>
      </c>
      <c r="F566" s="1" t="str">
        <f t="shared" si="8"/>
        <v>&lt;a href='http://en.wikipedia.org/wiki/1995_Brazilian_Grand_Prix'&gt;1995_Brazilian_Grand_Prix&lt;/a&gt;</v>
      </c>
    </row>
    <row r="567" spans="1:6">
      <c r="A567" s="1">
        <v>1995</v>
      </c>
      <c r="B567" s="1">
        <v>2</v>
      </c>
      <c r="C567" s="1" t="s">
        <v>922</v>
      </c>
      <c r="D567" s="81">
        <v>34798</v>
      </c>
      <c r="E567" s="81" t="s">
        <v>1628</v>
      </c>
      <c r="F567" s="1" t="str">
        <f t="shared" si="8"/>
        <v>&lt;a href='http://en.wikipedia.org/wiki/1995_Argentine_Grand_Prix'&gt;1995_Argentine_Grand_Prix&lt;/a&gt;</v>
      </c>
    </row>
    <row r="568" spans="1:6">
      <c r="A568" s="1">
        <v>1995</v>
      </c>
      <c r="B568" s="1">
        <v>3</v>
      </c>
      <c r="C568" s="1" t="s">
        <v>1350</v>
      </c>
      <c r="D568" s="81">
        <v>34819</v>
      </c>
      <c r="E568" s="81" t="s">
        <v>1629</v>
      </c>
      <c r="F568" s="1" t="str">
        <f t="shared" si="8"/>
        <v>&lt;a href='http://en.wikipedia.org/wiki/1995_San_Marino_Grand_Prix'&gt;1995_San_Marino_Grand_Prix&lt;/a&gt;</v>
      </c>
    </row>
    <row r="569" spans="1:6">
      <c r="A569" s="1">
        <v>1995</v>
      </c>
      <c r="B569" s="1">
        <v>4</v>
      </c>
      <c r="C569" s="1" t="s">
        <v>1566</v>
      </c>
      <c r="D569" s="81">
        <v>34833</v>
      </c>
      <c r="E569" s="81" t="s">
        <v>1630</v>
      </c>
      <c r="F569" s="1" t="str">
        <f t="shared" si="8"/>
        <v>&lt;a href='http://en.wikipedia.org/wiki/1995_Spanish_Grand_Prix'&gt;1995_Spanish_Grand_Prix&lt;/a&gt;</v>
      </c>
    </row>
    <row r="570" spans="1:6">
      <c r="A570" s="1">
        <v>1995</v>
      </c>
      <c r="B570" s="1">
        <v>5</v>
      </c>
      <c r="C570" s="1" t="s">
        <v>857</v>
      </c>
      <c r="D570" s="81">
        <v>34847</v>
      </c>
      <c r="E570" s="81" t="s">
        <v>1631</v>
      </c>
      <c r="F570" s="1" t="str">
        <f t="shared" si="8"/>
        <v>&lt;a href='http://en.wikipedia.org/wiki/1995_Monaco_Grand_Prix'&gt;1995_Monaco_Grand_Prix&lt;/a&gt;</v>
      </c>
    </row>
    <row r="571" spans="1:6">
      <c r="A571" s="1">
        <v>1995</v>
      </c>
      <c r="B571" s="1">
        <v>6</v>
      </c>
      <c r="C571" s="1" t="s">
        <v>1320</v>
      </c>
      <c r="D571" s="81">
        <v>34861</v>
      </c>
      <c r="E571" s="81" t="s">
        <v>1632</v>
      </c>
      <c r="F571" s="1" t="str">
        <f t="shared" si="8"/>
        <v>&lt;a href='http://en.wikipedia.org/wiki/1995_Canadian_Grand_Prix'&gt;1995_Canadian_Grand_Prix&lt;/a&gt;</v>
      </c>
    </row>
    <row r="572" spans="1:6">
      <c r="A572" s="1">
        <v>1995</v>
      </c>
      <c r="B572" s="1">
        <v>7</v>
      </c>
      <c r="C572" s="1" t="s">
        <v>1556</v>
      </c>
      <c r="D572" s="81">
        <v>34882</v>
      </c>
      <c r="E572" s="81" t="s">
        <v>1633</v>
      </c>
      <c r="F572" s="1" t="str">
        <f t="shared" si="8"/>
        <v>&lt;a href='http://en.wikipedia.org/wiki/1995_French_Grand_Prix'&gt;1995_French_Grand_Prix&lt;/a&gt;</v>
      </c>
    </row>
    <row r="573" spans="1:6">
      <c r="A573" s="1">
        <v>1995</v>
      </c>
      <c r="B573" s="1">
        <v>8</v>
      </c>
      <c r="C573" s="1" t="s">
        <v>851</v>
      </c>
      <c r="D573" s="81">
        <v>34896</v>
      </c>
      <c r="E573" s="81" t="s">
        <v>1634</v>
      </c>
      <c r="F573" s="1" t="str">
        <f t="shared" si="8"/>
        <v>&lt;a href='http://en.wikipedia.org/wiki/1995_British_Grand_Prix'&gt;1995_British_Grand_Prix&lt;/a&gt;</v>
      </c>
    </row>
    <row r="574" spans="1:6">
      <c r="A574" s="1">
        <v>1995</v>
      </c>
      <c r="B574" s="1">
        <v>9</v>
      </c>
      <c r="C574" s="1" t="s">
        <v>1162</v>
      </c>
      <c r="D574" s="81">
        <v>34910</v>
      </c>
      <c r="E574" s="81" t="s">
        <v>1635</v>
      </c>
      <c r="F574" s="1" t="str">
        <f t="shared" si="8"/>
        <v>&lt;a href='http://en.wikipedia.org/wiki/1995_German_Grand_Prix'&gt;1995_German_Grand_Prix&lt;/a&gt;</v>
      </c>
    </row>
    <row r="575" spans="1:6">
      <c r="A575" s="1">
        <v>1995</v>
      </c>
      <c r="B575" s="1">
        <v>10</v>
      </c>
      <c r="C575" s="1" t="s">
        <v>1470</v>
      </c>
      <c r="D575" s="81">
        <v>34924</v>
      </c>
      <c r="E575" s="81" t="s">
        <v>1636</v>
      </c>
      <c r="F575" s="1" t="str">
        <f t="shared" si="8"/>
        <v>&lt;a href='http://en.wikipedia.org/wiki/1995_Hungarian_Grand_Prix'&gt;1995_Hungarian_Grand_Prix&lt;/a&gt;</v>
      </c>
    </row>
    <row r="576" spans="1:6">
      <c r="A576" s="1">
        <v>1995</v>
      </c>
      <c r="B576" s="1">
        <v>11</v>
      </c>
      <c r="C576" s="1" t="s">
        <v>873</v>
      </c>
      <c r="D576" s="81">
        <v>34938</v>
      </c>
      <c r="E576" s="81" t="s">
        <v>1637</v>
      </c>
      <c r="F576" s="1" t="str">
        <f t="shared" si="8"/>
        <v>&lt;a href='http://en.wikipedia.org/wiki/1995_Belgian_Grand_Prix'&gt;1995_Belgian_Grand_Prix&lt;/a&gt;</v>
      </c>
    </row>
    <row r="577" spans="1:6">
      <c r="A577" s="1">
        <v>1995</v>
      </c>
      <c r="B577" s="1">
        <v>12</v>
      </c>
      <c r="C577" s="1" t="s">
        <v>883</v>
      </c>
      <c r="D577" s="81">
        <v>34952</v>
      </c>
      <c r="E577" s="81" t="s">
        <v>1638</v>
      </c>
      <c r="F577" s="1" t="str">
        <f t="shared" si="8"/>
        <v>&lt;a href='http://en.wikipedia.org/wiki/1995_Italian_Grand_Prix'&gt;1995_Italian_Grand_Prix&lt;/a&gt;</v>
      </c>
    </row>
    <row r="578" spans="1:6">
      <c r="A578" s="1">
        <v>1995</v>
      </c>
      <c r="B578" s="1">
        <v>13</v>
      </c>
      <c r="C578" s="1" t="s">
        <v>1431</v>
      </c>
      <c r="D578" s="81">
        <v>34966</v>
      </c>
      <c r="E578" s="81" t="s">
        <v>1639</v>
      </c>
      <c r="F578" s="1" t="str">
        <f t="shared" si="8"/>
        <v>&lt;a href='http://en.wikipedia.org/wiki/1995_Portuguese_Grand_Prix'&gt;1995_Portuguese_Grand_Prix&lt;/a&gt;</v>
      </c>
    </row>
    <row r="579" spans="1:6">
      <c r="A579" s="1">
        <v>1995</v>
      </c>
      <c r="B579" s="1">
        <v>14</v>
      </c>
      <c r="C579" s="1" t="s">
        <v>894</v>
      </c>
      <c r="D579" s="81">
        <v>34973</v>
      </c>
      <c r="E579" s="81" t="s">
        <v>1640</v>
      </c>
      <c r="F579" s="1" t="str">
        <f t="shared" ref="F579:F642" si="9">"&lt;a href='"&amp;E579&amp;"'&gt;"&amp;MID(E579,30,LEN(E579)-29)&amp;"&lt;/a&gt;"</f>
        <v>&lt;a href='http://en.wikipedia.org/wiki/1995_European_Grand_Prix'&gt;1995_European_Grand_Prix&lt;/a&gt;</v>
      </c>
    </row>
    <row r="580" spans="1:6">
      <c r="A580" s="1">
        <v>1995</v>
      </c>
      <c r="B580" s="1">
        <v>15</v>
      </c>
      <c r="C580" s="1" t="s">
        <v>1609</v>
      </c>
      <c r="D580" s="81">
        <v>34994</v>
      </c>
      <c r="E580" s="81" t="s">
        <v>1641</v>
      </c>
      <c r="F580" s="1" t="str">
        <f t="shared" si="9"/>
        <v>&lt;a href='http://en.wikipedia.org/wiki/1995_Pacific_Grand_Prix'&gt;1995_Pacific_Grand_Prix&lt;/a&gt;</v>
      </c>
    </row>
    <row r="581" spans="1:6">
      <c r="A581" s="1">
        <v>1995</v>
      </c>
      <c r="B581" s="1">
        <v>16</v>
      </c>
      <c r="C581" s="1" t="s">
        <v>1494</v>
      </c>
      <c r="D581" s="81">
        <v>35001</v>
      </c>
      <c r="E581" s="81" t="s">
        <v>1642</v>
      </c>
      <c r="F581" s="1" t="str">
        <f t="shared" si="9"/>
        <v>&lt;a href='http://en.wikipedia.org/wiki/1995_Japanese_Grand_Prix'&gt;1995_Japanese_Grand_Prix&lt;/a&gt;</v>
      </c>
    </row>
    <row r="582" spans="1:6">
      <c r="A582" s="1">
        <v>1995</v>
      </c>
      <c r="B582" s="1">
        <v>17</v>
      </c>
      <c r="C582" s="1" t="s">
        <v>1451</v>
      </c>
      <c r="D582" s="81">
        <v>35015</v>
      </c>
      <c r="E582" s="81" t="s">
        <v>1643</v>
      </c>
      <c r="F582" s="1" t="str">
        <f t="shared" si="9"/>
        <v>&lt;a href='http://en.wikipedia.org/wiki/1995_Australian_Grand_Prix'&gt;1995_Australian_Grand_Prix&lt;/a&gt;</v>
      </c>
    </row>
    <row r="583" spans="1:6">
      <c r="A583" s="1">
        <v>1996</v>
      </c>
      <c r="B583" s="1">
        <v>1</v>
      </c>
      <c r="C583" s="1" t="s">
        <v>1644</v>
      </c>
      <c r="D583" s="81">
        <v>35134</v>
      </c>
      <c r="E583" s="81" t="s">
        <v>1647</v>
      </c>
      <c r="F583" s="1" t="str">
        <f t="shared" si="9"/>
        <v>&lt;a href='http://en.wikipedia.org/wiki/1996_Australian_Grand_Prix'&gt;1996_Australian_Grand_Prix&lt;/a&gt;</v>
      </c>
    </row>
    <row r="584" spans="1:6">
      <c r="A584" s="1">
        <v>1996</v>
      </c>
      <c r="B584" s="1">
        <v>2</v>
      </c>
      <c r="C584" s="1" t="s">
        <v>1204</v>
      </c>
      <c r="D584" s="81">
        <v>35155</v>
      </c>
      <c r="E584" s="81" t="s">
        <v>1648</v>
      </c>
      <c r="F584" s="1" t="str">
        <f t="shared" si="9"/>
        <v>&lt;a href='http://en.wikipedia.org/wiki/1996_Brazilian_Grand_Prix'&gt;1996_Brazilian_Grand_Prix&lt;/a&gt;</v>
      </c>
    </row>
    <row r="585" spans="1:6">
      <c r="A585" s="1">
        <v>1996</v>
      </c>
      <c r="B585" s="1">
        <v>3</v>
      </c>
      <c r="C585" s="1" t="s">
        <v>922</v>
      </c>
      <c r="D585" s="81">
        <v>35162</v>
      </c>
      <c r="E585" s="81" t="s">
        <v>1649</v>
      </c>
      <c r="F585" s="1" t="str">
        <f t="shared" si="9"/>
        <v>&lt;a href='http://en.wikipedia.org/wiki/1996_Argentine_Grand_Prix'&gt;1996_Argentine_Grand_Prix&lt;/a&gt;</v>
      </c>
    </row>
    <row r="586" spans="1:6">
      <c r="A586" s="1">
        <v>1996</v>
      </c>
      <c r="B586" s="1">
        <v>4</v>
      </c>
      <c r="C586" s="1" t="s">
        <v>894</v>
      </c>
      <c r="D586" s="81">
        <v>35183</v>
      </c>
      <c r="E586" s="81" t="s">
        <v>1650</v>
      </c>
      <c r="F586" s="1" t="str">
        <f t="shared" si="9"/>
        <v>&lt;a href='http://en.wikipedia.org/wiki/1996_European_Grand_Prix'&gt;1996_European_Grand_Prix&lt;/a&gt;</v>
      </c>
    </row>
    <row r="587" spans="1:6">
      <c r="A587" s="1">
        <v>1996</v>
      </c>
      <c r="B587" s="1">
        <v>5</v>
      </c>
      <c r="C587" s="1" t="s">
        <v>1350</v>
      </c>
      <c r="D587" s="81">
        <v>35190</v>
      </c>
      <c r="E587" s="81" t="s">
        <v>1651</v>
      </c>
      <c r="F587" s="1" t="str">
        <f t="shared" si="9"/>
        <v>&lt;a href='http://en.wikipedia.org/wiki/1996_San_Marino_Grand_Prix'&gt;1996_San_Marino_Grand_Prix&lt;/a&gt;</v>
      </c>
    </row>
    <row r="588" spans="1:6">
      <c r="A588" s="1">
        <v>1996</v>
      </c>
      <c r="B588" s="1">
        <v>6</v>
      </c>
      <c r="C588" s="1" t="s">
        <v>857</v>
      </c>
      <c r="D588" s="81">
        <v>35204</v>
      </c>
      <c r="E588" s="81" t="s">
        <v>1652</v>
      </c>
      <c r="F588" s="1" t="str">
        <f t="shared" si="9"/>
        <v>&lt;a href='http://en.wikipedia.org/wiki/1996_Monaco_Grand_Prix'&gt;1996_Monaco_Grand_Prix&lt;/a&gt;</v>
      </c>
    </row>
    <row r="589" spans="1:6">
      <c r="A589" s="1">
        <v>1996</v>
      </c>
      <c r="B589" s="1">
        <v>7</v>
      </c>
      <c r="C589" s="1" t="s">
        <v>1566</v>
      </c>
      <c r="D589" s="81">
        <v>35218</v>
      </c>
      <c r="E589" s="81" t="s">
        <v>1653</v>
      </c>
      <c r="F589" s="1" t="str">
        <f t="shared" si="9"/>
        <v>&lt;a href='http://en.wikipedia.org/wiki/1996_Spanish_Grand_Prix'&gt;1996_Spanish_Grand_Prix&lt;/a&gt;</v>
      </c>
    </row>
    <row r="590" spans="1:6">
      <c r="A590" s="1">
        <v>1996</v>
      </c>
      <c r="B590" s="1">
        <v>8</v>
      </c>
      <c r="C590" s="1" t="s">
        <v>1320</v>
      </c>
      <c r="D590" s="81">
        <v>35232</v>
      </c>
      <c r="E590" s="81" t="s">
        <v>1654</v>
      </c>
      <c r="F590" s="1" t="str">
        <f t="shared" si="9"/>
        <v>&lt;a href='http://en.wikipedia.org/wiki/1996_Canadian_Grand_Prix'&gt;1996_Canadian_Grand_Prix&lt;/a&gt;</v>
      </c>
    </row>
    <row r="591" spans="1:6">
      <c r="A591" s="1">
        <v>1996</v>
      </c>
      <c r="B591" s="1">
        <v>9</v>
      </c>
      <c r="C591" s="1" t="s">
        <v>1556</v>
      </c>
      <c r="D591" s="81">
        <v>35246</v>
      </c>
      <c r="E591" s="81" t="s">
        <v>1655</v>
      </c>
      <c r="F591" s="1" t="str">
        <f t="shared" si="9"/>
        <v>&lt;a href='http://en.wikipedia.org/wiki/1996_French_Grand_Prix'&gt;1996_French_Grand_Prix&lt;/a&gt;</v>
      </c>
    </row>
    <row r="592" spans="1:6">
      <c r="A592" s="1">
        <v>1996</v>
      </c>
      <c r="B592" s="1">
        <v>10</v>
      </c>
      <c r="C592" s="1" t="s">
        <v>851</v>
      </c>
      <c r="D592" s="81">
        <v>35260</v>
      </c>
      <c r="E592" s="81" t="s">
        <v>1656</v>
      </c>
      <c r="F592" s="1" t="str">
        <f t="shared" si="9"/>
        <v>&lt;a href='http://en.wikipedia.org/wiki/1996_British_Grand_Prix'&gt;1996_British_Grand_Prix&lt;/a&gt;</v>
      </c>
    </row>
    <row r="593" spans="1:6">
      <c r="A593" s="1">
        <v>1996</v>
      </c>
      <c r="B593" s="1">
        <v>11</v>
      </c>
      <c r="C593" s="1" t="s">
        <v>1162</v>
      </c>
      <c r="D593" s="81">
        <v>35274</v>
      </c>
      <c r="E593" s="81" t="s">
        <v>1657</v>
      </c>
      <c r="F593" s="1" t="str">
        <f t="shared" si="9"/>
        <v>&lt;a href='http://en.wikipedia.org/wiki/1996_German_Grand_Prix'&gt;1996_German_Grand_Prix&lt;/a&gt;</v>
      </c>
    </row>
    <row r="594" spans="1:6">
      <c r="A594" s="1">
        <v>1996</v>
      </c>
      <c r="B594" s="1">
        <v>12</v>
      </c>
      <c r="C594" s="1" t="s">
        <v>1470</v>
      </c>
      <c r="D594" s="81">
        <v>35288</v>
      </c>
      <c r="E594" s="81" t="s">
        <v>1658</v>
      </c>
      <c r="F594" s="1" t="str">
        <f t="shared" si="9"/>
        <v>&lt;a href='http://en.wikipedia.org/wiki/1996_Hungarian_Grand_Prix'&gt;1996_Hungarian_Grand_Prix&lt;/a&gt;</v>
      </c>
    </row>
    <row r="595" spans="1:6">
      <c r="A595" s="1">
        <v>1996</v>
      </c>
      <c r="B595" s="1">
        <v>13</v>
      </c>
      <c r="C595" s="1" t="s">
        <v>873</v>
      </c>
      <c r="D595" s="81">
        <v>35302</v>
      </c>
      <c r="E595" s="81" t="s">
        <v>1659</v>
      </c>
      <c r="F595" s="1" t="str">
        <f t="shared" si="9"/>
        <v>&lt;a href='http://en.wikipedia.org/wiki/1996_Belgian_Grand_Prix'&gt;1996_Belgian_Grand_Prix&lt;/a&gt;</v>
      </c>
    </row>
    <row r="596" spans="1:6">
      <c r="A596" s="1">
        <v>1996</v>
      </c>
      <c r="B596" s="1">
        <v>14</v>
      </c>
      <c r="C596" s="1" t="s">
        <v>883</v>
      </c>
      <c r="D596" s="81">
        <v>35316</v>
      </c>
      <c r="E596" s="81" t="s">
        <v>1660</v>
      </c>
      <c r="F596" s="1" t="str">
        <f t="shared" si="9"/>
        <v>&lt;a href='http://en.wikipedia.org/wiki/1996_Italian_Grand_Prix'&gt;1996_Italian_Grand_Prix&lt;/a&gt;</v>
      </c>
    </row>
    <row r="597" spans="1:6">
      <c r="A597" s="1">
        <v>1996</v>
      </c>
      <c r="B597" s="1">
        <v>15</v>
      </c>
      <c r="C597" s="1" t="s">
        <v>1431</v>
      </c>
      <c r="D597" s="81">
        <v>35330</v>
      </c>
      <c r="E597" s="81" t="s">
        <v>1661</v>
      </c>
      <c r="F597" s="1" t="str">
        <f t="shared" si="9"/>
        <v>&lt;a href='http://en.wikipedia.org/wiki/1996_Portuguese_Grand_Prix'&gt;1996_Portuguese_Grand_Prix&lt;/a&gt;</v>
      </c>
    </row>
    <row r="598" spans="1:6">
      <c r="A598" s="1">
        <v>1996</v>
      </c>
      <c r="B598" s="1">
        <v>16</v>
      </c>
      <c r="C598" s="1" t="s">
        <v>1494</v>
      </c>
      <c r="D598" s="81">
        <v>35351</v>
      </c>
      <c r="E598" s="81" t="s">
        <v>1662</v>
      </c>
      <c r="F598" s="1" t="str">
        <f t="shared" si="9"/>
        <v>&lt;a href='http://en.wikipedia.org/wiki/1996_Japanese_Grand_Prix'&gt;1996_Japanese_Grand_Prix&lt;/a&gt;</v>
      </c>
    </row>
    <row r="599" spans="1:6">
      <c r="A599" s="1">
        <v>1997</v>
      </c>
      <c r="B599" s="1">
        <v>1</v>
      </c>
      <c r="C599" s="1" t="s">
        <v>1644</v>
      </c>
      <c r="D599" s="81">
        <v>35498</v>
      </c>
      <c r="E599" s="81" t="s">
        <v>1663</v>
      </c>
      <c r="F599" s="1" t="str">
        <f t="shared" si="9"/>
        <v>&lt;a href='http://en.wikipedia.org/wiki/1997_Australian_Grand_Prix'&gt;1997_Australian_Grand_Prix&lt;/a&gt;</v>
      </c>
    </row>
    <row r="600" spans="1:6">
      <c r="A600" s="1">
        <v>1997</v>
      </c>
      <c r="B600" s="1">
        <v>2</v>
      </c>
      <c r="C600" s="1" t="s">
        <v>1204</v>
      </c>
      <c r="D600" s="81">
        <v>35519</v>
      </c>
      <c r="E600" s="81" t="s">
        <v>1664</v>
      </c>
      <c r="F600" s="1" t="str">
        <f t="shared" si="9"/>
        <v>&lt;a href='http://en.wikipedia.org/wiki/1997_Brazilian_Grand_Prix'&gt;1997_Brazilian_Grand_Prix&lt;/a&gt;</v>
      </c>
    </row>
    <row r="601" spans="1:6">
      <c r="A601" s="1">
        <v>1997</v>
      </c>
      <c r="B601" s="1">
        <v>3</v>
      </c>
      <c r="C601" s="1" t="s">
        <v>922</v>
      </c>
      <c r="D601" s="81">
        <v>35533</v>
      </c>
      <c r="E601" s="81" t="s">
        <v>1665</v>
      </c>
      <c r="F601" s="1" t="str">
        <f t="shared" si="9"/>
        <v>&lt;a href='http://en.wikipedia.org/wiki/1997_Argentine_Grand_Prix'&gt;1997_Argentine_Grand_Prix&lt;/a&gt;</v>
      </c>
    </row>
    <row r="602" spans="1:6">
      <c r="A602" s="1">
        <v>1997</v>
      </c>
      <c r="B602" s="1">
        <v>4</v>
      </c>
      <c r="C602" s="1" t="s">
        <v>1350</v>
      </c>
      <c r="D602" s="81">
        <v>35547</v>
      </c>
      <c r="E602" s="81" t="s">
        <v>1666</v>
      </c>
      <c r="F602" s="1" t="str">
        <f t="shared" si="9"/>
        <v>&lt;a href='http://en.wikipedia.org/wiki/1997_San_Marino_Grand_Prix'&gt;1997_San_Marino_Grand_Prix&lt;/a&gt;</v>
      </c>
    </row>
    <row r="603" spans="1:6">
      <c r="A603" s="1">
        <v>1997</v>
      </c>
      <c r="B603" s="1">
        <v>5</v>
      </c>
      <c r="C603" s="1" t="s">
        <v>857</v>
      </c>
      <c r="D603" s="81">
        <v>35561</v>
      </c>
      <c r="E603" s="81" t="s">
        <v>1667</v>
      </c>
      <c r="F603" s="1" t="str">
        <f t="shared" si="9"/>
        <v>&lt;a href='http://en.wikipedia.org/wiki/1997_Monaco_Grand_Prix'&gt;1997_Monaco_Grand_Prix&lt;/a&gt;</v>
      </c>
    </row>
    <row r="604" spans="1:6">
      <c r="A604" s="1">
        <v>1997</v>
      </c>
      <c r="B604" s="1">
        <v>6</v>
      </c>
      <c r="C604" s="1" t="s">
        <v>1566</v>
      </c>
      <c r="D604" s="81">
        <v>35575</v>
      </c>
      <c r="E604" s="81" t="s">
        <v>1668</v>
      </c>
      <c r="F604" s="1" t="str">
        <f t="shared" si="9"/>
        <v>&lt;a href='http://en.wikipedia.org/wiki/1997_Spanish_Grand_Prix'&gt;1997_Spanish_Grand_Prix&lt;/a&gt;</v>
      </c>
    </row>
    <row r="605" spans="1:6">
      <c r="A605" s="1">
        <v>1997</v>
      </c>
      <c r="B605" s="1">
        <v>7</v>
      </c>
      <c r="C605" s="1" t="s">
        <v>1320</v>
      </c>
      <c r="D605" s="81">
        <v>35596</v>
      </c>
      <c r="E605" s="81" t="s">
        <v>1669</v>
      </c>
      <c r="F605" s="1" t="str">
        <f t="shared" si="9"/>
        <v>&lt;a href='http://en.wikipedia.org/wiki/1997_Canadian_Grand_Prix'&gt;1997_Canadian_Grand_Prix&lt;/a&gt;</v>
      </c>
    </row>
    <row r="606" spans="1:6">
      <c r="A606" s="1">
        <v>1997</v>
      </c>
      <c r="B606" s="1">
        <v>8</v>
      </c>
      <c r="C606" s="1" t="s">
        <v>1556</v>
      </c>
      <c r="D606" s="81">
        <v>35610</v>
      </c>
      <c r="E606" s="81" t="s">
        <v>1670</v>
      </c>
      <c r="F606" s="1" t="str">
        <f t="shared" si="9"/>
        <v>&lt;a href='http://en.wikipedia.org/wiki/1997_French_Grand_Prix'&gt;1997_French_Grand_Prix&lt;/a&gt;</v>
      </c>
    </row>
    <row r="607" spans="1:6">
      <c r="A607" s="1">
        <v>1997</v>
      </c>
      <c r="B607" s="1">
        <v>9</v>
      </c>
      <c r="C607" s="1" t="s">
        <v>851</v>
      </c>
      <c r="D607" s="81">
        <v>35624</v>
      </c>
      <c r="E607" s="81" t="s">
        <v>1671</v>
      </c>
      <c r="F607" s="1" t="str">
        <f t="shared" si="9"/>
        <v>&lt;a href='http://en.wikipedia.org/wiki/1997_British_Grand_Prix'&gt;1997_British_Grand_Prix&lt;/a&gt;</v>
      </c>
    </row>
    <row r="608" spans="1:6">
      <c r="A608" s="1">
        <v>1997</v>
      </c>
      <c r="B608" s="1">
        <v>10</v>
      </c>
      <c r="C608" s="1" t="s">
        <v>1162</v>
      </c>
      <c r="D608" s="81">
        <v>35638</v>
      </c>
      <c r="E608" s="81" t="s">
        <v>1672</v>
      </c>
      <c r="F608" s="1" t="str">
        <f t="shared" si="9"/>
        <v>&lt;a href='http://en.wikipedia.org/wiki/1997_German_Grand_Prix'&gt;1997_German_Grand_Prix&lt;/a&gt;</v>
      </c>
    </row>
    <row r="609" spans="1:6">
      <c r="A609" s="1">
        <v>1997</v>
      </c>
      <c r="B609" s="1">
        <v>11</v>
      </c>
      <c r="C609" s="1" t="s">
        <v>1470</v>
      </c>
      <c r="D609" s="81">
        <v>35652</v>
      </c>
      <c r="E609" s="81" t="s">
        <v>1673</v>
      </c>
      <c r="F609" s="1" t="str">
        <f t="shared" si="9"/>
        <v>&lt;a href='http://en.wikipedia.org/wiki/1997_Hungarian_Grand_Prix'&gt;1997_Hungarian_Grand_Prix&lt;/a&gt;</v>
      </c>
    </row>
    <row r="610" spans="1:6">
      <c r="A610" s="1">
        <v>1997</v>
      </c>
      <c r="B610" s="1">
        <v>12</v>
      </c>
      <c r="C610" s="1" t="s">
        <v>873</v>
      </c>
      <c r="D610" s="81">
        <v>35666</v>
      </c>
      <c r="E610" s="81" t="s">
        <v>1674</v>
      </c>
      <c r="F610" s="1" t="str">
        <f t="shared" si="9"/>
        <v>&lt;a href='http://en.wikipedia.org/wiki/1997_Belgian_Grand_Prix'&gt;1997_Belgian_Grand_Prix&lt;/a&gt;</v>
      </c>
    </row>
    <row r="611" spans="1:6">
      <c r="A611" s="1">
        <v>1997</v>
      </c>
      <c r="B611" s="1">
        <v>13</v>
      </c>
      <c r="C611" s="1" t="s">
        <v>883</v>
      </c>
      <c r="D611" s="81">
        <v>35680</v>
      </c>
      <c r="E611" s="81" t="s">
        <v>1675</v>
      </c>
      <c r="F611" s="1" t="str">
        <f t="shared" si="9"/>
        <v>&lt;a href='http://en.wikipedia.org/wiki/1997_Italian_Grand_Prix'&gt;1997_Italian_Grand_Prix&lt;/a&gt;</v>
      </c>
    </row>
    <row r="612" spans="1:6">
      <c r="A612" s="1">
        <v>1997</v>
      </c>
      <c r="B612" s="1">
        <v>14</v>
      </c>
      <c r="C612" s="1" t="s">
        <v>1166</v>
      </c>
      <c r="D612" s="81">
        <v>35694</v>
      </c>
      <c r="E612" s="81" t="s">
        <v>1676</v>
      </c>
      <c r="F612" s="1" t="str">
        <f t="shared" si="9"/>
        <v>&lt;a href='http://en.wikipedia.org/wiki/1997_Austrian_Grand_Prix'&gt;1997_Austrian_Grand_Prix&lt;/a&gt;</v>
      </c>
    </row>
    <row r="613" spans="1:6">
      <c r="A613" s="1">
        <v>1997</v>
      </c>
      <c r="B613" s="1">
        <v>15</v>
      </c>
      <c r="C613" s="1" t="s">
        <v>894</v>
      </c>
      <c r="D613" s="81">
        <v>35701</v>
      </c>
      <c r="E613" s="81" t="s">
        <v>1678</v>
      </c>
      <c r="F613" s="1" t="str">
        <f t="shared" si="9"/>
        <v>&lt;a href='http://en.wikipedia.org/wiki/1997_Luxembourg_Grand_Prix'&gt;1997_Luxembourg_Grand_Prix&lt;/a&gt;</v>
      </c>
    </row>
    <row r="614" spans="1:6">
      <c r="A614" s="1">
        <v>1997</v>
      </c>
      <c r="B614" s="1">
        <v>16</v>
      </c>
      <c r="C614" s="1" t="s">
        <v>1494</v>
      </c>
      <c r="D614" s="81">
        <v>35715</v>
      </c>
      <c r="E614" s="81" t="s">
        <v>1679</v>
      </c>
      <c r="F614" s="1" t="str">
        <f t="shared" si="9"/>
        <v>&lt;a href='http://en.wikipedia.org/wiki/1997_Japanese_Grand_Prix'&gt;1997_Japanese_Grand_Prix&lt;/a&gt;</v>
      </c>
    </row>
    <row r="615" spans="1:6">
      <c r="A615" s="1">
        <v>1997</v>
      </c>
      <c r="B615" s="1">
        <v>17</v>
      </c>
      <c r="C615" s="1" t="s">
        <v>1457</v>
      </c>
      <c r="D615" s="81">
        <v>35729</v>
      </c>
      <c r="E615" s="81" t="s">
        <v>1680</v>
      </c>
      <c r="F615" s="1" t="str">
        <f t="shared" si="9"/>
        <v>&lt;a href='http://en.wikipedia.org/wiki/1997_European_Grand_Prix'&gt;1997_European_Grand_Prix&lt;/a&gt;</v>
      </c>
    </row>
    <row r="616" spans="1:6">
      <c r="A616" s="1">
        <v>1998</v>
      </c>
      <c r="B616" s="1">
        <v>1</v>
      </c>
      <c r="C616" s="1" t="s">
        <v>1644</v>
      </c>
      <c r="D616" s="81">
        <v>35862</v>
      </c>
      <c r="E616" s="81" t="s">
        <v>1681</v>
      </c>
      <c r="F616" s="1" t="str">
        <f t="shared" si="9"/>
        <v>&lt;a href='http://en.wikipedia.org/wiki/1998_Australian_Grand_Prix'&gt;1998_Australian_Grand_Prix&lt;/a&gt;</v>
      </c>
    </row>
    <row r="617" spans="1:6">
      <c r="A617" s="1">
        <v>1998</v>
      </c>
      <c r="B617" s="1">
        <v>2</v>
      </c>
      <c r="C617" s="1" t="s">
        <v>1204</v>
      </c>
      <c r="D617" s="81">
        <v>35883</v>
      </c>
      <c r="E617" s="81" t="s">
        <v>1682</v>
      </c>
      <c r="F617" s="1" t="str">
        <f t="shared" si="9"/>
        <v>&lt;a href='http://en.wikipedia.org/wiki/1998_Brazilian_Grand_Prix'&gt;1998_Brazilian_Grand_Prix&lt;/a&gt;</v>
      </c>
    </row>
    <row r="618" spans="1:6">
      <c r="A618" s="1">
        <v>1998</v>
      </c>
      <c r="B618" s="1">
        <v>3</v>
      </c>
      <c r="C618" s="1" t="s">
        <v>922</v>
      </c>
      <c r="D618" s="81">
        <v>35897</v>
      </c>
      <c r="E618" s="81" t="s">
        <v>1683</v>
      </c>
      <c r="F618" s="1" t="str">
        <f t="shared" si="9"/>
        <v>&lt;a href='http://en.wikipedia.org/wiki/1998_Argentine_Grand_Prix'&gt;1998_Argentine_Grand_Prix&lt;/a&gt;</v>
      </c>
    </row>
    <row r="619" spans="1:6">
      <c r="A619" s="1">
        <v>1998</v>
      </c>
      <c r="B619" s="1">
        <v>4</v>
      </c>
      <c r="C619" s="1" t="s">
        <v>1350</v>
      </c>
      <c r="D619" s="81">
        <v>35911</v>
      </c>
      <c r="E619" s="81" t="s">
        <v>1684</v>
      </c>
      <c r="F619" s="1" t="str">
        <f t="shared" si="9"/>
        <v>&lt;a href='http://en.wikipedia.org/wiki/1998_San_Marino_Grand_Prix'&gt;1998_San_Marino_Grand_Prix&lt;/a&gt;</v>
      </c>
    </row>
    <row r="620" spans="1:6">
      <c r="A620" s="1">
        <v>1998</v>
      </c>
      <c r="B620" s="1">
        <v>5</v>
      </c>
      <c r="C620" s="1" t="s">
        <v>1566</v>
      </c>
      <c r="D620" s="81">
        <v>35925</v>
      </c>
      <c r="E620" s="81" t="s">
        <v>1685</v>
      </c>
      <c r="F620" s="1" t="str">
        <f t="shared" si="9"/>
        <v>&lt;a href='http://en.wikipedia.org/wiki/1998_Spanish_Grand_Prix'&gt;1998_Spanish_Grand_Prix&lt;/a&gt;</v>
      </c>
    </row>
    <row r="621" spans="1:6">
      <c r="A621" s="1">
        <v>1998</v>
      </c>
      <c r="B621" s="1">
        <v>6</v>
      </c>
      <c r="C621" s="1" t="s">
        <v>857</v>
      </c>
      <c r="D621" s="81">
        <v>35939</v>
      </c>
      <c r="E621" s="81" t="s">
        <v>1686</v>
      </c>
      <c r="F621" s="1" t="str">
        <f t="shared" si="9"/>
        <v>&lt;a href='http://en.wikipedia.org/wiki/1998_Monaco_Grand_Prix'&gt;1998_Monaco_Grand_Prix&lt;/a&gt;</v>
      </c>
    </row>
    <row r="622" spans="1:6">
      <c r="A622" s="1">
        <v>1998</v>
      </c>
      <c r="B622" s="1">
        <v>7</v>
      </c>
      <c r="C622" s="1" t="s">
        <v>1320</v>
      </c>
      <c r="D622" s="81">
        <v>35953</v>
      </c>
      <c r="E622" s="81" t="s">
        <v>1687</v>
      </c>
      <c r="F622" s="1" t="str">
        <f t="shared" si="9"/>
        <v>&lt;a href='http://en.wikipedia.org/wiki/1998_Canadian_Grand_Prix'&gt;1998_Canadian_Grand_Prix&lt;/a&gt;</v>
      </c>
    </row>
    <row r="623" spans="1:6">
      <c r="A623" s="1">
        <v>1998</v>
      </c>
      <c r="B623" s="1">
        <v>8</v>
      </c>
      <c r="C623" s="1" t="s">
        <v>1556</v>
      </c>
      <c r="D623" s="81">
        <v>35974</v>
      </c>
      <c r="E623" s="81" t="s">
        <v>1688</v>
      </c>
      <c r="F623" s="1" t="str">
        <f t="shared" si="9"/>
        <v>&lt;a href='http://en.wikipedia.org/wiki/1998_French_Grand_Prix'&gt;1998_French_Grand_Prix&lt;/a&gt;</v>
      </c>
    </row>
    <row r="624" spans="1:6">
      <c r="A624" s="1">
        <v>1998</v>
      </c>
      <c r="B624" s="1">
        <v>9</v>
      </c>
      <c r="C624" s="1" t="s">
        <v>851</v>
      </c>
      <c r="D624" s="81">
        <v>35988</v>
      </c>
      <c r="E624" s="81" t="s">
        <v>1689</v>
      </c>
      <c r="F624" s="1" t="str">
        <f t="shared" si="9"/>
        <v>&lt;a href='http://en.wikipedia.org/wiki/1998_British_Grand_Prix'&gt;1998_British_Grand_Prix&lt;/a&gt;</v>
      </c>
    </row>
    <row r="625" spans="1:6">
      <c r="A625" s="1">
        <v>1998</v>
      </c>
      <c r="B625" s="1">
        <v>10</v>
      </c>
      <c r="C625" s="1" t="s">
        <v>1166</v>
      </c>
      <c r="D625" s="81">
        <v>36002</v>
      </c>
      <c r="E625" s="81" t="s">
        <v>1690</v>
      </c>
      <c r="F625" s="1" t="str">
        <f t="shared" si="9"/>
        <v>&lt;a href='http://en.wikipedia.org/wiki/1998_Austrian_Grand_Prix'&gt;1998_Austrian_Grand_Prix&lt;/a&gt;</v>
      </c>
    </row>
    <row r="626" spans="1:6">
      <c r="A626" s="1">
        <v>1998</v>
      </c>
      <c r="B626" s="1">
        <v>11</v>
      </c>
      <c r="C626" s="1" t="s">
        <v>1162</v>
      </c>
      <c r="D626" s="81">
        <v>36009</v>
      </c>
      <c r="E626" s="81" t="s">
        <v>1691</v>
      </c>
      <c r="F626" s="1" t="str">
        <f t="shared" si="9"/>
        <v>&lt;a href='http://en.wikipedia.org/wiki/1998_German_Grand_Prix'&gt;1998_German_Grand_Prix&lt;/a&gt;</v>
      </c>
    </row>
    <row r="627" spans="1:6">
      <c r="A627" s="1">
        <v>1998</v>
      </c>
      <c r="B627" s="1">
        <v>12</v>
      </c>
      <c r="C627" s="1" t="s">
        <v>1470</v>
      </c>
      <c r="D627" s="81">
        <v>36023</v>
      </c>
      <c r="E627" s="81" t="s">
        <v>1692</v>
      </c>
      <c r="F627" s="1" t="str">
        <f t="shared" si="9"/>
        <v>&lt;a href='http://en.wikipedia.org/wiki/1998_Hungarian_Grand_Prix'&gt;1998_Hungarian_Grand_Prix&lt;/a&gt;</v>
      </c>
    </row>
    <row r="628" spans="1:6">
      <c r="A628" s="1">
        <v>1998</v>
      </c>
      <c r="B628" s="1">
        <v>13</v>
      </c>
      <c r="C628" s="1" t="s">
        <v>873</v>
      </c>
      <c r="D628" s="81">
        <v>36037</v>
      </c>
      <c r="E628" s="81" t="s">
        <v>1693</v>
      </c>
      <c r="F628" s="1" t="str">
        <f t="shared" si="9"/>
        <v>&lt;a href='http://en.wikipedia.org/wiki/1998_Belgian_Grand_Prix'&gt;1998_Belgian_Grand_Prix&lt;/a&gt;</v>
      </c>
    </row>
    <row r="629" spans="1:6">
      <c r="A629" s="1">
        <v>1998</v>
      </c>
      <c r="B629" s="1">
        <v>14</v>
      </c>
      <c r="C629" s="1" t="s">
        <v>883</v>
      </c>
      <c r="D629" s="81">
        <v>36051</v>
      </c>
      <c r="E629" s="81" t="s">
        <v>1694</v>
      </c>
      <c r="F629" s="1" t="str">
        <f t="shared" si="9"/>
        <v>&lt;a href='http://en.wikipedia.org/wiki/1998_Italian_Grand_Prix'&gt;1998_Italian_Grand_Prix&lt;/a&gt;</v>
      </c>
    </row>
    <row r="630" spans="1:6">
      <c r="A630" s="1">
        <v>1998</v>
      </c>
      <c r="B630" s="1">
        <v>15</v>
      </c>
      <c r="C630" s="1" t="s">
        <v>894</v>
      </c>
      <c r="D630" s="81">
        <v>36065</v>
      </c>
      <c r="E630" s="81" t="s">
        <v>1695</v>
      </c>
      <c r="F630" s="1" t="str">
        <f t="shared" si="9"/>
        <v>&lt;a href='http://en.wikipedia.org/wiki/1998_Luxembourg_Grand_Prix'&gt;1998_Luxembourg_Grand_Prix&lt;/a&gt;</v>
      </c>
    </row>
    <row r="631" spans="1:6">
      <c r="A631" s="1">
        <v>1998</v>
      </c>
      <c r="B631" s="1">
        <v>16</v>
      </c>
      <c r="C631" s="1" t="s">
        <v>1494</v>
      </c>
      <c r="D631" s="81">
        <v>36100</v>
      </c>
      <c r="E631" s="81" t="s">
        <v>1696</v>
      </c>
      <c r="F631" s="1" t="str">
        <f t="shared" si="9"/>
        <v>&lt;a href='http://en.wikipedia.org/wiki/1998_Japanese_Grand_Prix'&gt;1998_Japanese_Grand_Prix&lt;/a&gt;</v>
      </c>
    </row>
    <row r="632" spans="1:6">
      <c r="A632" s="1">
        <v>1999</v>
      </c>
      <c r="B632" s="1">
        <v>1</v>
      </c>
      <c r="C632" s="1" t="s">
        <v>1644</v>
      </c>
      <c r="D632" s="81">
        <v>36226</v>
      </c>
      <c r="E632" s="81" t="s">
        <v>1697</v>
      </c>
      <c r="F632" s="1" t="str">
        <f t="shared" si="9"/>
        <v>&lt;a href='http://en.wikipedia.org/wiki/1999_Australian_Grand_Prix'&gt;1999_Australian_Grand_Prix&lt;/a&gt;</v>
      </c>
    </row>
    <row r="633" spans="1:6">
      <c r="A633" s="1">
        <v>1999</v>
      </c>
      <c r="B633" s="1">
        <v>2</v>
      </c>
      <c r="C633" s="1" t="s">
        <v>1204</v>
      </c>
      <c r="D633" s="81">
        <v>36261</v>
      </c>
      <c r="E633" s="81" t="s">
        <v>1698</v>
      </c>
      <c r="F633" s="1" t="str">
        <f t="shared" si="9"/>
        <v>&lt;a href='http://en.wikipedia.org/wiki/1999_Brazilian_Grand_Prix'&gt;1999_Brazilian_Grand_Prix&lt;/a&gt;</v>
      </c>
    </row>
    <row r="634" spans="1:6">
      <c r="A634" s="1">
        <v>1999</v>
      </c>
      <c r="B634" s="1">
        <v>3</v>
      </c>
      <c r="C634" s="1" t="s">
        <v>1350</v>
      </c>
      <c r="D634" s="81">
        <v>36282</v>
      </c>
      <c r="E634" s="81" t="s">
        <v>1699</v>
      </c>
      <c r="F634" s="1" t="str">
        <f t="shared" si="9"/>
        <v>&lt;a href='http://en.wikipedia.org/wiki/1999_San_Marino_Grand_Prix'&gt;1999_San_Marino_Grand_Prix&lt;/a&gt;</v>
      </c>
    </row>
    <row r="635" spans="1:6">
      <c r="A635" s="1">
        <v>1999</v>
      </c>
      <c r="B635" s="1">
        <v>4</v>
      </c>
      <c r="C635" s="1" t="s">
        <v>857</v>
      </c>
      <c r="D635" s="81">
        <v>36296</v>
      </c>
      <c r="E635" s="81" t="s">
        <v>1700</v>
      </c>
      <c r="F635" s="1" t="str">
        <f t="shared" si="9"/>
        <v>&lt;a href='http://en.wikipedia.org/wiki/1999_Monaco_Grand_Prix'&gt;1999_Monaco_Grand_Prix&lt;/a&gt;</v>
      </c>
    </row>
    <row r="636" spans="1:6">
      <c r="A636" s="1">
        <v>1999</v>
      </c>
      <c r="B636" s="1">
        <v>5</v>
      </c>
      <c r="C636" s="1" t="s">
        <v>1566</v>
      </c>
      <c r="D636" s="81">
        <v>36310</v>
      </c>
      <c r="E636" s="81" t="s">
        <v>1701</v>
      </c>
      <c r="F636" s="1" t="str">
        <f t="shared" si="9"/>
        <v>&lt;a href='http://en.wikipedia.org/wiki/1999_Spanish_Grand_Prix'&gt;1999_Spanish_Grand_Prix&lt;/a&gt;</v>
      </c>
    </row>
    <row r="637" spans="1:6">
      <c r="A637" s="1">
        <v>1999</v>
      </c>
      <c r="B637" s="1">
        <v>6</v>
      </c>
      <c r="C637" s="1" t="s">
        <v>1320</v>
      </c>
      <c r="D637" s="81">
        <v>36324</v>
      </c>
      <c r="E637" s="81" t="s">
        <v>1702</v>
      </c>
      <c r="F637" s="1" t="str">
        <f t="shared" si="9"/>
        <v>&lt;a href='http://en.wikipedia.org/wiki/1999_Canadian_Grand_Prix'&gt;1999_Canadian_Grand_Prix&lt;/a&gt;</v>
      </c>
    </row>
    <row r="638" spans="1:6">
      <c r="A638" s="1">
        <v>1999</v>
      </c>
      <c r="B638" s="1">
        <v>7</v>
      </c>
      <c r="C638" s="1" t="s">
        <v>1556</v>
      </c>
      <c r="D638" s="81">
        <v>36338</v>
      </c>
      <c r="E638" s="81" t="s">
        <v>1703</v>
      </c>
      <c r="F638" s="1" t="str">
        <f t="shared" si="9"/>
        <v>&lt;a href='http://en.wikipedia.org/wiki/1999_French_Grand_Prix'&gt;1999_French_Grand_Prix&lt;/a&gt;</v>
      </c>
    </row>
    <row r="639" spans="1:6">
      <c r="A639" s="1">
        <v>1999</v>
      </c>
      <c r="B639" s="1">
        <v>8</v>
      </c>
      <c r="C639" s="1" t="s">
        <v>851</v>
      </c>
      <c r="D639" s="81">
        <v>36352</v>
      </c>
      <c r="E639" s="81" t="s">
        <v>1704</v>
      </c>
      <c r="F639" s="1" t="str">
        <f t="shared" si="9"/>
        <v>&lt;a href='http://en.wikipedia.org/wiki/1999_British_Grand_Prix'&gt;1999_British_Grand_Prix&lt;/a&gt;</v>
      </c>
    </row>
    <row r="640" spans="1:6">
      <c r="A640" s="1">
        <v>1999</v>
      </c>
      <c r="B640" s="1">
        <v>9</v>
      </c>
      <c r="C640" s="1" t="s">
        <v>1166</v>
      </c>
      <c r="D640" s="81">
        <v>36366</v>
      </c>
      <c r="E640" s="81" t="s">
        <v>1705</v>
      </c>
      <c r="F640" s="1" t="str">
        <f t="shared" si="9"/>
        <v>&lt;a href='http://en.wikipedia.org/wiki/1999_Austrian_Grand_Prix'&gt;1999_Austrian_Grand_Prix&lt;/a&gt;</v>
      </c>
    </row>
    <row r="641" spans="1:6">
      <c r="A641" s="1">
        <v>1999</v>
      </c>
      <c r="B641" s="1">
        <v>10</v>
      </c>
      <c r="C641" s="1" t="s">
        <v>1162</v>
      </c>
      <c r="D641" s="81">
        <v>36373</v>
      </c>
      <c r="E641" s="81" t="s">
        <v>1706</v>
      </c>
      <c r="F641" s="1" t="str">
        <f t="shared" si="9"/>
        <v>&lt;a href='http://en.wikipedia.org/wiki/1999_German_Grand_Prix'&gt;1999_German_Grand_Prix&lt;/a&gt;</v>
      </c>
    </row>
    <row r="642" spans="1:6">
      <c r="A642" s="1">
        <v>1999</v>
      </c>
      <c r="B642" s="1">
        <v>11</v>
      </c>
      <c r="C642" s="1" t="s">
        <v>1470</v>
      </c>
      <c r="D642" s="81">
        <v>36387</v>
      </c>
      <c r="E642" s="81" t="s">
        <v>1707</v>
      </c>
      <c r="F642" s="1" t="str">
        <f t="shared" si="9"/>
        <v>&lt;a href='http://en.wikipedia.org/wiki/1999_Hungarian_Grand_Prix'&gt;1999_Hungarian_Grand_Prix&lt;/a&gt;</v>
      </c>
    </row>
    <row r="643" spans="1:6">
      <c r="A643" s="1">
        <v>1999</v>
      </c>
      <c r="B643" s="1">
        <v>12</v>
      </c>
      <c r="C643" s="1" t="s">
        <v>873</v>
      </c>
      <c r="D643" s="81">
        <v>36401</v>
      </c>
      <c r="E643" s="81" t="s">
        <v>1708</v>
      </c>
      <c r="F643" s="1" t="str">
        <f t="shared" ref="F643:F706" si="10">"&lt;a href='"&amp;E643&amp;"'&gt;"&amp;MID(E643,30,LEN(E643)-29)&amp;"&lt;/a&gt;"</f>
        <v>&lt;a href='http://en.wikipedia.org/wiki/1999_Belgian_Grand_Prix'&gt;1999_Belgian_Grand_Prix&lt;/a&gt;</v>
      </c>
    </row>
    <row r="644" spans="1:6">
      <c r="A644" s="1">
        <v>1999</v>
      </c>
      <c r="B644" s="1">
        <v>13</v>
      </c>
      <c r="C644" s="1" t="s">
        <v>883</v>
      </c>
      <c r="D644" s="81">
        <v>36415</v>
      </c>
      <c r="E644" s="81" t="s">
        <v>1709</v>
      </c>
      <c r="F644" s="1" t="str">
        <f t="shared" si="10"/>
        <v>&lt;a href='http://en.wikipedia.org/wiki/1999_Italian_Grand_Prix'&gt;1999_Italian_Grand_Prix&lt;/a&gt;</v>
      </c>
    </row>
    <row r="645" spans="1:6">
      <c r="A645" s="1">
        <v>1999</v>
      </c>
      <c r="B645" s="1">
        <v>14</v>
      </c>
      <c r="C645" s="1" t="s">
        <v>894</v>
      </c>
      <c r="D645" s="81">
        <v>36429</v>
      </c>
      <c r="E645" s="81" t="s">
        <v>1710</v>
      </c>
      <c r="F645" s="1" t="str">
        <f t="shared" si="10"/>
        <v>&lt;a href='http://en.wikipedia.org/wiki/1999_European_Grand_Prix'&gt;1999_European_Grand_Prix&lt;/a&gt;</v>
      </c>
    </row>
    <row r="646" spans="1:6">
      <c r="A646" s="1">
        <v>1999</v>
      </c>
      <c r="B646" s="1">
        <v>15</v>
      </c>
      <c r="C646" s="1" t="s">
        <v>1712</v>
      </c>
      <c r="D646" s="81">
        <v>36450</v>
      </c>
      <c r="E646" s="81" t="s">
        <v>1716</v>
      </c>
      <c r="F646" s="1" t="str">
        <f t="shared" si="10"/>
        <v>&lt;a href='http://en.wikipedia.org/wiki/1999_Malaysian_Grand_Prix'&gt;1999_Malaysian_Grand_Prix&lt;/a&gt;</v>
      </c>
    </row>
    <row r="647" spans="1:6">
      <c r="A647" s="1">
        <v>1999</v>
      </c>
      <c r="B647" s="1">
        <v>16</v>
      </c>
      <c r="C647" s="1" t="s">
        <v>1494</v>
      </c>
      <c r="D647" s="81">
        <v>36464</v>
      </c>
      <c r="E647" s="81" t="s">
        <v>1717</v>
      </c>
      <c r="F647" s="1" t="str">
        <f t="shared" si="10"/>
        <v>&lt;a href='http://en.wikipedia.org/wiki/1999_Japanese_Grand_Prix'&gt;1999_Japanese_Grand_Prix&lt;/a&gt;</v>
      </c>
    </row>
    <row r="648" spans="1:6">
      <c r="A648" s="1">
        <v>2000</v>
      </c>
      <c r="B648" s="1">
        <v>1</v>
      </c>
      <c r="C648" s="1" t="s">
        <v>1644</v>
      </c>
      <c r="D648" s="81">
        <v>36597</v>
      </c>
      <c r="E648" s="81" t="s">
        <v>1718</v>
      </c>
      <c r="F648" s="1" t="str">
        <f t="shared" si="10"/>
        <v>&lt;a href='http://en.wikipedia.org/wiki/2000_Australian_Grand_Prix'&gt;2000_Australian_Grand_Prix&lt;/a&gt;</v>
      </c>
    </row>
    <row r="649" spans="1:6">
      <c r="A649" s="1">
        <v>2000</v>
      </c>
      <c r="B649" s="1">
        <v>2</v>
      </c>
      <c r="C649" s="1" t="s">
        <v>1204</v>
      </c>
      <c r="D649" s="81">
        <v>36611</v>
      </c>
      <c r="E649" s="81" t="s">
        <v>1719</v>
      </c>
      <c r="F649" s="1" t="str">
        <f t="shared" si="10"/>
        <v>&lt;a href='http://en.wikipedia.org/wiki/2000_Brazilian_Grand_Prix'&gt;2000_Brazilian_Grand_Prix&lt;/a&gt;</v>
      </c>
    </row>
    <row r="650" spans="1:6">
      <c r="A650" s="1">
        <v>2000</v>
      </c>
      <c r="B650" s="1">
        <v>3</v>
      </c>
      <c r="C650" s="1" t="s">
        <v>1350</v>
      </c>
      <c r="D650" s="81">
        <v>36625</v>
      </c>
      <c r="E650" s="81" t="s">
        <v>1720</v>
      </c>
      <c r="F650" s="1" t="str">
        <f t="shared" si="10"/>
        <v>&lt;a href='http://en.wikipedia.org/wiki/2000_San_Marino_Grand_Prix'&gt;2000_San_Marino_Grand_Prix&lt;/a&gt;</v>
      </c>
    </row>
    <row r="651" spans="1:6">
      <c r="A651" s="1">
        <v>2000</v>
      </c>
      <c r="B651" s="1">
        <v>4</v>
      </c>
      <c r="C651" s="1" t="s">
        <v>851</v>
      </c>
      <c r="D651" s="81">
        <v>36639</v>
      </c>
      <c r="E651" s="81" t="s">
        <v>1721</v>
      </c>
      <c r="F651" s="1" t="str">
        <f t="shared" si="10"/>
        <v>&lt;a href='http://en.wikipedia.org/wiki/2000_British_Grand_Prix'&gt;2000_British_Grand_Prix&lt;/a&gt;</v>
      </c>
    </row>
    <row r="652" spans="1:6">
      <c r="A652" s="1">
        <v>2000</v>
      </c>
      <c r="B652" s="1">
        <v>5</v>
      </c>
      <c r="C652" s="1" t="s">
        <v>1566</v>
      </c>
      <c r="D652" s="81">
        <v>36653</v>
      </c>
      <c r="E652" s="81" t="s">
        <v>1722</v>
      </c>
      <c r="F652" s="1" t="str">
        <f t="shared" si="10"/>
        <v>&lt;a href='http://en.wikipedia.org/wiki/2000_Spanish_Grand_Prix'&gt;2000_Spanish_Grand_Prix&lt;/a&gt;</v>
      </c>
    </row>
    <row r="653" spans="1:6">
      <c r="A653" s="1">
        <v>2000</v>
      </c>
      <c r="B653" s="1">
        <v>6</v>
      </c>
      <c r="C653" s="1" t="s">
        <v>894</v>
      </c>
      <c r="D653" s="81">
        <v>36667</v>
      </c>
      <c r="E653" s="81" t="s">
        <v>1723</v>
      </c>
      <c r="F653" s="1" t="str">
        <f t="shared" si="10"/>
        <v>&lt;a href='http://en.wikipedia.org/wiki/2000_European_Grand_Prix'&gt;2000_European_Grand_Prix&lt;/a&gt;</v>
      </c>
    </row>
    <row r="654" spans="1:6">
      <c r="A654" s="1">
        <v>2000</v>
      </c>
      <c r="B654" s="1">
        <v>7</v>
      </c>
      <c r="C654" s="1" t="s">
        <v>857</v>
      </c>
      <c r="D654" s="81">
        <v>36681</v>
      </c>
      <c r="E654" s="81" t="s">
        <v>1724</v>
      </c>
      <c r="F654" s="1" t="str">
        <f t="shared" si="10"/>
        <v>&lt;a href='http://en.wikipedia.org/wiki/2000_Monaco_Grand_Prix'&gt;2000_Monaco_Grand_Prix&lt;/a&gt;</v>
      </c>
    </row>
    <row r="655" spans="1:6">
      <c r="A655" s="1">
        <v>2000</v>
      </c>
      <c r="B655" s="1">
        <v>8</v>
      </c>
      <c r="C655" s="1" t="s">
        <v>1320</v>
      </c>
      <c r="D655" s="81">
        <v>36695</v>
      </c>
      <c r="E655" s="81" t="s">
        <v>1725</v>
      </c>
      <c r="F655" s="1" t="str">
        <f t="shared" si="10"/>
        <v>&lt;a href='http://en.wikipedia.org/wiki/2000_Canadian_Grand_Prix'&gt;2000_Canadian_Grand_Prix&lt;/a&gt;</v>
      </c>
    </row>
    <row r="656" spans="1:6">
      <c r="A656" s="1">
        <v>2000</v>
      </c>
      <c r="B656" s="1">
        <v>9</v>
      </c>
      <c r="C656" s="1" t="s">
        <v>1556</v>
      </c>
      <c r="D656" s="81">
        <v>36709</v>
      </c>
      <c r="E656" s="81" t="s">
        <v>1726</v>
      </c>
      <c r="F656" s="1" t="str">
        <f t="shared" si="10"/>
        <v>&lt;a href='http://en.wikipedia.org/wiki/2000_French_Grand_Prix'&gt;2000_French_Grand_Prix&lt;/a&gt;</v>
      </c>
    </row>
    <row r="657" spans="1:6">
      <c r="A657" s="1">
        <v>2000</v>
      </c>
      <c r="B657" s="1">
        <v>10</v>
      </c>
      <c r="C657" s="1" t="s">
        <v>1166</v>
      </c>
      <c r="D657" s="81">
        <v>36723</v>
      </c>
      <c r="E657" s="81" t="s">
        <v>1727</v>
      </c>
      <c r="F657" s="1" t="str">
        <f t="shared" si="10"/>
        <v>&lt;a href='http://en.wikipedia.org/wiki/2000_Austrian_Grand_Prix'&gt;2000_Austrian_Grand_Prix&lt;/a&gt;</v>
      </c>
    </row>
    <row r="658" spans="1:6">
      <c r="A658" s="1">
        <v>2000</v>
      </c>
      <c r="B658" s="1">
        <v>11</v>
      </c>
      <c r="C658" s="1" t="s">
        <v>1162</v>
      </c>
      <c r="D658" s="81">
        <v>36737</v>
      </c>
      <c r="E658" s="81" t="s">
        <v>1728</v>
      </c>
      <c r="F658" s="1" t="str">
        <f t="shared" si="10"/>
        <v>&lt;a href='http://en.wikipedia.org/wiki/2000_German_Grand_Prix'&gt;2000_German_Grand_Prix&lt;/a&gt;</v>
      </c>
    </row>
    <row r="659" spans="1:6">
      <c r="A659" s="1">
        <v>2000</v>
      </c>
      <c r="B659" s="1">
        <v>12</v>
      </c>
      <c r="C659" s="1" t="s">
        <v>1470</v>
      </c>
      <c r="D659" s="81">
        <v>36751</v>
      </c>
      <c r="E659" s="81" t="s">
        <v>1729</v>
      </c>
      <c r="F659" s="1" t="str">
        <f t="shared" si="10"/>
        <v>&lt;a href='http://en.wikipedia.org/wiki/2000_Hungarian_Grand_Prix'&gt;2000_Hungarian_Grand_Prix&lt;/a&gt;</v>
      </c>
    </row>
    <row r="660" spans="1:6">
      <c r="A660" s="1">
        <v>2000</v>
      </c>
      <c r="B660" s="1">
        <v>13</v>
      </c>
      <c r="C660" s="1" t="s">
        <v>873</v>
      </c>
      <c r="D660" s="81">
        <v>36765</v>
      </c>
      <c r="E660" s="81" t="s">
        <v>1730</v>
      </c>
      <c r="F660" s="1" t="str">
        <f t="shared" si="10"/>
        <v>&lt;a href='http://en.wikipedia.org/wiki/2000_Belgian_Grand_Prix'&gt;2000_Belgian_Grand_Prix&lt;/a&gt;</v>
      </c>
    </row>
    <row r="661" spans="1:6">
      <c r="A661" s="1">
        <v>2000</v>
      </c>
      <c r="B661" s="1">
        <v>14</v>
      </c>
      <c r="C661" s="1" t="s">
        <v>883</v>
      </c>
      <c r="D661" s="81">
        <v>36779</v>
      </c>
      <c r="E661" s="81" t="s">
        <v>1731</v>
      </c>
      <c r="F661" s="1" t="str">
        <f t="shared" si="10"/>
        <v>&lt;a href='http://en.wikipedia.org/wiki/2000_Italian_Grand_Prix'&gt;2000_Italian_Grand_Prix&lt;/a&gt;</v>
      </c>
    </row>
    <row r="662" spans="1:6">
      <c r="A662" s="1">
        <v>2000</v>
      </c>
      <c r="B662" s="1">
        <v>15</v>
      </c>
      <c r="C662" s="1" t="s">
        <v>863</v>
      </c>
      <c r="D662" s="81">
        <v>36793</v>
      </c>
      <c r="E662" s="81" t="s">
        <v>1732</v>
      </c>
      <c r="F662" s="1" t="str">
        <f t="shared" si="10"/>
        <v>&lt;a href='http://en.wikipedia.org/wiki/2000_United_States_Grand_Prix'&gt;2000_United_States_Grand_Prix&lt;/a&gt;</v>
      </c>
    </row>
    <row r="663" spans="1:6">
      <c r="A663" s="1">
        <v>2000</v>
      </c>
      <c r="B663" s="1">
        <v>16</v>
      </c>
      <c r="C663" s="1" t="s">
        <v>1494</v>
      </c>
      <c r="D663" s="81">
        <v>36807</v>
      </c>
      <c r="E663" s="81" t="s">
        <v>1733</v>
      </c>
      <c r="F663" s="1" t="str">
        <f t="shared" si="10"/>
        <v>&lt;a href='http://en.wikipedia.org/wiki/2000_Japanese_Grand_Prix'&gt;2000_Japanese_Grand_Prix&lt;/a&gt;</v>
      </c>
    </row>
    <row r="664" spans="1:6">
      <c r="A664" s="1">
        <v>2000</v>
      </c>
      <c r="B664" s="1">
        <v>17</v>
      </c>
      <c r="C664" s="1" t="s">
        <v>1712</v>
      </c>
      <c r="D664" s="81">
        <v>36821</v>
      </c>
      <c r="E664" s="81" t="s">
        <v>1734</v>
      </c>
      <c r="F664" s="1" t="str">
        <f t="shared" si="10"/>
        <v>&lt;a href='http://en.wikipedia.org/wiki/2000_Malaysian_Grand_Prix'&gt;2000_Malaysian_Grand_Prix&lt;/a&gt;</v>
      </c>
    </row>
    <row r="665" spans="1:6">
      <c r="A665" s="1">
        <v>2001</v>
      </c>
      <c r="B665" s="1">
        <v>1</v>
      </c>
      <c r="C665" s="1" t="s">
        <v>1644</v>
      </c>
      <c r="D665" s="81">
        <v>36954</v>
      </c>
      <c r="E665" s="81" t="s">
        <v>1735</v>
      </c>
      <c r="F665" s="1" t="str">
        <f t="shared" si="10"/>
        <v>&lt;a href='http://en.wikipedia.org/wiki/2001_Australian_Grand_Prix'&gt;2001_Australian_Grand_Prix&lt;/a&gt;</v>
      </c>
    </row>
    <row r="666" spans="1:6">
      <c r="A666" s="1">
        <v>2001</v>
      </c>
      <c r="B666" s="1">
        <v>2</v>
      </c>
      <c r="C666" s="1" t="s">
        <v>1712</v>
      </c>
      <c r="D666" s="81">
        <v>36968</v>
      </c>
      <c r="E666" s="81" t="s">
        <v>1736</v>
      </c>
      <c r="F666" s="1" t="str">
        <f t="shared" si="10"/>
        <v>&lt;a href='http://en.wikipedia.org/wiki/2001_Malaysian_Grand_Prix'&gt;2001_Malaysian_Grand_Prix&lt;/a&gt;</v>
      </c>
    </row>
    <row r="667" spans="1:6">
      <c r="A667" s="1">
        <v>2001</v>
      </c>
      <c r="B667" s="1">
        <v>3</v>
      </c>
      <c r="C667" s="1" t="s">
        <v>1204</v>
      </c>
      <c r="D667" s="81">
        <v>36982</v>
      </c>
      <c r="E667" s="81" t="s">
        <v>1737</v>
      </c>
      <c r="F667" s="1" t="str">
        <f t="shared" si="10"/>
        <v>&lt;a href='http://en.wikipedia.org/wiki/2001_Brazilian_Grand_Prix'&gt;2001_Brazilian_Grand_Prix&lt;/a&gt;</v>
      </c>
    </row>
    <row r="668" spans="1:6">
      <c r="A668" s="1">
        <v>2001</v>
      </c>
      <c r="B668" s="1">
        <v>4</v>
      </c>
      <c r="C668" s="1" t="s">
        <v>1350</v>
      </c>
      <c r="D668" s="81">
        <v>36996</v>
      </c>
      <c r="E668" s="81" t="s">
        <v>1738</v>
      </c>
      <c r="F668" s="1" t="str">
        <f t="shared" si="10"/>
        <v>&lt;a href='http://en.wikipedia.org/wiki/2001_San_Marino_Grand_Prix'&gt;2001_San_Marino_Grand_Prix&lt;/a&gt;</v>
      </c>
    </row>
    <row r="669" spans="1:6">
      <c r="A669" s="1">
        <v>2001</v>
      </c>
      <c r="B669" s="1">
        <v>5</v>
      </c>
      <c r="C669" s="1" t="s">
        <v>1566</v>
      </c>
      <c r="D669" s="81">
        <v>37010</v>
      </c>
      <c r="E669" s="81" t="s">
        <v>1739</v>
      </c>
      <c r="F669" s="1" t="str">
        <f t="shared" si="10"/>
        <v>&lt;a href='http://en.wikipedia.org/wiki/2001_Spanish_Grand_Prix'&gt;2001_Spanish_Grand_Prix&lt;/a&gt;</v>
      </c>
    </row>
    <row r="670" spans="1:6">
      <c r="A670" s="1">
        <v>2001</v>
      </c>
      <c r="B670" s="1">
        <v>6</v>
      </c>
      <c r="C670" s="1" t="s">
        <v>1166</v>
      </c>
      <c r="D670" s="81">
        <v>37024</v>
      </c>
      <c r="E670" s="81" t="s">
        <v>1740</v>
      </c>
      <c r="F670" s="1" t="str">
        <f t="shared" si="10"/>
        <v>&lt;a href='http://en.wikipedia.org/wiki/2001_Austrian_Grand_Prix'&gt;2001_Austrian_Grand_Prix&lt;/a&gt;</v>
      </c>
    </row>
    <row r="671" spans="1:6">
      <c r="A671" s="1">
        <v>2001</v>
      </c>
      <c r="B671" s="1">
        <v>7</v>
      </c>
      <c r="C671" s="1" t="s">
        <v>857</v>
      </c>
      <c r="D671" s="81">
        <v>37038</v>
      </c>
      <c r="E671" s="81" t="s">
        <v>1741</v>
      </c>
      <c r="F671" s="1" t="str">
        <f t="shared" si="10"/>
        <v>&lt;a href='http://en.wikipedia.org/wiki/2001_Monaco_Grand_Prix'&gt;2001_Monaco_Grand_Prix&lt;/a&gt;</v>
      </c>
    </row>
    <row r="672" spans="1:6">
      <c r="A672" s="1">
        <v>2001</v>
      </c>
      <c r="B672" s="1">
        <v>8</v>
      </c>
      <c r="C672" s="1" t="s">
        <v>1320</v>
      </c>
      <c r="D672" s="81">
        <v>37052</v>
      </c>
      <c r="E672" s="81" t="s">
        <v>1742</v>
      </c>
      <c r="F672" s="1" t="str">
        <f t="shared" si="10"/>
        <v>&lt;a href='http://en.wikipedia.org/wiki/2001_Canadian_Grand_Prix'&gt;2001_Canadian_Grand_Prix&lt;/a&gt;</v>
      </c>
    </row>
    <row r="673" spans="1:6">
      <c r="A673" s="1">
        <v>2001</v>
      </c>
      <c r="B673" s="1">
        <v>9</v>
      </c>
      <c r="C673" s="1" t="s">
        <v>894</v>
      </c>
      <c r="D673" s="81">
        <v>37066</v>
      </c>
      <c r="E673" s="81" t="s">
        <v>1743</v>
      </c>
      <c r="F673" s="1" t="str">
        <f t="shared" si="10"/>
        <v>&lt;a href='http://en.wikipedia.org/wiki/2001_European_Grand_Prix'&gt;2001_European_Grand_Prix&lt;/a&gt;</v>
      </c>
    </row>
    <row r="674" spans="1:6">
      <c r="A674" s="1">
        <v>2001</v>
      </c>
      <c r="B674" s="1">
        <v>10</v>
      </c>
      <c r="C674" s="1" t="s">
        <v>1556</v>
      </c>
      <c r="D674" s="81">
        <v>37073</v>
      </c>
      <c r="E674" s="81" t="s">
        <v>1744</v>
      </c>
      <c r="F674" s="1" t="str">
        <f t="shared" si="10"/>
        <v>&lt;a href='http://en.wikipedia.org/wiki/2001_French_Grand_Prix'&gt;2001_French_Grand_Prix&lt;/a&gt;</v>
      </c>
    </row>
    <row r="675" spans="1:6">
      <c r="A675" s="1">
        <v>2001</v>
      </c>
      <c r="B675" s="1">
        <v>11</v>
      </c>
      <c r="C675" s="1" t="s">
        <v>851</v>
      </c>
      <c r="D675" s="81">
        <v>37087</v>
      </c>
      <c r="E675" s="81" t="s">
        <v>1745</v>
      </c>
      <c r="F675" s="1" t="str">
        <f t="shared" si="10"/>
        <v>&lt;a href='http://en.wikipedia.org/wiki/2001_British_Grand_Prix'&gt;2001_British_Grand_Prix&lt;/a&gt;</v>
      </c>
    </row>
    <row r="676" spans="1:6">
      <c r="A676" s="1">
        <v>2001</v>
      </c>
      <c r="B676" s="1">
        <v>12</v>
      </c>
      <c r="C676" s="1" t="s">
        <v>1162</v>
      </c>
      <c r="D676" s="81">
        <v>37101</v>
      </c>
      <c r="E676" s="81" t="s">
        <v>1746</v>
      </c>
      <c r="F676" s="1" t="str">
        <f t="shared" si="10"/>
        <v>&lt;a href='http://en.wikipedia.org/wiki/2001_German_Grand_Prix'&gt;2001_German_Grand_Prix&lt;/a&gt;</v>
      </c>
    </row>
    <row r="677" spans="1:6">
      <c r="A677" s="1">
        <v>2001</v>
      </c>
      <c r="B677" s="1">
        <v>13</v>
      </c>
      <c r="C677" s="1" t="s">
        <v>1470</v>
      </c>
      <c r="D677" s="81">
        <v>37122</v>
      </c>
      <c r="E677" s="81" t="s">
        <v>1747</v>
      </c>
      <c r="F677" s="1" t="str">
        <f t="shared" si="10"/>
        <v>&lt;a href='http://en.wikipedia.org/wiki/2001_Hungarian_Grand_Prix'&gt;2001_Hungarian_Grand_Prix&lt;/a&gt;</v>
      </c>
    </row>
    <row r="678" spans="1:6">
      <c r="A678" s="1">
        <v>2001</v>
      </c>
      <c r="B678" s="1">
        <v>14</v>
      </c>
      <c r="C678" s="1" t="s">
        <v>873</v>
      </c>
      <c r="D678" s="81">
        <v>37136</v>
      </c>
      <c r="E678" s="81" t="s">
        <v>1748</v>
      </c>
      <c r="F678" s="1" t="str">
        <f t="shared" si="10"/>
        <v>&lt;a href='http://en.wikipedia.org/wiki/2001_Belgian_Grand_Prix'&gt;2001_Belgian_Grand_Prix&lt;/a&gt;</v>
      </c>
    </row>
    <row r="679" spans="1:6">
      <c r="A679" s="1">
        <v>2001</v>
      </c>
      <c r="B679" s="1">
        <v>15</v>
      </c>
      <c r="C679" s="1" t="s">
        <v>883</v>
      </c>
      <c r="D679" s="81">
        <v>37150</v>
      </c>
      <c r="E679" s="81" t="s">
        <v>1749</v>
      </c>
      <c r="F679" s="1" t="str">
        <f t="shared" si="10"/>
        <v>&lt;a href='http://en.wikipedia.org/wiki/2001_Italian_Grand_Prix'&gt;2001_Italian_Grand_Prix&lt;/a&gt;</v>
      </c>
    </row>
    <row r="680" spans="1:6">
      <c r="A680" s="1">
        <v>2001</v>
      </c>
      <c r="B680" s="1">
        <v>16</v>
      </c>
      <c r="C680" s="1" t="s">
        <v>863</v>
      </c>
      <c r="D680" s="81">
        <v>37164</v>
      </c>
      <c r="E680" s="81" t="s">
        <v>1750</v>
      </c>
      <c r="F680" s="1" t="str">
        <f t="shared" si="10"/>
        <v>&lt;a href='http://en.wikipedia.org/wiki/2001_United_States_Grand_Prix'&gt;2001_United_States_Grand_Prix&lt;/a&gt;</v>
      </c>
    </row>
    <row r="681" spans="1:6">
      <c r="A681" s="1">
        <v>2001</v>
      </c>
      <c r="B681" s="1">
        <v>17</v>
      </c>
      <c r="C681" s="1" t="s">
        <v>1494</v>
      </c>
      <c r="D681" s="81">
        <v>37178</v>
      </c>
      <c r="E681" s="81" t="s">
        <v>1751</v>
      </c>
      <c r="F681" s="1" t="str">
        <f t="shared" si="10"/>
        <v>&lt;a href='http://en.wikipedia.org/wiki/2001_Japanese_Grand_Prix'&gt;2001_Japanese_Grand_Prix&lt;/a&gt;</v>
      </c>
    </row>
    <row r="682" spans="1:6">
      <c r="A682" s="1">
        <v>2002</v>
      </c>
      <c r="B682" s="1">
        <v>1</v>
      </c>
      <c r="C682" s="1" t="s">
        <v>1644</v>
      </c>
      <c r="D682" s="81">
        <v>37318</v>
      </c>
      <c r="E682" s="81" t="s">
        <v>1752</v>
      </c>
      <c r="F682" s="1" t="str">
        <f t="shared" si="10"/>
        <v>&lt;a href='http://en.wikipedia.org/wiki/2002_Australian_Grand_Prix'&gt;2002_Australian_Grand_Prix&lt;/a&gt;</v>
      </c>
    </row>
    <row r="683" spans="1:6">
      <c r="A683" s="1">
        <v>2002</v>
      </c>
      <c r="B683" s="1">
        <v>2</v>
      </c>
      <c r="C683" s="1" t="s">
        <v>1712</v>
      </c>
      <c r="D683" s="81">
        <v>37332</v>
      </c>
      <c r="E683" s="81" t="s">
        <v>1753</v>
      </c>
      <c r="F683" s="1" t="str">
        <f t="shared" si="10"/>
        <v>&lt;a href='http://en.wikipedia.org/wiki/2002_Malaysian_Grand_Prix'&gt;2002_Malaysian_Grand_Prix&lt;/a&gt;</v>
      </c>
    </row>
    <row r="684" spans="1:6">
      <c r="A684" s="1">
        <v>2002</v>
      </c>
      <c r="B684" s="1">
        <v>3</v>
      </c>
      <c r="C684" s="1" t="s">
        <v>1204</v>
      </c>
      <c r="D684" s="81">
        <v>37346</v>
      </c>
      <c r="E684" s="81" t="s">
        <v>1754</v>
      </c>
      <c r="F684" s="1" t="str">
        <f t="shared" si="10"/>
        <v>&lt;a href='http://en.wikipedia.org/wiki/2002_Brazilian_Grand_Prix'&gt;2002_Brazilian_Grand_Prix&lt;/a&gt;</v>
      </c>
    </row>
    <row r="685" spans="1:6">
      <c r="A685" s="1">
        <v>2002</v>
      </c>
      <c r="B685" s="1">
        <v>4</v>
      </c>
      <c r="C685" s="1" t="s">
        <v>1350</v>
      </c>
      <c r="D685" s="81">
        <v>37360</v>
      </c>
      <c r="E685" s="81" t="s">
        <v>1755</v>
      </c>
      <c r="F685" s="1" t="str">
        <f t="shared" si="10"/>
        <v>&lt;a href='http://en.wikipedia.org/wiki/2002_San_Marino_Grand_Prix'&gt;2002_San_Marino_Grand_Prix&lt;/a&gt;</v>
      </c>
    </row>
    <row r="686" spans="1:6">
      <c r="A686" s="1">
        <v>2002</v>
      </c>
      <c r="B686" s="1">
        <v>5</v>
      </c>
      <c r="C686" s="1" t="s">
        <v>1566</v>
      </c>
      <c r="D686" s="81">
        <v>37374</v>
      </c>
      <c r="E686" s="81" t="s">
        <v>1756</v>
      </c>
      <c r="F686" s="1" t="str">
        <f t="shared" si="10"/>
        <v>&lt;a href='http://en.wikipedia.org/wiki/2002_Spanish_Grand_Prix'&gt;2002_Spanish_Grand_Prix&lt;/a&gt;</v>
      </c>
    </row>
    <row r="687" spans="1:6">
      <c r="A687" s="1">
        <v>2002</v>
      </c>
      <c r="B687" s="1">
        <v>6</v>
      </c>
      <c r="C687" s="1" t="s">
        <v>1166</v>
      </c>
      <c r="D687" s="81">
        <v>37388</v>
      </c>
      <c r="E687" s="81" t="s">
        <v>1757</v>
      </c>
      <c r="F687" s="1" t="str">
        <f t="shared" si="10"/>
        <v>&lt;a href='http://en.wikipedia.org/wiki/2002_Austrian_Grand_Prix'&gt;2002_Austrian_Grand_Prix&lt;/a&gt;</v>
      </c>
    </row>
    <row r="688" spans="1:6">
      <c r="A688" s="1">
        <v>2002</v>
      </c>
      <c r="B688" s="1">
        <v>7</v>
      </c>
      <c r="C688" s="1" t="s">
        <v>857</v>
      </c>
      <c r="D688" s="81">
        <v>37402</v>
      </c>
      <c r="E688" s="81" t="s">
        <v>1758</v>
      </c>
      <c r="F688" s="1" t="str">
        <f t="shared" si="10"/>
        <v>&lt;a href='http://en.wikipedia.org/wiki/2002_Monaco_Grand_Prix'&gt;2002_Monaco_Grand_Prix&lt;/a&gt;</v>
      </c>
    </row>
    <row r="689" spans="1:6">
      <c r="A689" s="1">
        <v>2002</v>
      </c>
      <c r="B689" s="1">
        <v>8</v>
      </c>
      <c r="C689" s="1" t="s">
        <v>1320</v>
      </c>
      <c r="D689" s="81">
        <v>37416</v>
      </c>
      <c r="E689" s="81" t="s">
        <v>1759</v>
      </c>
      <c r="F689" s="1" t="str">
        <f t="shared" si="10"/>
        <v>&lt;a href='http://en.wikipedia.org/wiki/2002_Canadian_Grand_Prix'&gt;2002_Canadian_Grand_Prix&lt;/a&gt;</v>
      </c>
    </row>
    <row r="690" spans="1:6">
      <c r="A690" s="1">
        <v>2002</v>
      </c>
      <c r="B690" s="1">
        <v>9</v>
      </c>
      <c r="C690" s="1" t="s">
        <v>894</v>
      </c>
      <c r="D690" s="81">
        <v>37430</v>
      </c>
      <c r="E690" s="81" t="s">
        <v>1760</v>
      </c>
      <c r="F690" s="1" t="str">
        <f t="shared" si="10"/>
        <v>&lt;a href='http://en.wikipedia.org/wiki/2002_European_Grand_Prix'&gt;2002_European_Grand_Prix&lt;/a&gt;</v>
      </c>
    </row>
    <row r="691" spans="1:6">
      <c r="A691" s="1">
        <v>2002</v>
      </c>
      <c r="B691" s="1">
        <v>10</v>
      </c>
      <c r="C691" s="1" t="s">
        <v>851</v>
      </c>
      <c r="D691" s="81">
        <v>37444</v>
      </c>
      <c r="E691" s="81" t="s">
        <v>1761</v>
      </c>
      <c r="F691" s="1" t="str">
        <f t="shared" si="10"/>
        <v>&lt;a href='http://en.wikipedia.org/wiki/2002_British_Grand_Prix'&gt;2002_British_Grand_Prix&lt;/a&gt;</v>
      </c>
    </row>
    <row r="692" spans="1:6">
      <c r="A692" s="1">
        <v>2002</v>
      </c>
      <c r="B692" s="1">
        <v>11</v>
      </c>
      <c r="C692" s="1" t="s">
        <v>1556</v>
      </c>
      <c r="D692" s="81">
        <v>37458</v>
      </c>
      <c r="E692" s="81" t="s">
        <v>1762</v>
      </c>
      <c r="F692" s="1" t="str">
        <f t="shared" si="10"/>
        <v>&lt;a href='http://en.wikipedia.org/wiki/2002_French_Grand_Prix'&gt;2002_French_Grand_Prix&lt;/a&gt;</v>
      </c>
    </row>
    <row r="693" spans="1:6">
      <c r="A693" s="1">
        <v>2002</v>
      </c>
      <c r="B693" s="1">
        <v>12</v>
      </c>
      <c r="C693" s="1" t="s">
        <v>1162</v>
      </c>
      <c r="D693" s="81">
        <v>37465</v>
      </c>
      <c r="E693" s="81" t="s">
        <v>1763</v>
      </c>
      <c r="F693" s="1" t="str">
        <f t="shared" si="10"/>
        <v>&lt;a href='http://en.wikipedia.org/wiki/2002_German_Grand_Prix'&gt;2002_German_Grand_Prix&lt;/a&gt;</v>
      </c>
    </row>
    <row r="694" spans="1:6">
      <c r="A694" s="1">
        <v>2002</v>
      </c>
      <c r="B694" s="1">
        <v>13</v>
      </c>
      <c r="C694" s="1" t="s">
        <v>1470</v>
      </c>
      <c r="D694" s="81">
        <v>37486</v>
      </c>
      <c r="E694" s="81" t="s">
        <v>1764</v>
      </c>
      <c r="F694" s="1" t="str">
        <f t="shared" si="10"/>
        <v>&lt;a href='http://en.wikipedia.org/wiki/2002_Hungarian_Grand_Prix'&gt;2002_Hungarian_Grand_Prix&lt;/a&gt;</v>
      </c>
    </row>
    <row r="695" spans="1:6">
      <c r="A695" s="1">
        <v>2002</v>
      </c>
      <c r="B695" s="1">
        <v>14</v>
      </c>
      <c r="C695" s="1" t="s">
        <v>873</v>
      </c>
      <c r="D695" s="81">
        <v>37500</v>
      </c>
      <c r="E695" s="81" t="s">
        <v>1765</v>
      </c>
      <c r="F695" s="1" t="str">
        <f t="shared" si="10"/>
        <v>&lt;a href='http://en.wikipedia.org/wiki/2002_Belgian_Grand_Prix'&gt;2002_Belgian_Grand_Prix&lt;/a&gt;</v>
      </c>
    </row>
    <row r="696" spans="1:6">
      <c r="A696" s="1">
        <v>2002</v>
      </c>
      <c r="B696" s="1">
        <v>15</v>
      </c>
      <c r="C696" s="1" t="s">
        <v>883</v>
      </c>
      <c r="D696" s="81">
        <v>37514</v>
      </c>
      <c r="E696" s="81" t="s">
        <v>1766</v>
      </c>
      <c r="F696" s="1" t="str">
        <f t="shared" si="10"/>
        <v>&lt;a href='http://en.wikipedia.org/wiki/2002_Italian_Grand_Prix'&gt;2002_Italian_Grand_Prix&lt;/a&gt;</v>
      </c>
    </row>
    <row r="697" spans="1:6">
      <c r="A697" s="1">
        <v>2002</v>
      </c>
      <c r="B697" s="1">
        <v>16</v>
      </c>
      <c r="C697" s="1" t="s">
        <v>863</v>
      </c>
      <c r="D697" s="81">
        <v>37528</v>
      </c>
      <c r="E697" s="81" t="s">
        <v>1767</v>
      </c>
      <c r="F697" s="1" t="str">
        <f t="shared" si="10"/>
        <v>&lt;a href='http://en.wikipedia.org/wiki/2002_United_States_Grand_Prix'&gt;2002_United_States_Grand_Prix&lt;/a&gt;</v>
      </c>
    </row>
    <row r="698" spans="1:6">
      <c r="A698" s="1">
        <v>2002</v>
      </c>
      <c r="B698" s="1">
        <v>17</v>
      </c>
      <c r="C698" s="1" t="s">
        <v>1494</v>
      </c>
      <c r="D698" s="81">
        <v>37542</v>
      </c>
      <c r="E698" s="81" t="s">
        <v>1768</v>
      </c>
      <c r="F698" s="1" t="str">
        <f t="shared" si="10"/>
        <v>&lt;a href='http://en.wikipedia.org/wiki/2002_Japanese_Grand_Prix'&gt;2002_Japanese_Grand_Prix&lt;/a&gt;</v>
      </c>
    </row>
    <row r="699" spans="1:6">
      <c r="A699" s="1">
        <v>2003</v>
      </c>
      <c r="B699" s="1">
        <v>1</v>
      </c>
      <c r="C699" s="1" t="s">
        <v>1644</v>
      </c>
      <c r="D699" s="81">
        <v>37689</v>
      </c>
      <c r="E699" s="81" t="s">
        <v>1769</v>
      </c>
      <c r="F699" s="1" t="str">
        <f t="shared" si="10"/>
        <v>&lt;a href='http://en.wikipedia.org/wiki/2003_Australian_Grand_Prix'&gt;2003_Australian_Grand_Prix&lt;/a&gt;</v>
      </c>
    </row>
    <row r="700" spans="1:6">
      <c r="A700" s="1">
        <v>2003</v>
      </c>
      <c r="B700" s="1">
        <v>2</v>
      </c>
      <c r="C700" s="1" t="s">
        <v>1712</v>
      </c>
      <c r="D700" s="81">
        <v>37703</v>
      </c>
      <c r="E700" s="81" t="s">
        <v>1770</v>
      </c>
      <c r="F700" s="1" t="str">
        <f t="shared" si="10"/>
        <v>&lt;a href='http://en.wikipedia.org/wiki/2003_Malaysian_Grand_Prix'&gt;2003_Malaysian_Grand_Prix&lt;/a&gt;</v>
      </c>
    </row>
    <row r="701" spans="1:6">
      <c r="A701" s="1">
        <v>2003</v>
      </c>
      <c r="B701" s="1">
        <v>3</v>
      </c>
      <c r="C701" s="1" t="s">
        <v>1204</v>
      </c>
      <c r="D701" s="81">
        <v>37717</v>
      </c>
      <c r="E701" s="81" t="s">
        <v>1771</v>
      </c>
      <c r="F701" s="1" t="str">
        <f t="shared" si="10"/>
        <v>&lt;a href='http://en.wikipedia.org/wiki/2003_Brazilian_Grand_Prix'&gt;2003_Brazilian_Grand_Prix&lt;/a&gt;</v>
      </c>
    </row>
    <row r="702" spans="1:6">
      <c r="A702" s="1">
        <v>2003</v>
      </c>
      <c r="B702" s="1">
        <v>4</v>
      </c>
      <c r="C702" s="1" t="s">
        <v>1350</v>
      </c>
      <c r="D702" s="81">
        <v>37731</v>
      </c>
      <c r="E702" s="81" t="s">
        <v>1772</v>
      </c>
      <c r="F702" s="1" t="str">
        <f t="shared" si="10"/>
        <v>&lt;a href='http://en.wikipedia.org/wiki/2003_San_Marino_Grand_Prix'&gt;2003_San_Marino_Grand_Prix&lt;/a&gt;</v>
      </c>
    </row>
    <row r="703" spans="1:6">
      <c r="A703" s="1">
        <v>2003</v>
      </c>
      <c r="B703" s="1">
        <v>5</v>
      </c>
      <c r="C703" s="1" t="s">
        <v>1566</v>
      </c>
      <c r="D703" s="81">
        <v>37745</v>
      </c>
      <c r="E703" s="81" t="s">
        <v>1773</v>
      </c>
      <c r="F703" s="1" t="str">
        <f t="shared" si="10"/>
        <v>&lt;a href='http://en.wikipedia.org/wiki/2003_Spanish_Grand_Prix'&gt;2003_Spanish_Grand_Prix&lt;/a&gt;</v>
      </c>
    </row>
    <row r="704" spans="1:6">
      <c r="A704" s="1">
        <v>2003</v>
      </c>
      <c r="B704" s="1">
        <v>6</v>
      </c>
      <c r="C704" s="1" t="s">
        <v>1166</v>
      </c>
      <c r="D704" s="81">
        <v>37759</v>
      </c>
      <c r="E704" s="81" t="s">
        <v>1774</v>
      </c>
      <c r="F704" s="1" t="str">
        <f t="shared" si="10"/>
        <v>&lt;a href='http://en.wikipedia.org/wiki/2003_Austrian_Grand_Prix'&gt;2003_Austrian_Grand_Prix&lt;/a&gt;</v>
      </c>
    </row>
    <row r="705" spans="1:6">
      <c r="A705" s="1">
        <v>2003</v>
      </c>
      <c r="B705" s="1">
        <v>7</v>
      </c>
      <c r="C705" s="1" t="s">
        <v>857</v>
      </c>
      <c r="D705" s="81">
        <v>37773</v>
      </c>
      <c r="E705" s="81" t="s">
        <v>1775</v>
      </c>
      <c r="F705" s="1" t="str">
        <f t="shared" si="10"/>
        <v>&lt;a href='http://en.wikipedia.org/wiki/2003_Monaco_Grand_Prix'&gt;2003_Monaco_Grand_Prix&lt;/a&gt;</v>
      </c>
    </row>
    <row r="706" spans="1:6">
      <c r="A706" s="1">
        <v>2003</v>
      </c>
      <c r="B706" s="1">
        <v>8</v>
      </c>
      <c r="C706" s="1" t="s">
        <v>1320</v>
      </c>
      <c r="D706" s="81">
        <v>37787</v>
      </c>
      <c r="E706" s="81" t="s">
        <v>1776</v>
      </c>
      <c r="F706" s="1" t="str">
        <f t="shared" si="10"/>
        <v>&lt;a href='http://en.wikipedia.org/wiki/2003_Canadian_Grand_Prix'&gt;2003_Canadian_Grand_Prix&lt;/a&gt;</v>
      </c>
    </row>
    <row r="707" spans="1:6">
      <c r="A707" s="1">
        <v>2003</v>
      </c>
      <c r="B707" s="1">
        <v>9</v>
      </c>
      <c r="C707" s="1" t="s">
        <v>894</v>
      </c>
      <c r="D707" s="81">
        <v>37801</v>
      </c>
      <c r="E707" s="81" t="s">
        <v>1777</v>
      </c>
      <c r="F707" s="1" t="str">
        <f t="shared" ref="F707:F770" si="11">"&lt;a href='"&amp;E707&amp;"'&gt;"&amp;MID(E707,30,LEN(E707)-29)&amp;"&lt;/a&gt;"</f>
        <v>&lt;a href='http://en.wikipedia.org/wiki/2003_European_Grand_Prix'&gt;2003_European_Grand_Prix&lt;/a&gt;</v>
      </c>
    </row>
    <row r="708" spans="1:6">
      <c r="A708" s="1">
        <v>2003</v>
      </c>
      <c r="B708" s="1">
        <v>10</v>
      </c>
      <c r="C708" s="1" t="s">
        <v>1556</v>
      </c>
      <c r="D708" s="81">
        <v>37808</v>
      </c>
      <c r="E708" s="81" t="s">
        <v>1778</v>
      </c>
      <c r="F708" s="1" t="str">
        <f t="shared" si="11"/>
        <v>&lt;a href='http://en.wikipedia.org/wiki/2003_French_Grand_Prix'&gt;2003_French_Grand_Prix&lt;/a&gt;</v>
      </c>
    </row>
    <row r="709" spans="1:6">
      <c r="A709" s="1">
        <v>2003</v>
      </c>
      <c r="B709" s="1">
        <v>11</v>
      </c>
      <c r="C709" s="1" t="s">
        <v>851</v>
      </c>
      <c r="D709" s="81">
        <v>37822</v>
      </c>
      <c r="E709" s="81" t="s">
        <v>1779</v>
      </c>
      <c r="F709" s="1" t="str">
        <f t="shared" si="11"/>
        <v>&lt;a href='http://en.wikipedia.org/wiki/2003_British_Grand_Prix'&gt;2003_British_Grand_Prix&lt;/a&gt;</v>
      </c>
    </row>
    <row r="710" spans="1:6">
      <c r="A710" s="1">
        <v>2003</v>
      </c>
      <c r="B710" s="1">
        <v>12</v>
      </c>
      <c r="C710" s="1" t="s">
        <v>1162</v>
      </c>
      <c r="D710" s="81">
        <v>37836</v>
      </c>
      <c r="E710" s="81" t="s">
        <v>1780</v>
      </c>
      <c r="F710" s="1" t="str">
        <f t="shared" si="11"/>
        <v>&lt;a href='http://en.wikipedia.org/wiki/2003_German_Grand_Prix'&gt;2003_German_Grand_Prix&lt;/a&gt;</v>
      </c>
    </row>
    <row r="711" spans="1:6">
      <c r="A711" s="1">
        <v>2003</v>
      </c>
      <c r="B711" s="1">
        <v>13</v>
      </c>
      <c r="C711" s="1" t="s">
        <v>1470</v>
      </c>
      <c r="D711" s="81">
        <v>37857</v>
      </c>
      <c r="E711" s="81" t="s">
        <v>1781</v>
      </c>
      <c r="F711" s="1" t="str">
        <f t="shared" si="11"/>
        <v>&lt;a href='http://en.wikipedia.org/wiki/2003_Hungarian_Grand_Prix'&gt;2003_Hungarian_Grand_Prix&lt;/a&gt;</v>
      </c>
    </row>
    <row r="712" spans="1:6">
      <c r="A712" s="1">
        <v>2003</v>
      </c>
      <c r="B712" s="1">
        <v>14</v>
      </c>
      <c r="C712" s="1" t="s">
        <v>883</v>
      </c>
      <c r="D712" s="81">
        <v>37878</v>
      </c>
      <c r="E712" s="81" t="s">
        <v>1782</v>
      </c>
      <c r="F712" s="1" t="str">
        <f t="shared" si="11"/>
        <v>&lt;a href='http://en.wikipedia.org/wiki/2003_Italian_Grand_Prix'&gt;2003_Italian_Grand_Prix&lt;/a&gt;</v>
      </c>
    </row>
    <row r="713" spans="1:6">
      <c r="A713" s="1">
        <v>2003</v>
      </c>
      <c r="B713" s="1">
        <v>15</v>
      </c>
      <c r="C713" s="1" t="s">
        <v>863</v>
      </c>
      <c r="D713" s="81">
        <v>37892</v>
      </c>
      <c r="E713" s="81" t="s">
        <v>1783</v>
      </c>
      <c r="F713" s="1" t="str">
        <f t="shared" si="11"/>
        <v>&lt;a href='http://en.wikipedia.org/wiki/2003_United_States_Grand_Prix'&gt;2003_United_States_Grand_Prix&lt;/a&gt;</v>
      </c>
    </row>
    <row r="714" spans="1:6">
      <c r="A714" s="1">
        <v>2003</v>
      </c>
      <c r="B714" s="1">
        <v>16</v>
      </c>
      <c r="C714" s="1" t="s">
        <v>1494</v>
      </c>
      <c r="D714" s="81">
        <v>37906</v>
      </c>
      <c r="E714" s="81" t="s">
        <v>1784</v>
      </c>
      <c r="F714" s="1" t="str">
        <f t="shared" si="11"/>
        <v>&lt;a href='http://en.wikipedia.org/wiki/2003_Japanese_Grand_Prix'&gt;2003_Japanese_Grand_Prix&lt;/a&gt;</v>
      </c>
    </row>
    <row r="715" spans="1:6">
      <c r="A715" s="1">
        <v>2004</v>
      </c>
      <c r="B715" s="1">
        <v>1</v>
      </c>
      <c r="C715" s="1" t="s">
        <v>1644</v>
      </c>
      <c r="D715" s="81">
        <v>38053</v>
      </c>
      <c r="E715" s="81" t="s">
        <v>1785</v>
      </c>
      <c r="F715" s="1" t="str">
        <f t="shared" si="11"/>
        <v>&lt;a href='http://en.wikipedia.org/wiki/2004_Australian_Grand_Prix'&gt;2004_Australian_Grand_Prix&lt;/a&gt;</v>
      </c>
    </row>
    <row r="716" spans="1:6">
      <c r="A716" s="1">
        <v>2004</v>
      </c>
      <c r="B716" s="1">
        <v>2</v>
      </c>
      <c r="C716" s="1" t="s">
        <v>1712</v>
      </c>
      <c r="D716" s="81">
        <v>38067</v>
      </c>
      <c r="E716" s="81" t="s">
        <v>1786</v>
      </c>
      <c r="F716" s="1" t="str">
        <f t="shared" si="11"/>
        <v>&lt;a href='http://en.wikipedia.org/wiki/2004_Malaysian_Grand_Prix'&gt;2004_Malaysian_Grand_Prix&lt;/a&gt;</v>
      </c>
    </row>
    <row r="717" spans="1:6">
      <c r="A717" s="1">
        <v>2004</v>
      </c>
      <c r="B717" s="1">
        <v>3</v>
      </c>
      <c r="C717" s="1" t="s">
        <v>1788</v>
      </c>
      <c r="D717" s="81">
        <v>38081</v>
      </c>
      <c r="E717" s="81" t="s">
        <v>1792</v>
      </c>
      <c r="F717" s="1" t="str">
        <f t="shared" si="11"/>
        <v>&lt;a href='http://en.wikipedia.org/wiki/2004_Bahrain_Grand_Prix'&gt;2004_Bahrain_Grand_Prix&lt;/a&gt;</v>
      </c>
    </row>
    <row r="718" spans="1:6">
      <c r="A718" s="1">
        <v>2004</v>
      </c>
      <c r="B718" s="1">
        <v>4</v>
      </c>
      <c r="C718" s="1" t="s">
        <v>1350</v>
      </c>
      <c r="D718" s="81">
        <v>38102</v>
      </c>
      <c r="E718" s="81" t="s">
        <v>1793</v>
      </c>
      <c r="F718" s="1" t="str">
        <f t="shared" si="11"/>
        <v>&lt;a href='http://en.wikipedia.org/wiki/2004_San_Marino_Grand_Prix'&gt;2004_San_Marino_Grand_Prix&lt;/a&gt;</v>
      </c>
    </row>
    <row r="719" spans="1:6">
      <c r="A719" s="1">
        <v>2004</v>
      </c>
      <c r="B719" s="1">
        <v>5</v>
      </c>
      <c r="C719" s="1" t="s">
        <v>1566</v>
      </c>
      <c r="D719" s="81">
        <v>38116</v>
      </c>
      <c r="E719" s="81" t="s">
        <v>1794</v>
      </c>
      <c r="F719" s="1" t="str">
        <f t="shared" si="11"/>
        <v>&lt;a href='http://en.wikipedia.org/wiki/2004_Spanish_Grand_Prix'&gt;2004_Spanish_Grand_Prix&lt;/a&gt;</v>
      </c>
    </row>
    <row r="720" spans="1:6">
      <c r="A720" s="1">
        <v>2004</v>
      </c>
      <c r="B720" s="1">
        <v>6</v>
      </c>
      <c r="C720" s="1" t="s">
        <v>857</v>
      </c>
      <c r="D720" s="81">
        <v>38130</v>
      </c>
      <c r="E720" s="81" t="s">
        <v>1795</v>
      </c>
      <c r="F720" s="1" t="str">
        <f t="shared" si="11"/>
        <v>&lt;a href='http://en.wikipedia.org/wiki/2004_Monaco_Grand_Prix'&gt;2004_Monaco_Grand_Prix&lt;/a&gt;</v>
      </c>
    </row>
    <row r="721" spans="1:6">
      <c r="A721" s="1">
        <v>2004</v>
      </c>
      <c r="B721" s="1">
        <v>7</v>
      </c>
      <c r="C721" s="1" t="s">
        <v>894</v>
      </c>
      <c r="D721" s="81">
        <v>38137</v>
      </c>
      <c r="E721" s="81" t="s">
        <v>1796</v>
      </c>
      <c r="F721" s="1" t="str">
        <f t="shared" si="11"/>
        <v>&lt;a href='http://en.wikipedia.org/wiki/2004_European_Grand_Prix'&gt;2004_European_Grand_Prix&lt;/a&gt;</v>
      </c>
    </row>
    <row r="722" spans="1:6">
      <c r="A722" s="1">
        <v>2004</v>
      </c>
      <c r="B722" s="1">
        <v>8</v>
      </c>
      <c r="C722" s="1" t="s">
        <v>1320</v>
      </c>
      <c r="D722" s="81">
        <v>38151</v>
      </c>
      <c r="E722" s="81" t="s">
        <v>1797</v>
      </c>
      <c r="F722" s="1" t="str">
        <f t="shared" si="11"/>
        <v>&lt;a href='http://en.wikipedia.org/wiki/2004_Canadian_Grand_Prix'&gt;2004_Canadian_Grand_Prix&lt;/a&gt;</v>
      </c>
    </row>
    <row r="723" spans="1:6">
      <c r="A723" s="1">
        <v>2004</v>
      </c>
      <c r="B723" s="1">
        <v>9</v>
      </c>
      <c r="C723" s="1" t="s">
        <v>863</v>
      </c>
      <c r="D723" s="81">
        <v>38158</v>
      </c>
      <c r="E723" s="81" t="s">
        <v>1798</v>
      </c>
      <c r="F723" s="1" t="str">
        <f t="shared" si="11"/>
        <v>&lt;a href='http://en.wikipedia.org/wiki/2004_United_States_Grand_Prix'&gt;2004_United_States_Grand_Prix&lt;/a&gt;</v>
      </c>
    </row>
    <row r="724" spans="1:6">
      <c r="A724" s="1">
        <v>2004</v>
      </c>
      <c r="B724" s="1">
        <v>10</v>
      </c>
      <c r="C724" s="1" t="s">
        <v>1556</v>
      </c>
      <c r="D724" s="81">
        <v>38172</v>
      </c>
      <c r="E724" s="81" t="s">
        <v>1799</v>
      </c>
      <c r="F724" s="1" t="str">
        <f t="shared" si="11"/>
        <v>&lt;a href='http://en.wikipedia.org/wiki/2004_French_Grand_Prix'&gt;2004_French_Grand_Prix&lt;/a&gt;</v>
      </c>
    </row>
    <row r="725" spans="1:6">
      <c r="A725" s="1">
        <v>2004</v>
      </c>
      <c r="B725" s="1">
        <v>11</v>
      </c>
      <c r="C725" s="1" t="s">
        <v>851</v>
      </c>
      <c r="D725" s="81">
        <v>38179</v>
      </c>
      <c r="E725" s="81" t="s">
        <v>1800</v>
      </c>
      <c r="F725" s="1" t="str">
        <f t="shared" si="11"/>
        <v>&lt;a href='http://en.wikipedia.org/wiki/2004_British_Grand_Prix'&gt;2004_British_Grand_Prix&lt;/a&gt;</v>
      </c>
    </row>
    <row r="726" spans="1:6">
      <c r="A726" s="1">
        <v>2004</v>
      </c>
      <c r="B726" s="1">
        <v>12</v>
      </c>
      <c r="C726" s="1" t="s">
        <v>1162</v>
      </c>
      <c r="D726" s="81">
        <v>38193</v>
      </c>
      <c r="E726" s="81" t="s">
        <v>1801</v>
      </c>
      <c r="F726" s="1" t="str">
        <f t="shared" si="11"/>
        <v>&lt;a href='http://en.wikipedia.org/wiki/2004_German_Grand_Prix'&gt;2004_German_Grand_Prix&lt;/a&gt;</v>
      </c>
    </row>
    <row r="727" spans="1:6">
      <c r="A727" s="1">
        <v>2004</v>
      </c>
      <c r="B727" s="1">
        <v>13</v>
      </c>
      <c r="C727" s="1" t="s">
        <v>1470</v>
      </c>
      <c r="D727" s="81">
        <v>38214</v>
      </c>
      <c r="E727" s="81" t="s">
        <v>1802</v>
      </c>
      <c r="F727" s="1" t="str">
        <f t="shared" si="11"/>
        <v>&lt;a href='http://en.wikipedia.org/wiki/2004_Hungarian_Grand_Prix'&gt;2004_Hungarian_Grand_Prix&lt;/a&gt;</v>
      </c>
    </row>
    <row r="728" spans="1:6">
      <c r="A728" s="1">
        <v>2004</v>
      </c>
      <c r="B728" s="1">
        <v>14</v>
      </c>
      <c r="C728" s="1" t="s">
        <v>873</v>
      </c>
      <c r="D728" s="81">
        <v>38228</v>
      </c>
      <c r="E728" s="81" t="s">
        <v>1803</v>
      </c>
      <c r="F728" s="1" t="str">
        <f t="shared" si="11"/>
        <v>&lt;a href='http://en.wikipedia.org/wiki/2004_Belgian_Grand_Prix'&gt;2004_Belgian_Grand_Prix&lt;/a&gt;</v>
      </c>
    </row>
    <row r="729" spans="1:6">
      <c r="A729" s="1">
        <v>2004</v>
      </c>
      <c r="B729" s="1">
        <v>15</v>
      </c>
      <c r="C729" s="1" t="s">
        <v>883</v>
      </c>
      <c r="D729" s="81">
        <v>38242</v>
      </c>
      <c r="E729" s="81" t="s">
        <v>1804</v>
      </c>
      <c r="F729" s="1" t="str">
        <f t="shared" si="11"/>
        <v>&lt;a href='http://en.wikipedia.org/wiki/2004_Italian_Grand_Prix'&gt;2004_Italian_Grand_Prix&lt;/a&gt;</v>
      </c>
    </row>
    <row r="730" spans="1:6">
      <c r="A730" s="1">
        <v>2004</v>
      </c>
      <c r="B730" s="1">
        <v>16</v>
      </c>
      <c r="C730" s="1" t="s">
        <v>1806</v>
      </c>
      <c r="D730" s="81">
        <v>38256</v>
      </c>
      <c r="E730" s="81" t="s">
        <v>1809</v>
      </c>
      <c r="F730" s="1" t="str">
        <f t="shared" si="11"/>
        <v>&lt;a href='http://en.wikipedia.org/wiki/2004_Chinese_Grand_Prix'&gt;2004_Chinese_Grand_Prix&lt;/a&gt;</v>
      </c>
    </row>
    <row r="731" spans="1:6">
      <c r="A731" s="1">
        <v>2004</v>
      </c>
      <c r="B731" s="1">
        <v>17</v>
      </c>
      <c r="C731" s="1" t="s">
        <v>1494</v>
      </c>
      <c r="D731" s="81">
        <v>38270</v>
      </c>
      <c r="E731" s="81" t="s">
        <v>1810</v>
      </c>
      <c r="F731" s="1" t="str">
        <f t="shared" si="11"/>
        <v>&lt;a href='http://en.wikipedia.org/wiki/2004_Japanese_Grand_Prix'&gt;2004_Japanese_Grand_Prix&lt;/a&gt;</v>
      </c>
    </row>
    <row r="732" spans="1:6">
      <c r="A732" s="1">
        <v>2004</v>
      </c>
      <c r="B732" s="1">
        <v>18</v>
      </c>
      <c r="C732" s="1" t="s">
        <v>1204</v>
      </c>
      <c r="D732" s="81">
        <v>38284</v>
      </c>
      <c r="E732" s="81" t="s">
        <v>1811</v>
      </c>
      <c r="F732" s="1" t="str">
        <f t="shared" si="11"/>
        <v>&lt;a href='http://en.wikipedia.org/wiki/2004_Brazilian_Grand_Prix'&gt;2004_Brazilian_Grand_Prix&lt;/a&gt;</v>
      </c>
    </row>
    <row r="733" spans="1:6">
      <c r="A733" s="1">
        <v>2005</v>
      </c>
      <c r="B733" s="1">
        <v>1</v>
      </c>
      <c r="C733" s="1" t="s">
        <v>1644</v>
      </c>
      <c r="D733" s="81">
        <v>38417</v>
      </c>
      <c r="E733" s="81" t="s">
        <v>1812</v>
      </c>
      <c r="F733" s="1" t="str">
        <f t="shared" si="11"/>
        <v>&lt;a href='http://en.wikipedia.org/wiki/2005_Australian_Grand_Prix'&gt;2005_Australian_Grand_Prix&lt;/a&gt;</v>
      </c>
    </row>
    <row r="734" spans="1:6">
      <c r="A734" s="1">
        <v>2005</v>
      </c>
      <c r="B734" s="1">
        <v>2</v>
      </c>
      <c r="C734" s="1" t="s">
        <v>1712</v>
      </c>
      <c r="D734" s="81">
        <v>38431</v>
      </c>
      <c r="E734" s="81" t="s">
        <v>1813</v>
      </c>
      <c r="F734" s="1" t="str">
        <f t="shared" si="11"/>
        <v>&lt;a href='http://en.wikipedia.org/wiki/2005_Malaysian_Grand_Prix'&gt;2005_Malaysian_Grand_Prix&lt;/a&gt;</v>
      </c>
    </row>
    <row r="735" spans="1:6">
      <c r="A735" s="1">
        <v>2005</v>
      </c>
      <c r="B735" s="1">
        <v>3</v>
      </c>
      <c r="C735" s="1" t="s">
        <v>1788</v>
      </c>
      <c r="D735" s="81">
        <v>38445</v>
      </c>
      <c r="E735" s="81" t="s">
        <v>1814</v>
      </c>
      <c r="F735" s="1" t="str">
        <f t="shared" si="11"/>
        <v>&lt;a href='http://en.wikipedia.org/wiki/2005_Bahrain_Grand_Prix'&gt;2005_Bahrain_Grand_Prix&lt;/a&gt;</v>
      </c>
    </row>
    <row r="736" spans="1:6">
      <c r="A736" s="1">
        <v>2005</v>
      </c>
      <c r="B736" s="1">
        <v>4</v>
      </c>
      <c r="C736" s="1" t="s">
        <v>1350</v>
      </c>
      <c r="D736" s="81">
        <v>38466</v>
      </c>
      <c r="E736" s="81" t="s">
        <v>1815</v>
      </c>
      <c r="F736" s="1" t="str">
        <f t="shared" si="11"/>
        <v>&lt;a href='http://en.wikipedia.org/wiki/2005_San_Marino_Grand_Prix'&gt;2005_San_Marino_Grand_Prix&lt;/a&gt;</v>
      </c>
    </row>
    <row r="737" spans="1:6">
      <c r="A737" s="1">
        <v>2005</v>
      </c>
      <c r="B737" s="1">
        <v>5</v>
      </c>
      <c r="C737" s="1" t="s">
        <v>1566</v>
      </c>
      <c r="D737" s="81">
        <v>38480</v>
      </c>
      <c r="E737" s="81" t="s">
        <v>1816</v>
      </c>
      <c r="F737" s="1" t="str">
        <f t="shared" si="11"/>
        <v>&lt;a href='http://en.wikipedia.org/wiki/2005_Spanish_Grand_Prix'&gt;2005_Spanish_Grand_Prix&lt;/a&gt;</v>
      </c>
    </row>
    <row r="738" spans="1:6">
      <c r="A738" s="1">
        <v>2005</v>
      </c>
      <c r="B738" s="1">
        <v>6</v>
      </c>
      <c r="C738" s="1" t="s">
        <v>857</v>
      </c>
      <c r="D738" s="81">
        <v>38494</v>
      </c>
      <c r="E738" s="81" t="s">
        <v>1817</v>
      </c>
      <c r="F738" s="1" t="str">
        <f t="shared" si="11"/>
        <v>&lt;a href='http://en.wikipedia.org/wiki/2005_Monaco_Grand_Prix'&gt;2005_Monaco_Grand_Prix&lt;/a&gt;</v>
      </c>
    </row>
    <row r="739" spans="1:6">
      <c r="A739" s="1">
        <v>2005</v>
      </c>
      <c r="B739" s="1">
        <v>7</v>
      </c>
      <c r="C739" s="1" t="s">
        <v>894</v>
      </c>
      <c r="D739" s="81">
        <v>38501</v>
      </c>
      <c r="E739" s="81" t="s">
        <v>1818</v>
      </c>
      <c r="F739" s="1" t="str">
        <f t="shared" si="11"/>
        <v>&lt;a href='http://en.wikipedia.org/wiki/2005_European_Grand_Prix'&gt;2005_European_Grand_Prix&lt;/a&gt;</v>
      </c>
    </row>
    <row r="740" spans="1:6">
      <c r="A740" s="1">
        <v>2005</v>
      </c>
      <c r="B740" s="1">
        <v>8</v>
      </c>
      <c r="C740" s="1" t="s">
        <v>1320</v>
      </c>
      <c r="D740" s="81">
        <v>38515</v>
      </c>
      <c r="E740" s="81" t="s">
        <v>1819</v>
      </c>
      <c r="F740" s="1" t="str">
        <f t="shared" si="11"/>
        <v>&lt;a href='http://en.wikipedia.org/wiki/2005_Canadian_Grand_Prix'&gt;2005_Canadian_Grand_Prix&lt;/a&gt;</v>
      </c>
    </row>
    <row r="741" spans="1:6">
      <c r="A741" s="1">
        <v>2005</v>
      </c>
      <c r="B741" s="1">
        <v>9</v>
      </c>
      <c r="C741" s="1" t="s">
        <v>863</v>
      </c>
      <c r="D741" s="81">
        <v>38522</v>
      </c>
      <c r="E741" s="81" t="s">
        <v>1820</v>
      </c>
      <c r="F741" s="1" t="str">
        <f t="shared" si="11"/>
        <v>&lt;a href='http://en.wikipedia.org/wiki/2005_United_States_Grand_Prix'&gt;2005_United_States_Grand_Prix&lt;/a&gt;</v>
      </c>
    </row>
    <row r="742" spans="1:6">
      <c r="A742" s="1">
        <v>2005</v>
      </c>
      <c r="B742" s="1">
        <v>10</v>
      </c>
      <c r="C742" s="1" t="s">
        <v>1556</v>
      </c>
      <c r="D742" s="81">
        <v>38536</v>
      </c>
      <c r="E742" s="81" t="s">
        <v>1821</v>
      </c>
      <c r="F742" s="1" t="str">
        <f t="shared" si="11"/>
        <v>&lt;a href='http://en.wikipedia.org/wiki/2005_French_Grand_Prix'&gt;2005_French_Grand_Prix&lt;/a&gt;</v>
      </c>
    </row>
    <row r="743" spans="1:6">
      <c r="A743" s="1">
        <v>2005</v>
      </c>
      <c r="B743" s="1">
        <v>11</v>
      </c>
      <c r="C743" s="1" t="s">
        <v>851</v>
      </c>
      <c r="D743" s="81">
        <v>38543</v>
      </c>
      <c r="E743" s="81" t="s">
        <v>1822</v>
      </c>
      <c r="F743" s="1" t="str">
        <f t="shared" si="11"/>
        <v>&lt;a href='http://en.wikipedia.org/wiki/2005_British_Grand_Prix'&gt;2005_British_Grand_Prix&lt;/a&gt;</v>
      </c>
    </row>
    <row r="744" spans="1:6">
      <c r="A744" s="1">
        <v>2005</v>
      </c>
      <c r="B744" s="1">
        <v>12</v>
      </c>
      <c r="C744" s="1" t="s">
        <v>1162</v>
      </c>
      <c r="D744" s="81">
        <v>38557</v>
      </c>
      <c r="E744" s="81" t="s">
        <v>1823</v>
      </c>
      <c r="F744" s="1" t="str">
        <f t="shared" si="11"/>
        <v>&lt;a href='http://en.wikipedia.org/wiki/2005_German_Grand_Prix'&gt;2005_German_Grand_Prix&lt;/a&gt;</v>
      </c>
    </row>
    <row r="745" spans="1:6">
      <c r="A745" s="1">
        <v>2005</v>
      </c>
      <c r="B745" s="1">
        <v>13</v>
      </c>
      <c r="C745" s="1" t="s">
        <v>1470</v>
      </c>
      <c r="D745" s="81">
        <v>38564</v>
      </c>
      <c r="E745" s="81" t="s">
        <v>1824</v>
      </c>
      <c r="F745" s="1" t="str">
        <f t="shared" si="11"/>
        <v>&lt;a href='http://en.wikipedia.org/wiki/2005_Hungarian_Grand_Prix'&gt;2005_Hungarian_Grand_Prix&lt;/a&gt;</v>
      </c>
    </row>
    <row r="746" spans="1:6">
      <c r="A746" s="1">
        <v>2005</v>
      </c>
      <c r="B746" s="1">
        <v>14</v>
      </c>
      <c r="C746" s="1" t="s">
        <v>1826</v>
      </c>
      <c r="D746" s="81">
        <v>38585</v>
      </c>
      <c r="E746" s="81" t="s">
        <v>1830</v>
      </c>
      <c r="F746" s="1" t="str">
        <f t="shared" si="11"/>
        <v>&lt;a href='http://en.wikipedia.org/wiki/2005_Turkish_Grand_Prix'&gt;2005_Turkish_Grand_Prix&lt;/a&gt;</v>
      </c>
    </row>
    <row r="747" spans="1:6">
      <c r="A747" s="1">
        <v>2005</v>
      </c>
      <c r="B747" s="1">
        <v>15</v>
      </c>
      <c r="C747" s="1" t="s">
        <v>883</v>
      </c>
      <c r="D747" s="81">
        <v>38599</v>
      </c>
      <c r="E747" s="81" t="s">
        <v>1831</v>
      </c>
      <c r="F747" s="1" t="str">
        <f t="shared" si="11"/>
        <v>&lt;a href='http://en.wikipedia.org/wiki/2005_Italian_Grand_Prix'&gt;2005_Italian_Grand_Prix&lt;/a&gt;</v>
      </c>
    </row>
    <row r="748" spans="1:6">
      <c r="A748" s="1">
        <v>2005</v>
      </c>
      <c r="B748" s="1">
        <v>16</v>
      </c>
      <c r="C748" s="1" t="s">
        <v>873</v>
      </c>
      <c r="D748" s="81">
        <v>38606</v>
      </c>
      <c r="E748" s="81" t="s">
        <v>1833</v>
      </c>
      <c r="F748" s="1" t="str">
        <f t="shared" si="11"/>
        <v>&lt;a href='http://en.wikipedia.org/wiki/2005_Belgian_Grand_Prix'&gt;2005_Belgian_Grand_Prix&lt;/a&gt;</v>
      </c>
    </row>
    <row r="749" spans="1:6">
      <c r="A749" s="1">
        <v>2005</v>
      </c>
      <c r="B749" s="1">
        <v>17</v>
      </c>
      <c r="C749" s="1" t="s">
        <v>1204</v>
      </c>
      <c r="D749" s="81">
        <v>38620</v>
      </c>
      <c r="E749" s="81" t="s">
        <v>1834</v>
      </c>
      <c r="F749" s="1" t="str">
        <f t="shared" si="11"/>
        <v>&lt;a href='http://en.wikipedia.org/wiki/2005_Brazilian_Grand_Prix'&gt;2005_Brazilian_Grand_Prix&lt;/a&gt;</v>
      </c>
    </row>
    <row r="750" spans="1:6">
      <c r="A750" s="1">
        <v>2005</v>
      </c>
      <c r="B750" s="1">
        <v>18</v>
      </c>
      <c r="C750" s="1" t="s">
        <v>1494</v>
      </c>
      <c r="D750" s="81">
        <v>38634</v>
      </c>
      <c r="E750" s="81" t="s">
        <v>1835</v>
      </c>
      <c r="F750" s="1" t="str">
        <f t="shared" si="11"/>
        <v>&lt;a href='http://en.wikipedia.org/wiki/2005_Japanese_Grand_Prix'&gt;2005_Japanese_Grand_Prix&lt;/a&gt;</v>
      </c>
    </row>
    <row r="751" spans="1:6">
      <c r="A751" s="1">
        <v>2005</v>
      </c>
      <c r="B751" s="1">
        <v>19</v>
      </c>
      <c r="C751" s="1" t="s">
        <v>1806</v>
      </c>
      <c r="D751" s="81">
        <v>38641</v>
      </c>
      <c r="E751" s="81" t="s">
        <v>1836</v>
      </c>
      <c r="F751" s="1" t="str">
        <f t="shared" si="11"/>
        <v>&lt;a href='http://en.wikipedia.org/wiki/2005_Chinese_Grand_Prix'&gt;2005_Chinese_Grand_Prix&lt;/a&gt;</v>
      </c>
    </row>
    <row r="752" spans="1:6">
      <c r="A752" s="1">
        <v>2006</v>
      </c>
      <c r="B752" s="1">
        <v>1</v>
      </c>
      <c r="C752" s="1" t="s">
        <v>1788</v>
      </c>
      <c r="D752" s="81">
        <v>38788</v>
      </c>
      <c r="E752" s="81" t="s">
        <v>1837</v>
      </c>
      <c r="F752" s="1" t="str">
        <f t="shared" si="11"/>
        <v>&lt;a href='http://en.wikipedia.org/wiki/2006_Bahrain_Grand_Prix'&gt;2006_Bahrain_Grand_Prix&lt;/a&gt;</v>
      </c>
    </row>
    <row r="753" spans="1:6">
      <c r="A753" s="1">
        <v>2006</v>
      </c>
      <c r="B753" s="1">
        <v>2</v>
      </c>
      <c r="C753" s="1" t="s">
        <v>1712</v>
      </c>
      <c r="D753" s="81">
        <v>38795</v>
      </c>
      <c r="E753" s="81" t="s">
        <v>1838</v>
      </c>
      <c r="F753" s="1" t="str">
        <f t="shared" si="11"/>
        <v>&lt;a href='http://en.wikipedia.org/wiki/2006_Malaysian_Grand_Prix'&gt;2006_Malaysian_Grand_Prix&lt;/a&gt;</v>
      </c>
    </row>
    <row r="754" spans="1:6">
      <c r="A754" s="1">
        <v>2006</v>
      </c>
      <c r="B754" s="1">
        <v>3</v>
      </c>
      <c r="C754" s="1" t="s">
        <v>1644</v>
      </c>
      <c r="D754" s="81">
        <v>38809</v>
      </c>
      <c r="E754" s="81" t="s">
        <v>1839</v>
      </c>
      <c r="F754" s="1" t="str">
        <f t="shared" si="11"/>
        <v>&lt;a href='http://en.wikipedia.org/wiki/2006_Australian_Grand_Prix'&gt;2006_Australian_Grand_Prix&lt;/a&gt;</v>
      </c>
    </row>
    <row r="755" spans="1:6">
      <c r="A755" s="1">
        <v>2006</v>
      </c>
      <c r="B755" s="1">
        <v>4</v>
      </c>
      <c r="C755" s="1" t="s">
        <v>1350</v>
      </c>
      <c r="D755" s="81">
        <v>38830</v>
      </c>
      <c r="E755" s="81" t="s">
        <v>1840</v>
      </c>
      <c r="F755" s="1" t="str">
        <f t="shared" si="11"/>
        <v>&lt;a href='http://en.wikipedia.org/wiki/2006_San_Marino_Grand_Prix'&gt;2006_San_Marino_Grand_Prix&lt;/a&gt;</v>
      </c>
    </row>
    <row r="756" spans="1:6">
      <c r="A756" s="1">
        <v>2006</v>
      </c>
      <c r="B756" s="1">
        <v>5</v>
      </c>
      <c r="C756" s="1" t="s">
        <v>894</v>
      </c>
      <c r="D756" s="81">
        <v>38844</v>
      </c>
      <c r="E756" s="81" t="s">
        <v>1841</v>
      </c>
      <c r="F756" s="1" t="str">
        <f t="shared" si="11"/>
        <v>&lt;a href='http://en.wikipedia.org/wiki/2006_European_Grand_Prix'&gt;2006_European_Grand_Prix&lt;/a&gt;</v>
      </c>
    </row>
    <row r="757" spans="1:6">
      <c r="A757" s="1">
        <v>2006</v>
      </c>
      <c r="B757" s="1">
        <v>6</v>
      </c>
      <c r="C757" s="1" t="s">
        <v>1566</v>
      </c>
      <c r="D757" s="81">
        <v>38851</v>
      </c>
      <c r="E757" s="81" t="s">
        <v>1842</v>
      </c>
      <c r="F757" s="1" t="str">
        <f t="shared" si="11"/>
        <v>&lt;a href='http://en.wikipedia.org/wiki/2006_Spanish_Grand_Prix'&gt;2006_Spanish_Grand_Prix&lt;/a&gt;</v>
      </c>
    </row>
    <row r="758" spans="1:6">
      <c r="A758" s="1">
        <v>2006</v>
      </c>
      <c r="B758" s="1">
        <v>7</v>
      </c>
      <c r="C758" s="1" t="s">
        <v>857</v>
      </c>
      <c r="D758" s="81">
        <v>38865</v>
      </c>
      <c r="E758" s="81" t="s">
        <v>1843</v>
      </c>
      <c r="F758" s="1" t="str">
        <f t="shared" si="11"/>
        <v>&lt;a href='http://en.wikipedia.org/wiki/2006_Monaco_Grand_Prix'&gt;2006_Monaco_Grand_Prix&lt;/a&gt;</v>
      </c>
    </row>
    <row r="759" spans="1:6">
      <c r="A759" s="1">
        <v>2006</v>
      </c>
      <c r="B759" s="1">
        <v>8</v>
      </c>
      <c r="C759" s="1" t="s">
        <v>851</v>
      </c>
      <c r="D759" s="81">
        <v>38879</v>
      </c>
      <c r="E759" s="81" t="s">
        <v>1844</v>
      </c>
      <c r="F759" s="1" t="str">
        <f t="shared" si="11"/>
        <v>&lt;a href='http://en.wikipedia.org/wiki/2006_British_Grand_Prix'&gt;2006_British_Grand_Prix&lt;/a&gt;</v>
      </c>
    </row>
    <row r="760" spans="1:6">
      <c r="A760" s="1">
        <v>2006</v>
      </c>
      <c r="B760" s="1">
        <v>9</v>
      </c>
      <c r="C760" s="1" t="s">
        <v>1320</v>
      </c>
      <c r="D760" s="81">
        <v>38893</v>
      </c>
      <c r="E760" s="81" t="s">
        <v>1845</v>
      </c>
      <c r="F760" s="1" t="str">
        <f t="shared" si="11"/>
        <v>&lt;a href='http://en.wikipedia.org/wiki/2006_Canadian_Grand_Prix'&gt;2006_Canadian_Grand_Prix&lt;/a&gt;</v>
      </c>
    </row>
    <row r="761" spans="1:6">
      <c r="A761" s="1">
        <v>2006</v>
      </c>
      <c r="B761" s="1">
        <v>10</v>
      </c>
      <c r="C761" s="1" t="s">
        <v>863</v>
      </c>
      <c r="D761" s="81">
        <v>38900</v>
      </c>
      <c r="E761" s="81" t="s">
        <v>1846</v>
      </c>
      <c r="F761" s="1" t="str">
        <f t="shared" si="11"/>
        <v>&lt;a href='http://en.wikipedia.org/wiki/2006_United_States_Grand_Prix'&gt;2006_United_States_Grand_Prix&lt;/a&gt;</v>
      </c>
    </row>
    <row r="762" spans="1:6">
      <c r="A762" s="1">
        <v>2006</v>
      </c>
      <c r="B762" s="1">
        <v>11</v>
      </c>
      <c r="C762" s="1" t="s">
        <v>1556</v>
      </c>
      <c r="D762" s="81">
        <v>38914</v>
      </c>
      <c r="E762" s="81" t="s">
        <v>1847</v>
      </c>
      <c r="F762" s="1" t="str">
        <f t="shared" si="11"/>
        <v>&lt;a href='http://en.wikipedia.org/wiki/2006_French_Grand_Prix'&gt;2006_French_Grand_Prix&lt;/a&gt;</v>
      </c>
    </row>
    <row r="763" spans="1:6">
      <c r="A763" s="1">
        <v>2006</v>
      </c>
      <c r="B763" s="1">
        <v>12</v>
      </c>
      <c r="C763" s="1" t="s">
        <v>1162</v>
      </c>
      <c r="D763" s="81">
        <v>38928</v>
      </c>
      <c r="E763" s="81" t="s">
        <v>1848</v>
      </c>
      <c r="F763" s="1" t="str">
        <f t="shared" si="11"/>
        <v>&lt;a href='http://en.wikipedia.org/wiki/2006_German_Grand_Prix'&gt;2006_German_Grand_Prix&lt;/a&gt;</v>
      </c>
    </row>
    <row r="764" spans="1:6">
      <c r="A764" s="1">
        <v>2006</v>
      </c>
      <c r="B764" s="1">
        <v>13</v>
      </c>
      <c r="C764" s="1" t="s">
        <v>1470</v>
      </c>
      <c r="D764" s="81">
        <v>38935</v>
      </c>
      <c r="E764" s="81" t="s">
        <v>1849</v>
      </c>
      <c r="F764" s="1" t="str">
        <f t="shared" si="11"/>
        <v>&lt;a href='http://en.wikipedia.org/wiki/2006_Hungarian_Grand_Prix'&gt;2006_Hungarian_Grand_Prix&lt;/a&gt;</v>
      </c>
    </row>
    <row r="765" spans="1:6">
      <c r="A765" s="1">
        <v>2006</v>
      </c>
      <c r="B765" s="1">
        <v>14</v>
      </c>
      <c r="C765" s="1" t="s">
        <v>1826</v>
      </c>
      <c r="D765" s="81">
        <v>38956</v>
      </c>
      <c r="E765" s="81" t="s">
        <v>1850</v>
      </c>
      <c r="F765" s="1" t="str">
        <f t="shared" si="11"/>
        <v>&lt;a href='http://en.wikipedia.org/wiki/2006_Turkish_Grand_Prix'&gt;2006_Turkish_Grand_Prix&lt;/a&gt;</v>
      </c>
    </row>
    <row r="766" spans="1:6">
      <c r="A766" s="1">
        <v>2006</v>
      </c>
      <c r="B766" s="1">
        <v>15</v>
      </c>
      <c r="C766" s="1" t="s">
        <v>883</v>
      </c>
      <c r="D766" s="81">
        <v>38970</v>
      </c>
      <c r="E766" s="81" t="s">
        <v>1851</v>
      </c>
      <c r="F766" s="1" t="str">
        <f t="shared" si="11"/>
        <v>&lt;a href='http://en.wikipedia.org/wiki/2006_Italian_Grand_Prix'&gt;2006_Italian_Grand_Prix&lt;/a&gt;</v>
      </c>
    </row>
    <row r="767" spans="1:6">
      <c r="A767" s="1">
        <v>2006</v>
      </c>
      <c r="B767" s="1">
        <v>16</v>
      </c>
      <c r="C767" s="1" t="s">
        <v>1806</v>
      </c>
      <c r="D767" s="81">
        <v>38991</v>
      </c>
      <c r="E767" s="81" t="s">
        <v>1852</v>
      </c>
      <c r="F767" s="1" t="str">
        <f t="shared" si="11"/>
        <v>&lt;a href='http://en.wikipedia.org/wiki/2006_Chinese_Grand_Prix'&gt;2006_Chinese_Grand_Prix&lt;/a&gt;</v>
      </c>
    </row>
    <row r="768" spans="1:6">
      <c r="A768" s="1">
        <v>2006</v>
      </c>
      <c r="B768" s="1">
        <v>17</v>
      </c>
      <c r="C768" s="1" t="s">
        <v>1494</v>
      </c>
      <c r="D768" s="81">
        <v>38998</v>
      </c>
      <c r="E768" s="81" t="s">
        <v>1853</v>
      </c>
      <c r="F768" s="1" t="str">
        <f t="shared" si="11"/>
        <v>&lt;a href='http://en.wikipedia.org/wiki/2006_Japanese_Grand_Prix'&gt;2006_Japanese_Grand_Prix&lt;/a&gt;</v>
      </c>
    </row>
    <row r="769" spans="1:6">
      <c r="A769" s="1">
        <v>2006</v>
      </c>
      <c r="B769" s="1">
        <v>18</v>
      </c>
      <c r="C769" s="1" t="s">
        <v>1204</v>
      </c>
      <c r="D769" s="81">
        <v>39012</v>
      </c>
      <c r="E769" s="81" t="s">
        <v>1854</v>
      </c>
      <c r="F769" s="1" t="str">
        <f t="shared" si="11"/>
        <v>&lt;a href='http://en.wikipedia.org/wiki/2006_Brazilian_Grand_Prix'&gt;2006_Brazilian_Grand_Prix&lt;/a&gt;</v>
      </c>
    </row>
    <row r="770" spans="1:6">
      <c r="A770" s="1">
        <v>2007</v>
      </c>
      <c r="B770" s="1">
        <v>1</v>
      </c>
      <c r="C770" s="1" t="s">
        <v>1644</v>
      </c>
      <c r="D770" s="81">
        <v>39159</v>
      </c>
      <c r="E770" s="81" t="s">
        <v>1855</v>
      </c>
      <c r="F770" s="1" t="str">
        <f t="shared" si="11"/>
        <v>&lt;a href='http://en.wikipedia.org/wiki/2007_Australian_Grand_Prix'&gt;2007_Australian_Grand_Prix&lt;/a&gt;</v>
      </c>
    </row>
    <row r="771" spans="1:6">
      <c r="A771" s="1">
        <v>2007</v>
      </c>
      <c r="B771" s="1">
        <v>2</v>
      </c>
      <c r="C771" s="1" t="s">
        <v>1712</v>
      </c>
      <c r="D771" s="81">
        <v>39180</v>
      </c>
      <c r="E771" s="81" t="s">
        <v>1856</v>
      </c>
      <c r="F771" s="1" t="str">
        <f t="shared" ref="F771:F834" si="12">"&lt;a href='"&amp;E771&amp;"'&gt;"&amp;MID(E771,30,LEN(E771)-29)&amp;"&lt;/a&gt;"</f>
        <v>&lt;a href='http://en.wikipedia.org/wiki/2007_Malaysian_Grand_Prix'&gt;2007_Malaysian_Grand_Prix&lt;/a&gt;</v>
      </c>
    </row>
    <row r="772" spans="1:6">
      <c r="A772" s="1">
        <v>2007</v>
      </c>
      <c r="B772" s="1">
        <v>3</v>
      </c>
      <c r="C772" s="1" t="s">
        <v>1788</v>
      </c>
      <c r="D772" s="81">
        <v>39187</v>
      </c>
      <c r="E772" s="81" t="s">
        <v>1857</v>
      </c>
      <c r="F772" s="1" t="str">
        <f t="shared" si="12"/>
        <v>&lt;a href='http://en.wikipedia.org/wiki/2007_Bahrain_Grand_Prix'&gt;2007_Bahrain_Grand_Prix&lt;/a&gt;</v>
      </c>
    </row>
    <row r="773" spans="1:6">
      <c r="A773" s="1">
        <v>2007</v>
      </c>
      <c r="B773" s="1">
        <v>4</v>
      </c>
      <c r="C773" s="1" t="s">
        <v>1566</v>
      </c>
      <c r="D773" s="81">
        <v>39215</v>
      </c>
      <c r="E773" s="81" t="s">
        <v>1858</v>
      </c>
      <c r="F773" s="1" t="str">
        <f t="shared" si="12"/>
        <v>&lt;a href='http://en.wikipedia.org/wiki/2007_Spanish_Grand_Prix'&gt;2007_Spanish_Grand_Prix&lt;/a&gt;</v>
      </c>
    </row>
    <row r="774" spans="1:6">
      <c r="A774" s="1">
        <v>2007</v>
      </c>
      <c r="B774" s="1">
        <v>5</v>
      </c>
      <c r="C774" s="1" t="s">
        <v>857</v>
      </c>
      <c r="D774" s="81">
        <v>39229</v>
      </c>
      <c r="E774" s="81" t="s">
        <v>1859</v>
      </c>
      <c r="F774" s="1" t="str">
        <f t="shared" si="12"/>
        <v>&lt;a href='http://en.wikipedia.org/wiki/2007_Monaco_Grand_Prix'&gt;2007_Monaco_Grand_Prix&lt;/a&gt;</v>
      </c>
    </row>
    <row r="775" spans="1:6">
      <c r="A775" s="1">
        <v>2007</v>
      </c>
      <c r="B775" s="1">
        <v>6</v>
      </c>
      <c r="C775" s="1" t="s">
        <v>1320</v>
      </c>
      <c r="D775" s="81">
        <v>39243</v>
      </c>
      <c r="E775" s="81" t="s">
        <v>1860</v>
      </c>
      <c r="F775" s="1" t="str">
        <f t="shared" si="12"/>
        <v>&lt;a href='http://en.wikipedia.org/wiki/2007_Canadian_Grand_Prix'&gt;2007_Canadian_Grand_Prix&lt;/a&gt;</v>
      </c>
    </row>
    <row r="776" spans="1:6">
      <c r="A776" s="1">
        <v>2007</v>
      </c>
      <c r="B776" s="1">
        <v>7</v>
      </c>
      <c r="C776" s="1" t="s">
        <v>863</v>
      </c>
      <c r="D776" s="81">
        <v>39250</v>
      </c>
      <c r="E776" s="81" t="s">
        <v>1861</v>
      </c>
      <c r="F776" s="1" t="str">
        <f t="shared" si="12"/>
        <v>&lt;a href='http://en.wikipedia.org/wiki/2007_United_States_Grand_Prix'&gt;2007_United_States_Grand_Prix&lt;/a&gt;</v>
      </c>
    </row>
    <row r="777" spans="1:6">
      <c r="A777" s="1">
        <v>2007</v>
      </c>
      <c r="B777" s="1">
        <v>8</v>
      </c>
      <c r="C777" s="1" t="s">
        <v>1556</v>
      </c>
      <c r="D777" s="81">
        <v>39264</v>
      </c>
      <c r="E777" s="81" t="s">
        <v>1862</v>
      </c>
      <c r="F777" s="1" t="str">
        <f t="shared" si="12"/>
        <v>&lt;a href='http://en.wikipedia.org/wiki/2007_French_Grand_Prix'&gt;2007_French_Grand_Prix&lt;/a&gt;</v>
      </c>
    </row>
    <row r="778" spans="1:6">
      <c r="A778" s="1">
        <v>2007</v>
      </c>
      <c r="B778" s="1">
        <v>9</v>
      </c>
      <c r="C778" s="1" t="s">
        <v>851</v>
      </c>
      <c r="D778" s="81">
        <v>39271</v>
      </c>
      <c r="E778" s="81" t="s">
        <v>1863</v>
      </c>
      <c r="F778" s="1" t="str">
        <f t="shared" si="12"/>
        <v>&lt;a href='http://en.wikipedia.org/wiki/2007_British_Grand_Prix'&gt;2007_British_Grand_Prix&lt;/a&gt;</v>
      </c>
    </row>
    <row r="779" spans="1:6">
      <c r="A779" s="1">
        <v>2007</v>
      </c>
      <c r="B779" s="1">
        <v>10</v>
      </c>
      <c r="C779" s="1" t="s">
        <v>894</v>
      </c>
      <c r="D779" s="81">
        <v>39285</v>
      </c>
      <c r="E779" s="81" t="s">
        <v>1864</v>
      </c>
      <c r="F779" s="1" t="str">
        <f t="shared" si="12"/>
        <v>&lt;a href='http://en.wikipedia.org/wiki/2007_European_Grand_Prix'&gt;2007_European_Grand_Prix&lt;/a&gt;</v>
      </c>
    </row>
    <row r="780" spans="1:6">
      <c r="A780" s="1">
        <v>2007</v>
      </c>
      <c r="B780" s="1">
        <v>11</v>
      </c>
      <c r="C780" s="1" t="s">
        <v>1470</v>
      </c>
      <c r="D780" s="81">
        <v>39299</v>
      </c>
      <c r="E780" s="81" t="s">
        <v>1865</v>
      </c>
      <c r="F780" s="1" t="str">
        <f t="shared" si="12"/>
        <v>&lt;a href='http://en.wikipedia.org/wiki/2007_Hungarian_Grand_Prix'&gt;2007_Hungarian_Grand_Prix&lt;/a&gt;</v>
      </c>
    </row>
    <row r="781" spans="1:6">
      <c r="A781" s="1">
        <v>2007</v>
      </c>
      <c r="B781" s="1">
        <v>12</v>
      </c>
      <c r="C781" s="1" t="s">
        <v>1826</v>
      </c>
      <c r="D781" s="81">
        <v>39320</v>
      </c>
      <c r="E781" s="81" t="s">
        <v>1866</v>
      </c>
      <c r="F781" s="1" t="str">
        <f t="shared" si="12"/>
        <v>&lt;a href='http://en.wikipedia.org/wiki/2007_Turkish_Grand_Prix'&gt;2007_Turkish_Grand_Prix&lt;/a&gt;</v>
      </c>
    </row>
    <row r="782" spans="1:6">
      <c r="A782" s="1">
        <v>2007</v>
      </c>
      <c r="B782" s="1">
        <v>13</v>
      </c>
      <c r="C782" s="1" t="s">
        <v>883</v>
      </c>
      <c r="D782" s="81">
        <v>39334</v>
      </c>
      <c r="E782" s="81" t="s">
        <v>1867</v>
      </c>
      <c r="F782" s="1" t="str">
        <f t="shared" si="12"/>
        <v>&lt;a href='http://en.wikipedia.org/wiki/2007_Italian_Grand_Prix'&gt;2007_Italian_Grand_Prix&lt;/a&gt;</v>
      </c>
    </row>
    <row r="783" spans="1:6">
      <c r="A783" s="1">
        <v>2007</v>
      </c>
      <c r="B783" s="1">
        <v>14</v>
      </c>
      <c r="C783" s="1" t="s">
        <v>873</v>
      </c>
      <c r="D783" s="81">
        <v>39341</v>
      </c>
      <c r="E783" s="81" t="s">
        <v>1868</v>
      </c>
      <c r="F783" s="1" t="str">
        <f t="shared" si="12"/>
        <v>&lt;a href='http://en.wikipedia.org/wiki/2007_Belgian_Grand_Prix'&gt;2007_Belgian_Grand_Prix&lt;/a&gt;</v>
      </c>
    </row>
    <row r="784" spans="1:6">
      <c r="A784" s="1">
        <v>2007</v>
      </c>
      <c r="B784" s="1">
        <v>15</v>
      </c>
      <c r="C784" s="1" t="s">
        <v>1281</v>
      </c>
      <c r="D784" s="81">
        <v>39355</v>
      </c>
      <c r="E784" s="81" t="s">
        <v>1869</v>
      </c>
      <c r="F784" s="1" t="str">
        <f t="shared" si="12"/>
        <v>&lt;a href='http://en.wikipedia.org/wiki/2007_Japanese_Grand_Prix'&gt;2007_Japanese_Grand_Prix&lt;/a&gt;</v>
      </c>
    </row>
    <row r="785" spans="1:6">
      <c r="A785" s="1">
        <v>2007</v>
      </c>
      <c r="B785" s="1">
        <v>16</v>
      </c>
      <c r="C785" s="1" t="s">
        <v>1806</v>
      </c>
      <c r="D785" s="81">
        <v>39362</v>
      </c>
      <c r="E785" s="81" t="s">
        <v>1870</v>
      </c>
      <c r="F785" s="1" t="str">
        <f t="shared" si="12"/>
        <v>&lt;a href='http://en.wikipedia.org/wiki/2007_Chinese_Grand_Prix'&gt;2007_Chinese_Grand_Prix&lt;/a&gt;</v>
      </c>
    </row>
    <row r="786" spans="1:6">
      <c r="A786" s="1">
        <v>2007</v>
      </c>
      <c r="B786" s="1">
        <v>17</v>
      </c>
      <c r="C786" s="1" t="s">
        <v>1204</v>
      </c>
      <c r="D786" s="81">
        <v>39376</v>
      </c>
      <c r="E786" s="81" t="s">
        <v>1871</v>
      </c>
      <c r="F786" s="1" t="str">
        <f t="shared" si="12"/>
        <v>&lt;a href='http://en.wikipedia.org/wiki/2007_Brazilian_Grand_Prix'&gt;2007_Brazilian_Grand_Prix&lt;/a&gt;</v>
      </c>
    </row>
    <row r="787" spans="1:6">
      <c r="A787" s="1">
        <v>2008</v>
      </c>
      <c r="B787" s="1">
        <v>1</v>
      </c>
      <c r="C787" s="1" t="s">
        <v>1644</v>
      </c>
      <c r="D787" s="81">
        <v>39523</v>
      </c>
      <c r="E787" s="81" t="s">
        <v>1872</v>
      </c>
      <c r="F787" s="1" t="str">
        <f t="shared" si="12"/>
        <v>&lt;a href='http://en.wikipedia.org/wiki/2008_Australian_Grand_Prix'&gt;2008_Australian_Grand_Prix&lt;/a&gt;</v>
      </c>
    </row>
    <row r="788" spans="1:6">
      <c r="A788" s="1">
        <v>2008</v>
      </c>
      <c r="B788" s="1">
        <v>2</v>
      </c>
      <c r="C788" s="1" t="s">
        <v>1712</v>
      </c>
      <c r="D788" s="81">
        <v>39530</v>
      </c>
      <c r="E788" s="81" t="s">
        <v>1873</v>
      </c>
      <c r="F788" s="1" t="str">
        <f t="shared" si="12"/>
        <v>&lt;a href='http://en.wikipedia.org/wiki/2008_Malaysian_Grand_Prix'&gt;2008_Malaysian_Grand_Prix&lt;/a&gt;</v>
      </c>
    </row>
    <row r="789" spans="1:6">
      <c r="A789" s="1">
        <v>2008</v>
      </c>
      <c r="B789" s="1">
        <v>3</v>
      </c>
      <c r="C789" s="1" t="s">
        <v>1788</v>
      </c>
      <c r="D789" s="81">
        <v>39544</v>
      </c>
      <c r="E789" s="81" t="s">
        <v>1874</v>
      </c>
      <c r="F789" s="1" t="str">
        <f t="shared" si="12"/>
        <v>&lt;a href='http://en.wikipedia.org/wiki/2008_Bahrain_Grand_Prix'&gt;2008_Bahrain_Grand_Prix&lt;/a&gt;</v>
      </c>
    </row>
    <row r="790" spans="1:6">
      <c r="A790" s="1">
        <v>2008</v>
      </c>
      <c r="B790" s="1">
        <v>4</v>
      </c>
      <c r="C790" s="1" t="s">
        <v>1566</v>
      </c>
      <c r="D790" s="81">
        <v>39565</v>
      </c>
      <c r="E790" s="81" t="s">
        <v>1875</v>
      </c>
      <c r="F790" s="1" t="str">
        <f t="shared" si="12"/>
        <v>&lt;a href='http://en.wikipedia.org/wiki/2008_Spanish_Grand_Prix'&gt;2008_Spanish_Grand_Prix&lt;/a&gt;</v>
      </c>
    </row>
    <row r="791" spans="1:6">
      <c r="A791" s="1">
        <v>2008</v>
      </c>
      <c r="B791" s="1">
        <v>5</v>
      </c>
      <c r="C791" s="1" t="s">
        <v>1826</v>
      </c>
      <c r="D791" s="81">
        <v>39579</v>
      </c>
      <c r="E791" s="81" t="s">
        <v>1876</v>
      </c>
      <c r="F791" s="1" t="str">
        <f t="shared" si="12"/>
        <v>&lt;a href='http://en.wikipedia.org/wiki/2008_Turkish_Grand_Prix'&gt;2008_Turkish_Grand_Prix&lt;/a&gt;</v>
      </c>
    </row>
    <row r="792" spans="1:6">
      <c r="A792" s="1">
        <v>2008</v>
      </c>
      <c r="B792" s="1">
        <v>6</v>
      </c>
      <c r="C792" s="1" t="s">
        <v>857</v>
      </c>
      <c r="D792" s="81">
        <v>39593</v>
      </c>
      <c r="E792" s="81" t="s">
        <v>1877</v>
      </c>
      <c r="F792" s="1" t="str">
        <f t="shared" si="12"/>
        <v>&lt;a href='http://en.wikipedia.org/wiki/2008_Monaco_Grand_Prix'&gt;2008_Monaco_Grand_Prix&lt;/a&gt;</v>
      </c>
    </row>
    <row r="793" spans="1:6">
      <c r="A793" s="1">
        <v>2008</v>
      </c>
      <c r="B793" s="1">
        <v>7</v>
      </c>
      <c r="C793" s="1" t="s">
        <v>1320</v>
      </c>
      <c r="D793" s="81">
        <v>39607</v>
      </c>
      <c r="E793" s="81" t="s">
        <v>1878</v>
      </c>
      <c r="F793" s="1" t="str">
        <f t="shared" si="12"/>
        <v>&lt;a href='http://en.wikipedia.org/wiki/2008_Canadian_Grand_Prix'&gt;2008_Canadian_Grand_Prix&lt;/a&gt;</v>
      </c>
    </row>
    <row r="794" spans="1:6">
      <c r="A794" s="1">
        <v>2008</v>
      </c>
      <c r="B794" s="1">
        <v>8</v>
      </c>
      <c r="C794" s="1" t="s">
        <v>1556</v>
      </c>
      <c r="D794" s="81">
        <v>39621</v>
      </c>
      <c r="E794" s="81" t="s">
        <v>1879</v>
      </c>
      <c r="F794" s="1" t="str">
        <f t="shared" si="12"/>
        <v>&lt;a href='http://en.wikipedia.org/wiki/2008_French_Grand_Prix'&gt;2008_French_Grand_Prix&lt;/a&gt;</v>
      </c>
    </row>
    <row r="795" spans="1:6">
      <c r="A795" s="1">
        <v>2008</v>
      </c>
      <c r="B795" s="1">
        <v>9</v>
      </c>
      <c r="C795" s="1" t="s">
        <v>851</v>
      </c>
      <c r="D795" s="81">
        <v>39635</v>
      </c>
      <c r="E795" s="81" t="s">
        <v>1880</v>
      </c>
      <c r="F795" s="1" t="str">
        <f t="shared" si="12"/>
        <v>&lt;a href='http://en.wikipedia.org/wiki/2008_British_Grand_Prix'&gt;2008_British_Grand_Prix&lt;/a&gt;</v>
      </c>
    </row>
    <row r="796" spans="1:6">
      <c r="A796" s="1">
        <v>2008</v>
      </c>
      <c r="B796" s="1">
        <v>10</v>
      </c>
      <c r="C796" s="1" t="s">
        <v>1162</v>
      </c>
      <c r="D796" s="81">
        <v>39649</v>
      </c>
      <c r="E796" s="81" t="s">
        <v>1881</v>
      </c>
      <c r="F796" s="1" t="str">
        <f t="shared" si="12"/>
        <v>&lt;a href='http://en.wikipedia.org/wiki/2008_German_Grand_Prix'&gt;2008_German_Grand_Prix&lt;/a&gt;</v>
      </c>
    </row>
    <row r="797" spans="1:6">
      <c r="A797" s="1">
        <v>2008</v>
      </c>
      <c r="B797" s="1">
        <v>11</v>
      </c>
      <c r="C797" s="1" t="s">
        <v>1470</v>
      </c>
      <c r="D797" s="81">
        <v>39663</v>
      </c>
      <c r="E797" s="81" t="s">
        <v>1882</v>
      </c>
      <c r="F797" s="1" t="str">
        <f t="shared" si="12"/>
        <v>&lt;a href='http://en.wikipedia.org/wiki/2008_Hungarian_Grand_Prix'&gt;2008_Hungarian_Grand_Prix&lt;/a&gt;</v>
      </c>
    </row>
    <row r="798" spans="1:6">
      <c r="A798" s="1">
        <v>2008</v>
      </c>
      <c r="B798" s="1">
        <v>12</v>
      </c>
      <c r="C798" s="1" t="s">
        <v>1883</v>
      </c>
      <c r="D798" s="81">
        <v>39684</v>
      </c>
      <c r="E798" s="81" t="s">
        <v>1886</v>
      </c>
      <c r="F798" s="1" t="str">
        <f t="shared" si="12"/>
        <v>&lt;a href='http://en.wikipedia.org/wiki/2008_European_Grand_Prix'&gt;2008_European_Grand_Prix&lt;/a&gt;</v>
      </c>
    </row>
    <row r="799" spans="1:6">
      <c r="A799" s="1">
        <v>2008</v>
      </c>
      <c r="B799" s="1">
        <v>13</v>
      </c>
      <c r="C799" s="1" t="s">
        <v>873</v>
      </c>
      <c r="D799" s="81">
        <v>39698</v>
      </c>
      <c r="E799" s="81" t="s">
        <v>1887</v>
      </c>
      <c r="F799" s="1" t="str">
        <f t="shared" si="12"/>
        <v>&lt;a href='http://en.wikipedia.org/wiki/2008_Belgian_Grand_Prix'&gt;2008_Belgian_Grand_Prix&lt;/a&gt;</v>
      </c>
    </row>
    <row r="800" spans="1:6">
      <c r="A800" s="1">
        <v>2008</v>
      </c>
      <c r="B800" s="1">
        <v>14</v>
      </c>
      <c r="C800" s="1" t="s">
        <v>883</v>
      </c>
      <c r="D800" s="81">
        <v>39705</v>
      </c>
      <c r="E800" s="81" t="s">
        <v>1888</v>
      </c>
      <c r="F800" s="1" t="str">
        <f t="shared" si="12"/>
        <v>&lt;a href='http://en.wikipedia.org/wiki/2008_Italian_Grand_Prix'&gt;2008_Italian_Grand_Prix&lt;/a&gt;</v>
      </c>
    </row>
    <row r="801" spans="1:6">
      <c r="A801" s="1">
        <v>2008</v>
      </c>
      <c r="B801" s="1">
        <v>15</v>
      </c>
      <c r="C801" s="1" t="s">
        <v>1890</v>
      </c>
      <c r="D801" s="81">
        <v>39719</v>
      </c>
      <c r="E801" s="81" t="s">
        <v>1894</v>
      </c>
      <c r="F801" s="1" t="str">
        <f t="shared" si="12"/>
        <v>&lt;a href='http://en.wikipedia.org/wiki/2008_Singapore_Grand_Prix'&gt;2008_Singapore_Grand_Prix&lt;/a&gt;</v>
      </c>
    </row>
    <row r="802" spans="1:6">
      <c r="A802" s="1">
        <v>2008</v>
      </c>
      <c r="B802" s="1">
        <v>16</v>
      </c>
      <c r="C802" s="1" t="s">
        <v>1281</v>
      </c>
      <c r="D802" s="81">
        <v>39733</v>
      </c>
      <c r="E802" s="81" t="s">
        <v>1895</v>
      </c>
      <c r="F802" s="1" t="str">
        <f t="shared" si="12"/>
        <v>&lt;a href='http://en.wikipedia.org/wiki/2008_Japanese_Grand_Prix'&gt;2008_Japanese_Grand_Prix&lt;/a&gt;</v>
      </c>
    </row>
    <row r="803" spans="1:6">
      <c r="A803" s="1">
        <v>2008</v>
      </c>
      <c r="B803" s="1">
        <v>17</v>
      </c>
      <c r="C803" s="1" t="s">
        <v>1806</v>
      </c>
      <c r="D803" s="81">
        <v>39740</v>
      </c>
      <c r="E803" s="81" t="s">
        <v>1896</v>
      </c>
      <c r="F803" s="1" t="str">
        <f t="shared" si="12"/>
        <v>&lt;a href='http://en.wikipedia.org/wiki/2008_Chinese_Grand_Prix'&gt;2008_Chinese_Grand_Prix&lt;/a&gt;</v>
      </c>
    </row>
    <row r="804" spans="1:6">
      <c r="A804" s="1">
        <v>2008</v>
      </c>
      <c r="B804" s="1">
        <v>18</v>
      </c>
      <c r="C804" s="1" t="s">
        <v>1204</v>
      </c>
      <c r="D804" s="81">
        <v>39754</v>
      </c>
      <c r="E804" s="81" t="s">
        <v>1897</v>
      </c>
      <c r="F804" s="1" t="str">
        <f t="shared" si="12"/>
        <v>&lt;a href='http://en.wikipedia.org/wiki/2008_Brazilian_Grand_Prix'&gt;2008_Brazilian_Grand_Prix&lt;/a&gt;</v>
      </c>
    </row>
    <row r="805" spans="1:6">
      <c r="A805" s="1">
        <v>2009</v>
      </c>
      <c r="B805" s="1">
        <v>1</v>
      </c>
      <c r="C805" s="1" t="s">
        <v>1644</v>
      </c>
      <c r="D805" s="81">
        <v>39901</v>
      </c>
      <c r="E805" s="81" t="s">
        <v>1898</v>
      </c>
      <c r="F805" s="1" t="str">
        <f t="shared" si="12"/>
        <v>&lt;a href='http://en.wikipedia.org/wiki/2009_Australian_Grand_Prix'&gt;2009_Australian_Grand_Prix&lt;/a&gt;</v>
      </c>
    </row>
    <row r="806" spans="1:6">
      <c r="A806" s="1">
        <v>2009</v>
      </c>
      <c r="B806" s="1">
        <v>2</v>
      </c>
      <c r="C806" s="1" t="s">
        <v>1712</v>
      </c>
      <c r="D806" s="81">
        <v>39908</v>
      </c>
      <c r="E806" s="81" t="s">
        <v>1899</v>
      </c>
      <c r="F806" s="1" t="str">
        <f t="shared" si="12"/>
        <v>&lt;a href='http://en.wikipedia.org/wiki/2009_Malaysian_Grand_Prix'&gt;2009_Malaysian_Grand_Prix&lt;/a&gt;</v>
      </c>
    </row>
    <row r="807" spans="1:6">
      <c r="A807" s="1">
        <v>2009</v>
      </c>
      <c r="B807" s="1">
        <v>3</v>
      </c>
      <c r="C807" s="1" t="s">
        <v>1806</v>
      </c>
      <c r="D807" s="81">
        <v>39922</v>
      </c>
      <c r="E807" s="81" t="s">
        <v>1900</v>
      </c>
      <c r="F807" s="1" t="str">
        <f t="shared" si="12"/>
        <v>&lt;a href='http://en.wikipedia.org/wiki/2009_Chinese_Grand_Prix'&gt;2009_Chinese_Grand_Prix&lt;/a&gt;</v>
      </c>
    </row>
    <row r="808" spans="1:6">
      <c r="A808" s="1">
        <v>2009</v>
      </c>
      <c r="B808" s="1">
        <v>4</v>
      </c>
      <c r="C808" s="1" t="s">
        <v>1788</v>
      </c>
      <c r="D808" s="81">
        <v>39929</v>
      </c>
      <c r="E808" s="81" t="s">
        <v>1901</v>
      </c>
      <c r="F808" s="1" t="str">
        <f t="shared" si="12"/>
        <v>&lt;a href='http://en.wikipedia.org/wiki/2009_Bahrain_Grand_Prix'&gt;2009_Bahrain_Grand_Prix&lt;/a&gt;</v>
      </c>
    </row>
    <row r="809" spans="1:6">
      <c r="A809" s="1">
        <v>2009</v>
      </c>
      <c r="B809" s="1">
        <v>5</v>
      </c>
      <c r="C809" s="1" t="s">
        <v>1566</v>
      </c>
      <c r="D809" s="81">
        <v>39943</v>
      </c>
      <c r="E809" s="81" t="s">
        <v>1902</v>
      </c>
      <c r="F809" s="1" t="str">
        <f t="shared" si="12"/>
        <v>&lt;a href='http://en.wikipedia.org/wiki/2009_Spanish_Grand_Prix'&gt;2009_Spanish_Grand_Prix&lt;/a&gt;</v>
      </c>
    </row>
    <row r="810" spans="1:6">
      <c r="A810" s="1">
        <v>2009</v>
      </c>
      <c r="B810" s="1">
        <v>6</v>
      </c>
      <c r="C810" s="1" t="s">
        <v>857</v>
      </c>
      <c r="D810" s="81">
        <v>39957</v>
      </c>
      <c r="E810" s="81" t="s">
        <v>1903</v>
      </c>
      <c r="F810" s="1" t="str">
        <f t="shared" si="12"/>
        <v>&lt;a href='http://en.wikipedia.org/wiki/2009_Monaco_Grand_Prix'&gt;2009_Monaco_Grand_Prix&lt;/a&gt;</v>
      </c>
    </row>
    <row r="811" spans="1:6">
      <c r="A811" s="1">
        <v>2009</v>
      </c>
      <c r="B811" s="1">
        <v>7</v>
      </c>
      <c r="C811" s="1" t="s">
        <v>1826</v>
      </c>
      <c r="D811" s="81">
        <v>39971</v>
      </c>
      <c r="E811" s="81" t="s">
        <v>1904</v>
      </c>
      <c r="F811" s="1" t="str">
        <f t="shared" si="12"/>
        <v>&lt;a href='http://en.wikipedia.org/wiki/2009_Turkish_Grand_Prix'&gt;2009_Turkish_Grand_Prix&lt;/a&gt;</v>
      </c>
    </row>
    <row r="812" spans="1:6">
      <c r="A812" s="1">
        <v>2009</v>
      </c>
      <c r="B812" s="1">
        <v>8</v>
      </c>
      <c r="C812" s="1" t="s">
        <v>851</v>
      </c>
      <c r="D812" s="81">
        <v>39985</v>
      </c>
      <c r="E812" s="81" t="s">
        <v>1905</v>
      </c>
      <c r="F812" s="1" t="str">
        <f t="shared" si="12"/>
        <v>&lt;a href='http://en.wikipedia.org/wiki/2009_British_Grand_Prix'&gt;2009_British_Grand_Prix&lt;/a&gt;</v>
      </c>
    </row>
    <row r="813" spans="1:6">
      <c r="A813" s="1">
        <v>2009</v>
      </c>
      <c r="B813" s="1">
        <v>9</v>
      </c>
      <c r="C813" s="1" t="s">
        <v>894</v>
      </c>
      <c r="D813" s="81">
        <v>40006</v>
      </c>
      <c r="E813" s="81" t="s">
        <v>1906</v>
      </c>
      <c r="F813" s="1" t="str">
        <f t="shared" si="12"/>
        <v>&lt;a href='http://en.wikipedia.org/wiki/2009_German_Grand_Prix'&gt;2009_German_Grand_Prix&lt;/a&gt;</v>
      </c>
    </row>
    <row r="814" spans="1:6">
      <c r="A814" s="1">
        <v>2009</v>
      </c>
      <c r="B814" s="1">
        <v>10</v>
      </c>
      <c r="C814" s="1" t="s">
        <v>1470</v>
      </c>
      <c r="D814" s="81">
        <v>40020</v>
      </c>
      <c r="E814" s="81" t="s">
        <v>1907</v>
      </c>
      <c r="F814" s="1" t="str">
        <f t="shared" si="12"/>
        <v>&lt;a href='http://en.wikipedia.org/wiki/2009_Hungarian_Grand_Prix'&gt;2009_Hungarian_Grand_Prix&lt;/a&gt;</v>
      </c>
    </row>
    <row r="815" spans="1:6">
      <c r="A815" s="1">
        <v>2009</v>
      </c>
      <c r="B815" s="1">
        <v>11</v>
      </c>
      <c r="C815" s="1" t="s">
        <v>1883</v>
      </c>
      <c r="D815" s="81">
        <v>40048</v>
      </c>
      <c r="E815" s="81" t="s">
        <v>1908</v>
      </c>
      <c r="F815" s="1" t="str">
        <f t="shared" si="12"/>
        <v>&lt;a href='http://en.wikipedia.org/wiki/2009_European_Grand_Prix'&gt;2009_European_Grand_Prix&lt;/a&gt;</v>
      </c>
    </row>
    <row r="816" spans="1:6">
      <c r="A816" s="1">
        <v>2009</v>
      </c>
      <c r="B816" s="1">
        <v>12</v>
      </c>
      <c r="C816" s="1" t="s">
        <v>873</v>
      </c>
      <c r="D816" s="81">
        <v>40055</v>
      </c>
      <c r="E816" s="81" t="s">
        <v>1909</v>
      </c>
      <c r="F816" s="1" t="str">
        <f t="shared" si="12"/>
        <v>&lt;a href='http://en.wikipedia.org/wiki/2009_Belgian_Grand_Prix'&gt;2009_Belgian_Grand_Prix&lt;/a&gt;</v>
      </c>
    </row>
    <row r="817" spans="1:6">
      <c r="A817" s="1">
        <v>2009</v>
      </c>
      <c r="B817" s="1">
        <v>13</v>
      </c>
      <c r="C817" s="1" t="s">
        <v>883</v>
      </c>
      <c r="D817" s="81">
        <v>40069</v>
      </c>
      <c r="E817" s="81" t="s">
        <v>1910</v>
      </c>
      <c r="F817" s="1" t="str">
        <f t="shared" si="12"/>
        <v>&lt;a href='http://en.wikipedia.org/wiki/2009_Italian_Grand_Prix'&gt;2009_Italian_Grand_Prix&lt;/a&gt;</v>
      </c>
    </row>
    <row r="818" spans="1:6">
      <c r="A818" s="1">
        <v>2009</v>
      </c>
      <c r="B818" s="1">
        <v>14</v>
      </c>
      <c r="C818" s="1" t="s">
        <v>1890</v>
      </c>
      <c r="D818" s="81">
        <v>40083</v>
      </c>
      <c r="E818" s="81" t="s">
        <v>1911</v>
      </c>
      <c r="F818" s="1" t="str">
        <f t="shared" si="12"/>
        <v>&lt;a href='http://en.wikipedia.org/wiki/2009_Singapore_Grand_Prix'&gt;2009_Singapore_Grand_Prix&lt;/a&gt;</v>
      </c>
    </row>
    <row r="819" spans="1:6">
      <c r="A819" s="1">
        <v>2009</v>
      </c>
      <c r="B819" s="1">
        <v>15</v>
      </c>
      <c r="C819" s="1" t="s">
        <v>1494</v>
      </c>
      <c r="D819" s="81">
        <v>40090</v>
      </c>
      <c r="E819" s="81" t="s">
        <v>1912</v>
      </c>
      <c r="F819" s="1" t="str">
        <f t="shared" si="12"/>
        <v>&lt;a href='http://en.wikipedia.org/wiki/2009_Japanese_Grand_Prix'&gt;2009_Japanese_Grand_Prix&lt;/a&gt;</v>
      </c>
    </row>
    <row r="820" spans="1:6">
      <c r="A820" s="1">
        <v>2009</v>
      </c>
      <c r="B820" s="1">
        <v>16</v>
      </c>
      <c r="C820" s="1" t="s">
        <v>1204</v>
      </c>
      <c r="D820" s="81">
        <v>40104</v>
      </c>
      <c r="E820" s="81" t="s">
        <v>1913</v>
      </c>
      <c r="F820" s="1" t="str">
        <f t="shared" si="12"/>
        <v>&lt;a href='http://en.wikipedia.org/wiki/2009_Brazilian_Grand_Prix'&gt;2009_Brazilian_Grand_Prix&lt;/a&gt;</v>
      </c>
    </row>
    <row r="821" spans="1:6">
      <c r="A821" s="1">
        <v>2009</v>
      </c>
      <c r="B821" s="1">
        <v>17</v>
      </c>
      <c r="C821" s="1" t="s">
        <v>1915</v>
      </c>
      <c r="D821" s="81">
        <v>40118</v>
      </c>
      <c r="E821" s="81" t="s">
        <v>1919</v>
      </c>
      <c r="F821" s="1" t="str">
        <f t="shared" si="12"/>
        <v>&lt;a href='http://en.wikipedia.org/wiki/2009_Abu_Dhabi_Grand_Prix'&gt;2009_Abu_Dhabi_Grand_Prix&lt;/a&gt;</v>
      </c>
    </row>
    <row r="822" spans="1:6">
      <c r="A822" s="1">
        <v>2010</v>
      </c>
      <c r="B822" s="1">
        <v>1</v>
      </c>
      <c r="C822" s="1" t="s">
        <v>1788</v>
      </c>
      <c r="D822" s="81">
        <v>40251</v>
      </c>
      <c r="E822" s="81" t="s">
        <v>1921</v>
      </c>
      <c r="F822" s="1" t="str">
        <f t="shared" si="12"/>
        <v>&lt;a href='http://en.wikipedia.org/wiki/2010_Bahrain_Grand_Prix'&gt;2010_Bahrain_Grand_Prix&lt;/a&gt;</v>
      </c>
    </row>
    <row r="823" spans="1:6">
      <c r="A823" s="1">
        <v>2010</v>
      </c>
      <c r="B823" s="1">
        <v>2</v>
      </c>
      <c r="C823" s="1" t="s">
        <v>1644</v>
      </c>
      <c r="D823" s="81">
        <v>40265</v>
      </c>
      <c r="E823" s="81" t="s">
        <v>1923</v>
      </c>
      <c r="F823" s="1" t="str">
        <f t="shared" si="12"/>
        <v>&lt;a href='http://en.wikipedia.org/wiki/2010_Australian_Grand_Prix'&gt;2010_Australian_Grand_Prix&lt;/a&gt;</v>
      </c>
    </row>
    <row r="824" spans="1:6">
      <c r="A824" s="1">
        <v>2010</v>
      </c>
      <c r="B824" s="1">
        <v>3</v>
      </c>
      <c r="C824" s="1" t="s">
        <v>1712</v>
      </c>
      <c r="D824" s="81">
        <v>40272</v>
      </c>
      <c r="E824" s="81" t="s">
        <v>1925</v>
      </c>
      <c r="F824" s="1" t="str">
        <f t="shared" si="12"/>
        <v>&lt;a href='http://en.wikipedia.org/wiki/2010_Malaysian_Grand_Prix'&gt;2010_Malaysian_Grand_Prix&lt;/a&gt;</v>
      </c>
    </row>
    <row r="825" spans="1:6">
      <c r="A825" s="1">
        <v>2010</v>
      </c>
      <c r="B825" s="1">
        <v>4</v>
      </c>
      <c r="C825" s="1" t="s">
        <v>1806</v>
      </c>
      <c r="D825" s="81">
        <v>40286</v>
      </c>
      <c r="E825" s="81" t="s">
        <v>1927</v>
      </c>
      <c r="F825" s="1" t="str">
        <f t="shared" si="12"/>
        <v>&lt;a href='http://en.wikipedia.org/wiki/2010_Chinese_Grand_Prix'&gt;2010_Chinese_Grand_Prix&lt;/a&gt;</v>
      </c>
    </row>
    <row r="826" spans="1:6">
      <c r="A826" s="1">
        <v>2010</v>
      </c>
      <c r="B826" s="1">
        <v>5</v>
      </c>
      <c r="C826" s="1" t="s">
        <v>1566</v>
      </c>
      <c r="D826" s="81">
        <v>40307</v>
      </c>
      <c r="E826" s="81" t="s">
        <v>1929</v>
      </c>
      <c r="F826" s="1" t="str">
        <f t="shared" si="12"/>
        <v>&lt;a href='http://en.wikipedia.org/wiki/2010_Spanish_Grand_Prix'&gt;2010_Spanish_Grand_Prix&lt;/a&gt;</v>
      </c>
    </row>
    <row r="827" spans="1:6">
      <c r="A827" s="1">
        <v>2010</v>
      </c>
      <c r="B827" s="1">
        <v>6</v>
      </c>
      <c r="C827" s="1" t="s">
        <v>857</v>
      </c>
      <c r="D827" s="81">
        <v>40314</v>
      </c>
      <c r="E827" s="81" t="s">
        <v>1931</v>
      </c>
      <c r="F827" s="1" t="str">
        <f t="shared" si="12"/>
        <v>&lt;a href='http://en.wikipedia.org/wiki/2010_Monaco_Grand_Prix'&gt;2010_Monaco_Grand_Prix&lt;/a&gt;</v>
      </c>
    </row>
    <row r="828" spans="1:6">
      <c r="A828" s="1">
        <v>2010</v>
      </c>
      <c r="B828" s="1">
        <v>7</v>
      </c>
      <c r="C828" s="1" t="s">
        <v>1826</v>
      </c>
      <c r="D828" s="81">
        <v>40328</v>
      </c>
      <c r="E828" s="81" t="s">
        <v>1933</v>
      </c>
      <c r="F828" s="1" t="str">
        <f t="shared" si="12"/>
        <v>&lt;a href='http://en.wikipedia.org/wiki/2010_Turkish_Grand_Prix'&gt;2010_Turkish_Grand_Prix&lt;/a&gt;</v>
      </c>
    </row>
    <row r="829" spans="1:6">
      <c r="A829" s="1">
        <v>2010</v>
      </c>
      <c r="B829" s="1">
        <v>8</v>
      </c>
      <c r="C829" s="1" t="s">
        <v>1320</v>
      </c>
      <c r="D829" s="81">
        <v>40342</v>
      </c>
      <c r="E829" s="81" t="s">
        <v>1935</v>
      </c>
      <c r="F829" s="1" t="str">
        <f t="shared" si="12"/>
        <v>&lt;a href='http://en.wikipedia.org/wiki/2010_Canadian_Grand_Prix'&gt;2010_Canadian_Grand_Prix&lt;/a&gt;</v>
      </c>
    </row>
    <row r="830" spans="1:6">
      <c r="A830" s="1">
        <v>2010</v>
      </c>
      <c r="B830" s="1">
        <v>9</v>
      </c>
      <c r="C830" s="1" t="s">
        <v>1883</v>
      </c>
      <c r="D830" s="81">
        <v>40356</v>
      </c>
      <c r="E830" s="81" t="s">
        <v>1937</v>
      </c>
      <c r="F830" s="1" t="str">
        <f t="shared" si="12"/>
        <v>&lt;a href='http://en.wikipedia.org/wiki/2010_European_Grand_Prix'&gt;2010_European_Grand_Prix&lt;/a&gt;</v>
      </c>
    </row>
    <row r="831" spans="1:6">
      <c r="A831" s="1">
        <v>2010</v>
      </c>
      <c r="B831" s="1">
        <v>10</v>
      </c>
      <c r="C831" s="1" t="s">
        <v>851</v>
      </c>
      <c r="D831" s="81">
        <v>40370</v>
      </c>
      <c r="E831" s="81" t="s">
        <v>1939</v>
      </c>
      <c r="F831" s="1" t="str">
        <f t="shared" si="12"/>
        <v>&lt;a href='http://en.wikipedia.org/wiki/2010_British_Grand_Prix'&gt;2010_British_Grand_Prix&lt;/a&gt;</v>
      </c>
    </row>
    <row r="832" spans="1:6">
      <c r="A832" s="1">
        <v>2010</v>
      </c>
      <c r="B832" s="1">
        <v>11</v>
      </c>
      <c r="C832" s="1" t="s">
        <v>1162</v>
      </c>
      <c r="D832" s="81">
        <v>40384</v>
      </c>
      <c r="E832" s="81" t="s">
        <v>1941</v>
      </c>
      <c r="F832" s="1" t="str">
        <f t="shared" si="12"/>
        <v>&lt;a href='http://en.wikipedia.org/wiki/2010_German_Grand_Prix'&gt;2010_German_Grand_Prix&lt;/a&gt;</v>
      </c>
    </row>
    <row r="833" spans="1:6">
      <c r="A833" s="1">
        <v>2010</v>
      </c>
      <c r="B833" s="1">
        <v>12</v>
      </c>
      <c r="C833" s="1" t="s">
        <v>1470</v>
      </c>
      <c r="D833" s="81">
        <v>40391</v>
      </c>
      <c r="E833" s="81" t="s">
        <v>1943</v>
      </c>
      <c r="F833" s="1" t="str">
        <f t="shared" si="12"/>
        <v>&lt;a href='http://en.wikipedia.org/wiki/2010_Hungarian_Grand_Prix'&gt;2010_Hungarian_Grand_Prix&lt;/a&gt;</v>
      </c>
    </row>
    <row r="834" spans="1:6">
      <c r="A834" s="1">
        <v>2010</v>
      </c>
      <c r="B834" s="1">
        <v>13</v>
      </c>
      <c r="C834" s="1" t="s">
        <v>873</v>
      </c>
      <c r="D834" s="81">
        <v>40419</v>
      </c>
      <c r="E834" s="81" t="s">
        <v>1945</v>
      </c>
      <c r="F834" s="1" t="str">
        <f t="shared" si="12"/>
        <v>&lt;a href='http://en.wikipedia.org/wiki/2010_Belgian_Grand_Prix'&gt;2010_Belgian_Grand_Prix&lt;/a&gt;</v>
      </c>
    </row>
    <row r="835" spans="1:6">
      <c r="A835" s="1">
        <v>2010</v>
      </c>
      <c r="B835" s="1">
        <v>14</v>
      </c>
      <c r="C835" s="1" t="s">
        <v>883</v>
      </c>
      <c r="D835" s="81">
        <v>40433</v>
      </c>
      <c r="E835" s="81" t="s">
        <v>1947</v>
      </c>
      <c r="F835" s="1" t="str">
        <f t="shared" ref="F835:F879" si="13">"&lt;a href='"&amp;E835&amp;"'&gt;"&amp;MID(E835,30,LEN(E835)-29)&amp;"&lt;/a&gt;"</f>
        <v>&lt;a href='http://en.wikipedia.org/wiki/2010_Italian_Grand_Prix'&gt;2010_Italian_Grand_Prix&lt;/a&gt;</v>
      </c>
    </row>
    <row r="836" spans="1:6">
      <c r="A836" s="1">
        <v>2010</v>
      </c>
      <c r="B836" s="1">
        <v>15</v>
      </c>
      <c r="C836" s="1" t="s">
        <v>1890</v>
      </c>
      <c r="D836" s="81">
        <v>40447</v>
      </c>
      <c r="E836" s="81" t="s">
        <v>1949</v>
      </c>
      <c r="F836" s="1" t="str">
        <f t="shared" si="13"/>
        <v>&lt;a href='http://en.wikipedia.org/wiki/2010_Singapore_Grand_Prix'&gt;2010_Singapore_Grand_Prix&lt;/a&gt;</v>
      </c>
    </row>
    <row r="837" spans="1:6">
      <c r="A837" s="1">
        <v>2010</v>
      </c>
      <c r="B837" s="1">
        <v>16</v>
      </c>
      <c r="C837" s="1" t="s">
        <v>1494</v>
      </c>
      <c r="D837" s="81">
        <v>40461</v>
      </c>
      <c r="E837" s="81" t="s">
        <v>1951</v>
      </c>
      <c r="F837" s="1" t="str">
        <f t="shared" si="13"/>
        <v>&lt;a href='http://en.wikipedia.org/wiki/2010_Japanese_Grand_Prix'&gt;2010_Japanese_Grand_Prix&lt;/a&gt;</v>
      </c>
    </row>
    <row r="838" spans="1:6">
      <c r="A838" s="1">
        <v>2010</v>
      </c>
      <c r="B838" s="1">
        <v>17</v>
      </c>
      <c r="C838" s="1" t="s">
        <v>1953</v>
      </c>
      <c r="D838" s="81">
        <v>40475</v>
      </c>
      <c r="E838" s="81" t="s">
        <v>1957</v>
      </c>
      <c r="F838" s="1" t="str">
        <f t="shared" si="13"/>
        <v>&lt;a href='http://en.wikipedia.org/wiki/2010_Korean_Grand_Prix'&gt;2010_Korean_Grand_Prix&lt;/a&gt;</v>
      </c>
    </row>
    <row r="839" spans="1:6">
      <c r="A839" s="1">
        <v>2010</v>
      </c>
      <c r="B839" s="1">
        <v>18</v>
      </c>
      <c r="C839" s="1" t="s">
        <v>1204</v>
      </c>
      <c r="D839" s="81">
        <v>40489</v>
      </c>
      <c r="E839" s="81" t="s">
        <v>1958</v>
      </c>
      <c r="F839" s="1" t="str">
        <f t="shared" si="13"/>
        <v>&lt;a href='http://en.wikipedia.org/wiki/2010_Brazilian_Grand_Prix'&gt;2010_Brazilian_Grand_Prix&lt;/a&gt;</v>
      </c>
    </row>
    <row r="840" spans="1:6">
      <c r="A840" s="1">
        <v>2010</v>
      </c>
      <c r="B840" s="1">
        <v>19</v>
      </c>
      <c r="C840" s="1" t="s">
        <v>1915</v>
      </c>
      <c r="D840" s="81">
        <v>40496</v>
      </c>
      <c r="E840" s="81" t="s">
        <v>1959</v>
      </c>
      <c r="F840" s="1" t="str">
        <f t="shared" si="13"/>
        <v>&lt;a href='http://en.wikipedia.org/wiki/2010_Abu_Dhabi_Grand_Prix'&gt;2010_Abu_Dhabi_Grand_Prix&lt;/a&gt;</v>
      </c>
    </row>
    <row r="841" spans="1:6">
      <c r="A841" s="1">
        <v>2011</v>
      </c>
      <c r="B841" s="1">
        <v>1</v>
      </c>
      <c r="C841" s="1" t="s">
        <v>1644</v>
      </c>
      <c r="D841" s="81">
        <v>40629</v>
      </c>
      <c r="E841" s="81" t="s">
        <v>1960</v>
      </c>
      <c r="F841" s="1" t="str">
        <f t="shared" si="13"/>
        <v>&lt;a href='http://en.wikipedia.org/wiki/2011_Australian_Grand_Prix'&gt;2011_Australian_Grand_Prix&lt;/a&gt;</v>
      </c>
    </row>
    <row r="842" spans="1:6">
      <c r="A842" s="1">
        <v>2011</v>
      </c>
      <c r="B842" s="1">
        <v>2</v>
      </c>
      <c r="C842" s="1" t="s">
        <v>1712</v>
      </c>
      <c r="D842" s="81">
        <v>40643</v>
      </c>
      <c r="E842" s="81" t="s">
        <v>1961</v>
      </c>
      <c r="F842" s="1" t="str">
        <f t="shared" si="13"/>
        <v>&lt;a href='http://en.wikipedia.org/wiki/2011_Malaysian_Grand_Prix'&gt;2011_Malaysian_Grand_Prix&lt;/a&gt;</v>
      </c>
    </row>
    <row r="843" spans="1:6">
      <c r="A843" s="1">
        <v>2011</v>
      </c>
      <c r="B843" s="1">
        <v>3</v>
      </c>
      <c r="C843" s="1" t="s">
        <v>1806</v>
      </c>
      <c r="D843" s="81">
        <v>40650</v>
      </c>
      <c r="E843" s="81" t="s">
        <v>1962</v>
      </c>
      <c r="F843" s="1" t="str">
        <f t="shared" si="13"/>
        <v>&lt;a href='http://en.wikipedia.org/wiki/2011_Chinese_Grand_Prix'&gt;2011_Chinese_Grand_Prix&lt;/a&gt;</v>
      </c>
    </row>
    <row r="844" spans="1:6">
      <c r="A844" s="1">
        <v>2011</v>
      </c>
      <c r="B844" s="1">
        <v>4</v>
      </c>
      <c r="C844" s="1" t="s">
        <v>1826</v>
      </c>
      <c r="D844" s="81">
        <v>40671</v>
      </c>
      <c r="E844" s="81" t="s">
        <v>1963</v>
      </c>
      <c r="F844" s="1" t="str">
        <f t="shared" si="13"/>
        <v>&lt;a href='http://en.wikipedia.org/wiki/2011_Turkish_Grand_Prix'&gt;2011_Turkish_Grand_Prix&lt;/a&gt;</v>
      </c>
    </row>
    <row r="845" spans="1:6">
      <c r="A845" s="1">
        <v>2011</v>
      </c>
      <c r="B845" s="1">
        <v>5</v>
      </c>
      <c r="C845" s="1" t="s">
        <v>1566</v>
      </c>
      <c r="D845" s="81">
        <v>40685</v>
      </c>
      <c r="E845" s="81" t="s">
        <v>1964</v>
      </c>
      <c r="F845" s="1" t="str">
        <f t="shared" si="13"/>
        <v>&lt;a href='http://en.wikipedia.org/wiki/2011_Spanish_Grand_Prix'&gt;2011_Spanish_Grand_Prix&lt;/a&gt;</v>
      </c>
    </row>
    <row r="846" spans="1:6">
      <c r="A846" s="1">
        <v>2011</v>
      </c>
      <c r="B846" s="1">
        <v>6</v>
      </c>
      <c r="C846" s="1" t="s">
        <v>857</v>
      </c>
      <c r="D846" s="81">
        <v>40692</v>
      </c>
      <c r="E846" s="81" t="s">
        <v>1965</v>
      </c>
      <c r="F846" s="1" t="str">
        <f t="shared" si="13"/>
        <v>&lt;a href='http://en.wikipedia.org/wiki/2011_Monaco_Grand_Prix'&gt;2011_Monaco_Grand_Prix&lt;/a&gt;</v>
      </c>
    </row>
    <row r="847" spans="1:6">
      <c r="A847" s="1">
        <v>2011</v>
      </c>
      <c r="B847" s="1">
        <v>7</v>
      </c>
      <c r="C847" s="1" t="s">
        <v>1320</v>
      </c>
      <c r="D847" s="81">
        <v>40706</v>
      </c>
      <c r="E847" s="81" t="s">
        <v>1966</v>
      </c>
      <c r="F847" s="1" t="str">
        <f t="shared" si="13"/>
        <v>&lt;a href='http://en.wikipedia.org/wiki/2011_Canadian_Grand_Prix'&gt;2011_Canadian_Grand_Prix&lt;/a&gt;</v>
      </c>
    </row>
    <row r="848" spans="1:6">
      <c r="A848" s="1">
        <v>2011</v>
      </c>
      <c r="B848" s="1">
        <v>8</v>
      </c>
      <c r="C848" s="1" t="s">
        <v>1883</v>
      </c>
      <c r="D848" s="81">
        <v>40720</v>
      </c>
      <c r="E848" s="81" t="s">
        <v>1967</v>
      </c>
      <c r="F848" s="1" t="str">
        <f t="shared" si="13"/>
        <v>&lt;a href='http://en.wikipedia.org/wiki/2011_European_Grand_Prix'&gt;2011_European_Grand_Prix&lt;/a&gt;</v>
      </c>
    </row>
    <row r="849" spans="1:6">
      <c r="A849" s="1">
        <v>2011</v>
      </c>
      <c r="B849" s="1">
        <v>9</v>
      </c>
      <c r="C849" s="1" t="s">
        <v>851</v>
      </c>
      <c r="D849" s="81">
        <v>40734</v>
      </c>
      <c r="E849" s="81" t="s">
        <v>1968</v>
      </c>
      <c r="F849" s="1" t="str">
        <f t="shared" si="13"/>
        <v>&lt;a href='http://en.wikipedia.org/wiki/2011_British_Grand_Prix'&gt;2011_British_Grand_Prix&lt;/a&gt;</v>
      </c>
    </row>
    <row r="850" spans="1:6">
      <c r="A850" s="1">
        <v>2011</v>
      </c>
      <c r="B850" s="1">
        <v>10</v>
      </c>
      <c r="C850" s="1" t="s">
        <v>894</v>
      </c>
      <c r="D850" s="81">
        <v>40748</v>
      </c>
      <c r="E850" s="81" t="s">
        <v>1969</v>
      </c>
      <c r="F850" s="1" t="str">
        <f t="shared" si="13"/>
        <v>&lt;a href='http://en.wikipedia.org/wiki/2011_German_Grand_Prix'&gt;2011_German_Grand_Prix&lt;/a&gt;</v>
      </c>
    </row>
    <row r="851" spans="1:6">
      <c r="A851" s="1">
        <v>2011</v>
      </c>
      <c r="B851" s="1">
        <v>11</v>
      </c>
      <c r="C851" s="1" t="s">
        <v>1470</v>
      </c>
      <c r="D851" s="81">
        <v>40755</v>
      </c>
      <c r="E851" s="81" t="s">
        <v>1970</v>
      </c>
      <c r="F851" s="1" t="str">
        <f t="shared" si="13"/>
        <v>&lt;a href='http://en.wikipedia.org/wiki/2011_Hungarian_Grand_Prix'&gt;2011_Hungarian_Grand_Prix&lt;/a&gt;</v>
      </c>
    </row>
    <row r="852" spans="1:6">
      <c r="A852" s="1">
        <v>2011</v>
      </c>
      <c r="B852" s="1">
        <v>12</v>
      </c>
      <c r="C852" s="1" t="s">
        <v>873</v>
      </c>
      <c r="D852" s="81">
        <v>40783</v>
      </c>
      <c r="E852" s="81" t="s">
        <v>1971</v>
      </c>
      <c r="F852" s="1" t="str">
        <f t="shared" si="13"/>
        <v>&lt;a href='http://en.wikipedia.org/wiki/2011_Belgian_Grand_Prix'&gt;2011_Belgian_Grand_Prix&lt;/a&gt;</v>
      </c>
    </row>
    <row r="853" spans="1:6">
      <c r="A853" s="1">
        <v>2011</v>
      </c>
      <c r="B853" s="1">
        <v>13</v>
      </c>
      <c r="C853" s="1" t="s">
        <v>883</v>
      </c>
      <c r="D853" s="81">
        <v>40797</v>
      </c>
      <c r="E853" s="81" t="s">
        <v>1972</v>
      </c>
      <c r="F853" s="1" t="str">
        <f t="shared" si="13"/>
        <v>&lt;a href='http://en.wikipedia.org/wiki/2011_Italian_Grand_Prix'&gt;2011_Italian_Grand_Prix&lt;/a&gt;</v>
      </c>
    </row>
    <row r="854" spans="1:6">
      <c r="A854" s="1">
        <v>2011</v>
      </c>
      <c r="B854" s="1">
        <v>14</v>
      </c>
      <c r="C854" s="1" t="s">
        <v>1890</v>
      </c>
      <c r="D854" s="81">
        <v>40811</v>
      </c>
      <c r="E854" s="81" t="s">
        <v>1973</v>
      </c>
      <c r="F854" s="1" t="str">
        <f t="shared" si="13"/>
        <v>&lt;a href='http://en.wikipedia.org/wiki/2011_Singapore_Grand_Prix'&gt;2011_Singapore_Grand_Prix&lt;/a&gt;</v>
      </c>
    </row>
    <row r="855" spans="1:6">
      <c r="A855" s="1">
        <v>2011</v>
      </c>
      <c r="B855" s="1">
        <v>15</v>
      </c>
      <c r="C855" s="1" t="s">
        <v>1494</v>
      </c>
      <c r="D855" s="81">
        <v>40825</v>
      </c>
      <c r="E855" s="81" t="s">
        <v>1974</v>
      </c>
      <c r="F855" s="1" t="str">
        <f t="shared" si="13"/>
        <v>&lt;a href='http://en.wikipedia.org/wiki/2011_Japanese_Grand_Prix'&gt;2011_Japanese_Grand_Prix&lt;/a&gt;</v>
      </c>
    </row>
    <row r="856" spans="1:6">
      <c r="A856" s="1">
        <v>2011</v>
      </c>
      <c r="B856" s="1">
        <v>16</v>
      </c>
      <c r="C856" s="1" t="s">
        <v>1953</v>
      </c>
      <c r="D856" s="81">
        <v>40832</v>
      </c>
      <c r="E856" s="81" t="s">
        <v>1975</v>
      </c>
      <c r="F856" s="1" t="str">
        <f t="shared" si="13"/>
        <v>&lt;a href='http://en.wikipedia.org/wiki/2011_Korean_Grand_Prix'&gt;2011_Korean_Grand_Prix&lt;/a&gt;</v>
      </c>
    </row>
    <row r="857" spans="1:6">
      <c r="A857" s="1">
        <v>2011</v>
      </c>
      <c r="B857" s="1">
        <v>17</v>
      </c>
      <c r="C857" s="1" t="s">
        <v>1977</v>
      </c>
      <c r="D857" s="81">
        <v>40846</v>
      </c>
      <c r="E857" s="81" t="s">
        <v>1980</v>
      </c>
      <c r="F857" s="1" t="str">
        <f t="shared" si="13"/>
        <v>&lt;a href='http://en.wikipedia.org/wiki/2011_Indian_Grand_Prix'&gt;2011_Indian_Grand_Prix&lt;/a&gt;</v>
      </c>
    </row>
    <row r="858" spans="1:6">
      <c r="A858" s="1">
        <v>2011</v>
      </c>
      <c r="B858" s="1">
        <v>18</v>
      </c>
      <c r="C858" s="1" t="s">
        <v>1915</v>
      </c>
      <c r="D858" s="81">
        <v>40860</v>
      </c>
      <c r="E858" s="81" t="s">
        <v>1982</v>
      </c>
      <c r="F858" s="1" t="str">
        <f t="shared" si="13"/>
        <v>&lt;a href='http://en.wikipedia.org/wiki/2011_Abu_Dhabi_Grand_Prix'&gt;2011_Abu_Dhabi_Grand_Prix&lt;/a&gt;</v>
      </c>
    </row>
    <row r="859" spans="1:6">
      <c r="A859" s="1">
        <v>2011</v>
      </c>
      <c r="B859" s="1">
        <v>19</v>
      </c>
      <c r="C859" s="1" t="s">
        <v>1204</v>
      </c>
      <c r="D859" s="81">
        <v>40874</v>
      </c>
      <c r="E859" s="81" t="s">
        <v>1984</v>
      </c>
      <c r="F859" s="1" t="str">
        <f t="shared" si="13"/>
        <v>&lt;a href='http://en.wikipedia.org/wiki/2011_Brazilian_Grand_Prix'&gt;2011_Brazilian_Grand_Prix&lt;/a&gt;</v>
      </c>
    </row>
    <row r="860" spans="1:6">
      <c r="A860" s="1">
        <v>2012</v>
      </c>
      <c r="B860" s="1">
        <v>1</v>
      </c>
      <c r="C860" s="1" t="s">
        <v>1644</v>
      </c>
      <c r="D860" s="81">
        <v>40986</v>
      </c>
      <c r="E860" s="81" t="s">
        <v>1985</v>
      </c>
      <c r="F860" s="1" t="str">
        <f t="shared" si="13"/>
        <v>&lt;a href='http://en.wikipedia.org/wiki/2012_Australian_Grand_Prix'&gt;2012_Australian_Grand_Prix&lt;/a&gt;</v>
      </c>
    </row>
    <row r="861" spans="1:6">
      <c r="A861" s="1">
        <v>2012</v>
      </c>
      <c r="B861" s="1">
        <v>2</v>
      </c>
      <c r="C861" s="1" t="s">
        <v>1712</v>
      </c>
      <c r="D861" s="81">
        <v>40993</v>
      </c>
      <c r="E861" s="81" t="s">
        <v>1986</v>
      </c>
      <c r="F861" s="1" t="str">
        <f t="shared" si="13"/>
        <v>&lt;a href='http://en.wikipedia.org/wiki/2012_Malaysian_Grand_Prix'&gt;2012_Malaysian_Grand_Prix&lt;/a&gt;</v>
      </c>
    </row>
    <row r="862" spans="1:6">
      <c r="A862" s="1">
        <v>2012</v>
      </c>
      <c r="B862" s="1">
        <v>3</v>
      </c>
      <c r="C862" s="1" t="s">
        <v>1806</v>
      </c>
      <c r="D862" s="81">
        <v>41014</v>
      </c>
      <c r="E862" s="81" t="s">
        <v>1987</v>
      </c>
      <c r="F862" s="1" t="str">
        <f t="shared" si="13"/>
        <v>&lt;a href='http://en.wikipedia.org/wiki/2012_Chinese_Grand_Prix'&gt;2012_Chinese_Grand_Prix&lt;/a&gt;</v>
      </c>
    </row>
    <row r="863" spans="1:6">
      <c r="A863" s="1">
        <v>2012</v>
      </c>
      <c r="B863" s="1">
        <v>4</v>
      </c>
      <c r="C863" s="1" t="s">
        <v>1788</v>
      </c>
      <c r="D863" s="81">
        <v>41021</v>
      </c>
      <c r="E863" s="81" t="s">
        <v>1988</v>
      </c>
      <c r="F863" s="1" t="str">
        <f t="shared" si="13"/>
        <v>&lt;a href='http://en.wikipedia.org/wiki/2012_Bahrain_Grand_Prix'&gt;2012_Bahrain_Grand_Prix&lt;/a&gt;</v>
      </c>
    </row>
    <row r="864" spans="1:6">
      <c r="A864" s="1">
        <v>2012</v>
      </c>
      <c r="B864" s="1">
        <v>5</v>
      </c>
      <c r="C864" s="1" t="s">
        <v>1566</v>
      </c>
      <c r="D864" s="81">
        <v>41042</v>
      </c>
      <c r="E864" s="81" t="s">
        <v>1989</v>
      </c>
      <c r="F864" s="1" t="str">
        <f t="shared" si="13"/>
        <v>&lt;a href='http://en.wikipedia.org/wiki/2012_Spanish_Grand_Prix'&gt;2012_Spanish_Grand_Prix&lt;/a&gt;</v>
      </c>
    </row>
    <row r="865" spans="1:6">
      <c r="A865" s="1">
        <v>2012</v>
      </c>
      <c r="B865" s="1">
        <v>6</v>
      </c>
      <c r="C865" s="1" t="s">
        <v>857</v>
      </c>
      <c r="D865" s="81">
        <v>41056</v>
      </c>
      <c r="E865" s="81" t="s">
        <v>1990</v>
      </c>
      <c r="F865" s="1" t="str">
        <f t="shared" si="13"/>
        <v>&lt;a href='http://en.wikipedia.org/wiki/2012_Monaco_Grand_Prix'&gt;2012_Monaco_Grand_Prix&lt;/a&gt;</v>
      </c>
    </row>
    <row r="866" spans="1:6">
      <c r="A866" s="1">
        <v>2012</v>
      </c>
      <c r="B866" s="1">
        <v>7</v>
      </c>
      <c r="C866" s="1" t="s">
        <v>1320</v>
      </c>
      <c r="D866" s="81">
        <v>41070</v>
      </c>
      <c r="E866" s="81" t="s">
        <v>1991</v>
      </c>
      <c r="F866" s="1" t="str">
        <f t="shared" si="13"/>
        <v>&lt;a href='http://en.wikipedia.org/wiki/2012_Canadian_Grand_Prix'&gt;2012_Canadian_Grand_Prix&lt;/a&gt;</v>
      </c>
    </row>
    <row r="867" spans="1:6">
      <c r="A867" s="1">
        <v>2012</v>
      </c>
      <c r="B867" s="1">
        <v>8</v>
      </c>
      <c r="C867" s="1" t="s">
        <v>1883</v>
      </c>
      <c r="D867" s="81">
        <v>41084</v>
      </c>
      <c r="E867" s="81" t="s">
        <v>1992</v>
      </c>
      <c r="F867" s="1" t="str">
        <f t="shared" si="13"/>
        <v>&lt;a href='http://en.wikipedia.org/wiki/2012_European_Grand_Prix'&gt;2012_European_Grand_Prix&lt;/a&gt;</v>
      </c>
    </row>
    <row r="868" spans="1:6">
      <c r="A868" s="1">
        <v>2012</v>
      </c>
      <c r="B868" s="1">
        <v>9</v>
      </c>
      <c r="C868" s="1" t="s">
        <v>851</v>
      </c>
      <c r="D868" s="81">
        <v>41098</v>
      </c>
      <c r="E868" s="81" t="s">
        <v>1993</v>
      </c>
      <c r="F868" s="1" t="str">
        <f t="shared" si="13"/>
        <v>&lt;a href='http://en.wikipedia.org/wiki/2012_British_Grand_Prix'&gt;2012_British_Grand_Prix&lt;/a&gt;</v>
      </c>
    </row>
    <row r="869" spans="1:6">
      <c r="A869" s="1">
        <v>2012</v>
      </c>
      <c r="B869" s="1">
        <v>10</v>
      </c>
      <c r="C869" s="1" t="s">
        <v>1162</v>
      </c>
      <c r="D869" s="81">
        <v>41112</v>
      </c>
      <c r="E869" s="81" t="s">
        <v>1994</v>
      </c>
      <c r="F869" s="1" t="str">
        <f t="shared" si="13"/>
        <v>&lt;a href='http://en.wikipedia.org/wiki/2012_German_Grand_Prix'&gt;2012_German_Grand_Prix&lt;/a&gt;</v>
      </c>
    </row>
    <row r="870" spans="1:6">
      <c r="A870" s="1">
        <v>2012</v>
      </c>
      <c r="B870" s="1">
        <v>11</v>
      </c>
      <c r="C870" s="1" t="s">
        <v>1470</v>
      </c>
      <c r="D870" s="81">
        <v>41119</v>
      </c>
      <c r="E870" s="81" t="s">
        <v>1995</v>
      </c>
      <c r="F870" s="1" t="str">
        <f t="shared" si="13"/>
        <v>&lt;a href='http://en.wikipedia.org/wiki/2012_Hungarian_Grand_Prix'&gt;2012_Hungarian_Grand_Prix&lt;/a&gt;</v>
      </c>
    </row>
    <row r="871" spans="1:6">
      <c r="A871" s="1">
        <v>2012</v>
      </c>
      <c r="B871" s="1">
        <v>12</v>
      </c>
      <c r="C871" s="1" t="s">
        <v>873</v>
      </c>
      <c r="D871" s="81">
        <v>41154</v>
      </c>
      <c r="E871" s="81" t="s">
        <v>1996</v>
      </c>
      <c r="F871" s="1" t="str">
        <f t="shared" si="13"/>
        <v>&lt;a href='http://en.wikipedia.org/wiki/2012_Belgian_Grand_Prix'&gt;2012_Belgian_Grand_Prix&lt;/a&gt;</v>
      </c>
    </row>
    <row r="872" spans="1:6">
      <c r="A872" s="1">
        <v>2012</v>
      </c>
      <c r="B872" s="1">
        <v>13</v>
      </c>
      <c r="C872" s="1" t="s">
        <v>883</v>
      </c>
      <c r="D872" s="81">
        <v>41161</v>
      </c>
      <c r="E872" s="81" t="s">
        <v>1997</v>
      </c>
      <c r="F872" s="1" t="str">
        <f t="shared" si="13"/>
        <v>&lt;a href='http://en.wikipedia.org/wiki/2012_Italian_Grand_Prix'&gt;2012_Italian_Grand_Prix&lt;/a&gt;</v>
      </c>
    </row>
    <row r="873" spans="1:6">
      <c r="A873" s="1">
        <v>2012</v>
      </c>
      <c r="B873" s="1">
        <v>14</v>
      </c>
      <c r="C873" s="1" t="s">
        <v>1890</v>
      </c>
      <c r="D873" s="81">
        <v>41175</v>
      </c>
      <c r="E873" s="81" t="s">
        <v>1998</v>
      </c>
      <c r="F873" s="1" t="str">
        <f t="shared" si="13"/>
        <v>&lt;a href='http://en.wikipedia.org/wiki/2012_Singapore_Grand_Prix'&gt;2012_Singapore_Grand_Prix&lt;/a&gt;</v>
      </c>
    </row>
    <row r="874" spans="1:6">
      <c r="A874" s="1">
        <v>2012</v>
      </c>
      <c r="B874" s="1">
        <v>15</v>
      </c>
      <c r="C874" s="1" t="s">
        <v>1494</v>
      </c>
      <c r="D874" s="81">
        <v>41189</v>
      </c>
      <c r="E874" s="81" t="s">
        <v>1999</v>
      </c>
      <c r="F874" s="1" t="str">
        <f t="shared" si="13"/>
        <v>&lt;a href='http://en.wikipedia.org/wiki/2012_Japanese_Grand_Prix'&gt;2012_Japanese_Grand_Prix&lt;/a&gt;</v>
      </c>
    </row>
    <row r="875" spans="1:6">
      <c r="A875" s="1">
        <v>2012</v>
      </c>
      <c r="B875" s="1">
        <v>16</v>
      </c>
      <c r="C875" s="1" t="s">
        <v>1953</v>
      </c>
      <c r="D875" s="81">
        <v>41196</v>
      </c>
      <c r="E875" s="81" t="s">
        <v>2000</v>
      </c>
      <c r="F875" s="1" t="str">
        <f t="shared" si="13"/>
        <v>&lt;a href='http://en.wikipedia.org/wiki/2012_Korean_Grand_Prix'&gt;2012_Korean_Grand_Prix&lt;/a&gt;</v>
      </c>
    </row>
    <row r="876" spans="1:6">
      <c r="A876" s="1">
        <v>2012</v>
      </c>
      <c r="B876" s="1">
        <v>17</v>
      </c>
      <c r="C876" s="1" t="s">
        <v>1977</v>
      </c>
      <c r="D876" s="81">
        <v>41210</v>
      </c>
      <c r="E876" s="81" t="s">
        <v>2001</v>
      </c>
      <c r="F876" s="1" t="str">
        <f t="shared" si="13"/>
        <v>&lt;a href='http://en.wikipedia.org/wiki/2012_Indian_Grand_Prix'&gt;2012_Indian_Grand_Prix&lt;/a&gt;</v>
      </c>
    </row>
    <row r="877" spans="1:6">
      <c r="A877" s="1">
        <v>2012</v>
      </c>
      <c r="B877" s="1">
        <v>18</v>
      </c>
      <c r="C877" s="1" t="s">
        <v>1915</v>
      </c>
      <c r="D877" s="81">
        <v>41217</v>
      </c>
      <c r="E877" s="81" t="s">
        <v>2002</v>
      </c>
      <c r="F877" s="1" t="str">
        <f t="shared" si="13"/>
        <v>&lt;a href='http://en.wikipedia.org/wiki/2012_Abu_Dhabi_Grand_Prix'&gt;2012_Abu_Dhabi_Grand_Prix&lt;/a&gt;</v>
      </c>
    </row>
    <row r="878" spans="1:6">
      <c r="A878" s="1">
        <v>2012</v>
      </c>
      <c r="B878" s="1">
        <v>19</v>
      </c>
      <c r="C878" s="1" t="s">
        <v>2004</v>
      </c>
      <c r="D878" s="81">
        <v>41231</v>
      </c>
      <c r="E878" s="81" t="s">
        <v>2007</v>
      </c>
      <c r="F878" s="1" t="str">
        <f t="shared" si="13"/>
        <v>&lt;a href='http://en.wikipedia.org/wiki/2012_United_States_Grand_Prix'&gt;2012_United_States_Grand_Prix&lt;/a&gt;</v>
      </c>
    </row>
    <row r="879" spans="1:6">
      <c r="A879" s="1">
        <v>2012</v>
      </c>
      <c r="B879" s="1">
        <v>20</v>
      </c>
      <c r="C879" s="1" t="s">
        <v>1204</v>
      </c>
      <c r="D879" s="81">
        <v>41238</v>
      </c>
      <c r="E879" s="81" t="s">
        <v>2008</v>
      </c>
      <c r="F879" s="1" t="str">
        <f t="shared" si="13"/>
        <v>&lt;a href='http://en.wikipedia.org/wiki/2012_Brazilian_Grand_Prix'&gt;2012_Brazilian_Grand_Prix&lt;/a&gt;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0"/>
  <dimension ref="A1:M879"/>
  <sheetViews>
    <sheetView workbookViewId="0">
      <selection activeCell="G63" sqref="G63"/>
    </sheetView>
  </sheetViews>
  <sheetFormatPr defaultRowHeight="15"/>
  <cols>
    <col min="3" max="3" width="15.7109375" customWidth="1"/>
    <col min="4" max="4" width="15.5703125" customWidth="1"/>
  </cols>
  <sheetData>
    <row r="1" spans="1:13">
      <c r="A1" s="6" t="s">
        <v>839</v>
      </c>
      <c r="B1" s="6" t="s">
        <v>841</v>
      </c>
      <c r="C1" s="6" t="s">
        <v>2010</v>
      </c>
      <c r="D1" s="6" t="s">
        <v>848</v>
      </c>
      <c r="E1" s="6" t="s">
        <v>2097</v>
      </c>
      <c r="F1" s="6" t="s">
        <v>849</v>
      </c>
      <c r="G1" s="6" t="s">
        <v>94</v>
      </c>
      <c r="H1" s="6" t="s">
        <v>95</v>
      </c>
      <c r="I1" s="6" t="s">
        <v>243</v>
      </c>
      <c r="J1" s="6" t="s">
        <v>840</v>
      </c>
      <c r="K1" s="6" t="s">
        <v>2009</v>
      </c>
      <c r="L1" s="6" t="s">
        <v>65</v>
      </c>
      <c r="M1" t="s">
        <v>67</v>
      </c>
    </row>
    <row r="2" spans="1:13">
      <c r="A2">
        <v>1950</v>
      </c>
      <c r="B2">
        <v>1</v>
      </c>
      <c r="C2" t="s">
        <v>851</v>
      </c>
      <c r="D2" s="82">
        <v>18396</v>
      </c>
      <c r="E2" t="s">
        <v>855</v>
      </c>
      <c r="F2" t="s">
        <v>2098</v>
      </c>
      <c r="G2">
        <v>52.078600000000002</v>
      </c>
      <c r="H2">
        <v>-1.01694</v>
      </c>
      <c r="I2" t="s">
        <v>2020</v>
      </c>
      <c r="J2" t="s">
        <v>850</v>
      </c>
      <c r="K2" t="s">
        <v>852</v>
      </c>
      <c r="L2" t="s">
        <v>853</v>
      </c>
      <c r="M2" t="s">
        <v>854</v>
      </c>
    </row>
    <row r="3" spans="1:13">
      <c r="A3">
        <v>1950</v>
      </c>
      <c r="B3">
        <v>2</v>
      </c>
      <c r="C3" t="s">
        <v>857</v>
      </c>
      <c r="D3" s="82">
        <v>18404</v>
      </c>
      <c r="E3" t="s">
        <v>861</v>
      </c>
      <c r="F3" t="s">
        <v>2099</v>
      </c>
      <c r="G3">
        <v>43.734699999999997</v>
      </c>
      <c r="H3">
        <v>7.42056</v>
      </c>
      <c r="I3" t="s">
        <v>2021</v>
      </c>
      <c r="J3" t="s">
        <v>856</v>
      </c>
      <c r="K3" t="s">
        <v>858</v>
      </c>
      <c r="L3" t="s">
        <v>859</v>
      </c>
      <c r="M3" t="s">
        <v>860</v>
      </c>
    </row>
    <row r="4" spans="1:13">
      <c r="A4">
        <v>1950</v>
      </c>
      <c r="B4">
        <v>3</v>
      </c>
      <c r="C4" t="s">
        <v>863</v>
      </c>
      <c r="D4" s="82">
        <v>18413</v>
      </c>
      <c r="E4" t="s">
        <v>866</v>
      </c>
      <c r="F4" t="s">
        <v>2100</v>
      </c>
      <c r="G4">
        <v>39.795000000000002</v>
      </c>
      <c r="H4">
        <v>-86.234700000000004</v>
      </c>
      <c r="I4" t="s">
        <v>2022</v>
      </c>
      <c r="J4" t="s">
        <v>862</v>
      </c>
      <c r="K4" t="s">
        <v>864</v>
      </c>
      <c r="L4" t="s">
        <v>865</v>
      </c>
      <c r="M4" t="s">
        <v>1010</v>
      </c>
    </row>
    <row r="5" spans="1:13">
      <c r="A5">
        <v>1950</v>
      </c>
      <c r="B5">
        <v>4</v>
      </c>
      <c r="C5" t="s">
        <v>868</v>
      </c>
      <c r="D5" s="82">
        <v>18418</v>
      </c>
      <c r="E5" t="s">
        <v>871</v>
      </c>
      <c r="F5" t="s">
        <v>2101</v>
      </c>
      <c r="G5">
        <v>46.9589</v>
      </c>
      <c r="H5">
        <v>7.4019399999999997</v>
      </c>
      <c r="I5" t="s">
        <v>2023</v>
      </c>
      <c r="J5" t="s">
        <v>867</v>
      </c>
      <c r="K5" t="s">
        <v>869</v>
      </c>
      <c r="L5" t="s">
        <v>870</v>
      </c>
      <c r="M5" t="s">
        <v>468</v>
      </c>
    </row>
    <row r="6" spans="1:13">
      <c r="A6">
        <v>1950</v>
      </c>
      <c r="B6">
        <v>5</v>
      </c>
      <c r="C6" t="s">
        <v>873</v>
      </c>
      <c r="D6" s="82">
        <v>18432</v>
      </c>
      <c r="E6" t="s">
        <v>876</v>
      </c>
      <c r="F6" t="s">
        <v>2102</v>
      </c>
      <c r="G6">
        <v>50.437199999999997</v>
      </c>
      <c r="H6">
        <v>5.9713900000000004</v>
      </c>
      <c r="I6" t="s">
        <v>2024</v>
      </c>
      <c r="J6" t="s">
        <v>872</v>
      </c>
      <c r="K6" t="s">
        <v>874</v>
      </c>
      <c r="L6" t="s">
        <v>875</v>
      </c>
      <c r="M6" t="s">
        <v>244</v>
      </c>
    </row>
    <row r="7" spans="1:13">
      <c r="A7">
        <v>1950</v>
      </c>
      <c r="B7">
        <v>6</v>
      </c>
      <c r="C7" t="s">
        <v>878</v>
      </c>
      <c r="D7" s="82">
        <v>18446</v>
      </c>
      <c r="E7" t="s">
        <v>881</v>
      </c>
      <c r="F7" t="s">
        <v>2103</v>
      </c>
      <c r="G7">
        <v>49.254199999999997</v>
      </c>
      <c r="H7">
        <v>3.9308299999999998</v>
      </c>
      <c r="I7" t="s">
        <v>2025</v>
      </c>
      <c r="J7" t="s">
        <v>877</v>
      </c>
      <c r="K7" t="s">
        <v>879</v>
      </c>
      <c r="L7" t="s">
        <v>880</v>
      </c>
      <c r="M7" t="s">
        <v>755</v>
      </c>
    </row>
    <row r="8" spans="1:13">
      <c r="A8">
        <v>1950</v>
      </c>
      <c r="B8">
        <v>7</v>
      </c>
      <c r="C8" t="s">
        <v>883</v>
      </c>
      <c r="D8" s="82">
        <v>18509</v>
      </c>
      <c r="E8" t="s">
        <v>887</v>
      </c>
      <c r="F8" t="s">
        <v>2104</v>
      </c>
      <c r="G8">
        <v>45.615600000000001</v>
      </c>
      <c r="H8">
        <v>9.28111</v>
      </c>
      <c r="I8" t="s">
        <v>2026</v>
      </c>
      <c r="J8" t="s">
        <v>882</v>
      </c>
      <c r="K8" t="s">
        <v>884</v>
      </c>
      <c r="L8" t="s">
        <v>885</v>
      </c>
      <c r="M8" t="s">
        <v>886</v>
      </c>
    </row>
    <row r="9" spans="1:13">
      <c r="A9">
        <v>1951</v>
      </c>
      <c r="B9">
        <v>1</v>
      </c>
      <c r="C9" t="s">
        <v>868</v>
      </c>
      <c r="D9" s="82">
        <v>18775</v>
      </c>
      <c r="E9" t="s">
        <v>888</v>
      </c>
      <c r="F9" t="s">
        <v>2105</v>
      </c>
      <c r="G9">
        <v>46.9589</v>
      </c>
      <c r="H9">
        <v>7.4019399999999997</v>
      </c>
      <c r="I9" t="s">
        <v>2023</v>
      </c>
      <c r="J9" t="s">
        <v>867</v>
      </c>
      <c r="K9" t="s">
        <v>869</v>
      </c>
      <c r="L9" t="s">
        <v>870</v>
      </c>
      <c r="M9" t="s">
        <v>468</v>
      </c>
    </row>
    <row r="10" spans="1:13">
      <c r="A10">
        <v>1951</v>
      </c>
      <c r="B10">
        <v>2</v>
      </c>
      <c r="C10" t="s">
        <v>863</v>
      </c>
      <c r="D10" s="82">
        <v>18778</v>
      </c>
      <c r="E10" t="s">
        <v>889</v>
      </c>
      <c r="F10" t="s">
        <v>2106</v>
      </c>
      <c r="G10">
        <v>39.795000000000002</v>
      </c>
      <c r="H10">
        <v>-86.234700000000004</v>
      </c>
      <c r="I10" t="s">
        <v>2022</v>
      </c>
      <c r="J10" t="s">
        <v>862</v>
      </c>
      <c r="K10" t="s">
        <v>864</v>
      </c>
      <c r="L10" t="s">
        <v>865</v>
      </c>
      <c r="M10" t="s">
        <v>1010</v>
      </c>
    </row>
    <row r="11" spans="1:13">
      <c r="A11">
        <v>1951</v>
      </c>
      <c r="B11">
        <v>3</v>
      </c>
      <c r="C11" t="s">
        <v>873</v>
      </c>
      <c r="D11" s="82">
        <v>18796</v>
      </c>
      <c r="E11" t="s">
        <v>890</v>
      </c>
      <c r="F11" t="s">
        <v>2107</v>
      </c>
      <c r="G11">
        <v>50.437199999999997</v>
      </c>
      <c r="H11">
        <v>5.9713900000000004</v>
      </c>
      <c r="I11" t="s">
        <v>2024</v>
      </c>
      <c r="J11" t="s">
        <v>872</v>
      </c>
      <c r="K11" t="s">
        <v>874</v>
      </c>
      <c r="L11" t="s">
        <v>875</v>
      </c>
      <c r="M11" t="s">
        <v>244</v>
      </c>
    </row>
    <row r="12" spans="1:13">
      <c r="A12">
        <v>1951</v>
      </c>
      <c r="B12">
        <v>4</v>
      </c>
      <c r="C12" t="s">
        <v>878</v>
      </c>
      <c r="D12" s="82">
        <v>18810</v>
      </c>
      <c r="E12" t="s">
        <v>891</v>
      </c>
      <c r="F12" t="s">
        <v>2108</v>
      </c>
      <c r="G12">
        <v>49.254199999999997</v>
      </c>
      <c r="H12">
        <v>3.9308299999999998</v>
      </c>
      <c r="I12" t="s">
        <v>2025</v>
      </c>
      <c r="J12" t="s">
        <v>877</v>
      </c>
      <c r="K12" t="s">
        <v>879</v>
      </c>
      <c r="L12" t="s">
        <v>880</v>
      </c>
      <c r="M12" t="s">
        <v>755</v>
      </c>
    </row>
    <row r="13" spans="1:13">
      <c r="A13">
        <v>1951</v>
      </c>
      <c r="B13">
        <v>5</v>
      </c>
      <c r="C13" t="s">
        <v>851</v>
      </c>
      <c r="D13" s="82">
        <v>18823</v>
      </c>
      <c r="E13" t="s">
        <v>892</v>
      </c>
      <c r="F13" t="s">
        <v>2109</v>
      </c>
      <c r="G13">
        <v>52.078600000000002</v>
      </c>
      <c r="H13">
        <v>-1.01694</v>
      </c>
      <c r="I13" t="s">
        <v>2020</v>
      </c>
      <c r="J13" t="s">
        <v>850</v>
      </c>
      <c r="K13" t="s">
        <v>852</v>
      </c>
      <c r="L13" t="s">
        <v>853</v>
      </c>
      <c r="M13" t="s">
        <v>854</v>
      </c>
    </row>
    <row r="14" spans="1:13">
      <c r="A14">
        <v>1951</v>
      </c>
      <c r="B14">
        <v>6</v>
      </c>
      <c r="C14" t="s">
        <v>894</v>
      </c>
      <c r="D14" s="82">
        <v>18838</v>
      </c>
      <c r="E14" t="s">
        <v>897</v>
      </c>
      <c r="F14" t="s">
        <v>2110</v>
      </c>
      <c r="G14">
        <v>50.335599999999999</v>
      </c>
      <c r="H14">
        <v>6.9474999999999998</v>
      </c>
      <c r="I14" t="s">
        <v>2027</v>
      </c>
      <c r="J14" t="s">
        <v>893</v>
      </c>
      <c r="K14" t="s">
        <v>895</v>
      </c>
      <c r="L14" t="s">
        <v>896</v>
      </c>
      <c r="M14" t="s">
        <v>761</v>
      </c>
    </row>
    <row r="15" spans="1:13">
      <c r="A15">
        <v>1951</v>
      </c>
      <c r="B15">
        <v>7</v>
      </c>
      <c r="C15" t="s">
        <v>883</v>
      </c>
      <c r="D15" s="82">
        <v>18887</v>
      </c>
      <c r="E15" t="s">
        <v>898</v>
      </c>
      <c r="F15" t="s">
        <v>2111</v>
      </c>
      <c r="G15">
        <v>45.615600000000001</v>
      </c>
      <c r="H15">
        <v>9.28111</v>
      </c>
      <c r="I15" t="s">
        <v>2026</v>
      </c>
      <c r="J15" t="s">
        <v>882</v>
      </c>
      <c r="K15" t="s">
        <v>884</v>
      </c>
      <c r="L15" t="s">
        <v>885</v>
      </c>
      <c r="M15" t="s">
        <v>886</v>
      </c>
    </row>
    <row r="16" spans="1:13">
      <c r="A16">
        <v>1951</v>
      </c>
      <c r="B16">
        <v>8</v>
      </c>
      <c r="C16" t="s">
        <v>900</v>
      </c>
      <c r="D16" s="82">
        <v>18929</v>
      </c>
      <c r="E16" t="s">
        <v>904</v>
      </c>
      <c r="F16" t="s">
        <v>2112</v>
      </c>
      <c r="G16">
        <v>41.390300000000003</v>
      </c>
      <c r="H16">
        <v>2.1166700000000001</v>
      </c>
      <c r="I16" t="s">
        <v>2028</v>
      </c>
      <c r="J16" t="s">
        <v>899</v>
      </c>
      <c r="K16" t="s">
        <v>901</v>
      </c>
      <c r="L16" t="s">
        <v>902</v>
      </c>
      <c r="M16" t="s">
        <v>903</v>
      </c>
    </row>
    <row r="17" spans="1:13">
      <c r="A17">
        <v>1952</v>
      </c>
      <c r="B17">
        <v>1</v>
      </c>
      <c r="C17" t="s">
        <v>868</v>
      </c>
      <c r="D17" s="82">
        <v>19132</v>
      </c>
      <c r="E17" t="s">
        <v>905</v>
      </c>
      <c r="F17" t="s">
        <v>2113</v>
      </c>
      <c r="G17">
        <v>46.9589</v>
      </c>
      <c r="H17">
        <v>7.4019399999999997</v>
      </c>
      <c r="I17" t="s">
        <v>2023</v>
      </c>
      <c r="J17" t="s">
        <v>867</v>
      </c>
      <c r="K17" t="s">
        <v>869</v>
      </c>
      <c r="L17" t="s">
        <v>870</v>
      </c>
      <c r="M17" t="s">
        <v>468</v>
      </c>
    </row>
    <row r="18" spans="1:13">
      <c r="A18">
        <v>1952</v>
      </c>
      <c r="B18">
        <v>2</v>
      </c>
      <c r="C18" t="s">
        <v>863</v>
      </c>
      <c r="D18" s="82">
        <v>19144</v>
      </c>
      <c r="E18" t="s">
        <v>906</v>
      </c>
      <c r="F18" t="s">
        <v>2114</v>
      </c>
      <c r="G18">
        <v>39.795000000000002</v>
      </c>
      <c r="H18">
        <v>-86.234700000000004</v>
      </c>
      <c r="I18" t="s">
        <v>2022</v>
      </c>
      <c r="J18" t="s">
        <v>862</v>
      </c>
      <c r="K18" t="s">
        <v>864</v>
      </c>
      <c r="L18" t="s">
        <v>865</v>
      </c>
      <c r="M18" t="s">
        <v>1010</v>
      </c>
    </row>
    <row r="19" spans="1:13">
      <c r="A19">
        <v>1952</v>
      </c>
      <c r="B19">
        <v>3</v>
      </c>
      <c r="C19" t="s">
        <v>873</v>
      </c>
      <c r="D19" s="82">
        <v>19167</v>
      </c>
      <c r="E19" t="s">
        <v>907</v>
      </c>
      <c r="F19" t="s">
        <v>2115</v>
      </c>
      <c r="G19">
        <v>50.437199999999997</v>
      </c>
      <c r="H19">
        <v>5.9713900000000004</v>
      </c>
      <c r="I19" t="s">
        <v>2024</v>
      </c>
      <c r="J19" t="s">
        <v>872</v>
      </c>
      <c r="K19" t="s">
        <v>874</v>
      </c>
      <c r="L19" t="s">
        <v>875</v>
      </c>
      <c r="M19" t="s">
        <v>244</v>
      </c>
    </row>
    <row r="20" spans="1:13">
      <c r="A20">
        <v>1952</v>
      </c>
      <c r="B20">
        <v>4</v>
      </c>
      <c r="C20" t="s">
        <v>908</v>
      </c>
      <c r="D20" s="82">
        <v>19181</v>
      </c>
      <c r="E20" t="s">
        <v>911</v>
      </c>
      <c r="F20" t="s">
        <v>2116</v>
      </c>
      <c r="G20">
        <v>49.330599999999997</v>
      </c>
      <c r="H20">
        <v>1.00458</v>
      </c>
      <c r="I20" t="s">
        <v>2029</v>
      </c>
      <c r="J20" t="s">
        <v>877</v>
      </c>
      <c r="K20" t="s">
        <v>909</v>
      </c>
      <c r="L20" t="s">
        <v>910</v>
      </c>
      <c r="M20" t="s">
        <v>755</v>
      </c>
    </row>
    <row r="21" spans="1:13">
      <c r="A21">
        <v>1952</v>
      </c>
      <c r="B21">
        <v>5</v>
      </c>
      <c r="C21" t="s">
        <v>851</v>
      </c>
      <c r="D21" s="82">
        <v>19194</v>
      </c>
      <c r="E21" t="s">
        <v>912</v>
      </c>
      <c r="F21" t="s">
        <v>2117</v>
      </c>
      <c r="G21">
        <v>52.078600000000002</v>
      </c>
      <c r="H21">
        <v>-1.01694</v>
      </c>
      <c r="I21" t="s">
        <v>2020</v>
      </c>
      <c r="J21" t="s">
        <v>850</v>
      </c>
      <c r="K21" t="s">
        <v>852</v>
      </c>
      <c r="L21" t="s">
        <v>853</v>
      </c>
      <c r="M21" t="s">
        <v>854</v>
      </c>
    </row>
    <row r="22" spans="1:13">
      <c r="A22">
        <v>1952</v>
      </c>
      <c r="B22">
        <v>6</v>
      </c>
      <c r="C22" t="s">
        <v>894</v>
      </c>
      <c r="D22" s="82">
        <v>19209</v>
      </c>
      <c r="E22" t="s">
        <v>913</v>
      </c>
      <c r="F22" t="s">
        <v>2118</v>
      </c>
      <c r="G22">
        <v>50.335599999999999</v>
      </c>
      <c r="H22">
        <v>6.9474999999999998</v>
      </c>
      <c r="I22" t="s">
        <v>2027</v>
      </c>
      <c r="J22" t="s">
        <v>893</v>
      </c>
      <c r="K22" t="s">
        <v>895</v>
      </c>
      <c r="L22" t="s">
        <v>896</v>
      </c>
      <c r="M22" t="s">
        <v>761</v>
      </c>
    </row>
    <row r="23" spans="1:13">
      <c r="A23">
        <v>1952</v>
      </c>
      <c r="B23">
        <v>7</v>
      </c>
      <c r="C23" t="s">
        <v>915</v>
      </c>
      <c r="D23" s="82">
        <v>19223</v>
      </c>
      <c r="E23" t="s">
        <v>919</v>
      </c>
      <c r="F23" t="s">
        <v>2119</v>
      </c>
      <c r="G23">
        <v>52.388800000000003</v>
      </c>
      <c r="H23">
        <v>4.5409199999999998</v>
      </c>
      <c r="I23" t="s">
        <v>2030</v>
      </c>
      <c r="J23" t="s">
        <v>914</v>
      </c>
      <c r="K23" t="s">
        <v>916</v>
      </c>
      <c r="L23" t="s">
        <v>917</v>
      </c>
      <c r="M23" t="s">
        <v>918</v>
      </c>
    </row>
    <row r="24" spans="1:13">
      <c r="A24">
        <v>1952</v>
      </c>
      <c r="B24">
        <v>8</v>
      </c>
      <c r="C24" t="s">
        <v>883</v>
      </c>
      <c r="D24" s="82">
        <v>19244</v>
      </c>
      <c r="E24" t="s">
        <v>920</v>
      </c>
      <c r="F24" t="s">
        <v>2120</v>
      </c>
      <c r="G24">
        <v>45.615600000000001</v>
      </c>
      <c r="H24">
        <v>9.28111</v>
      </c>
      <c r="I24" t="s">
        <v>2026</v>
      </c>
      <c r="J24" t="s">
        <v>882</v>
      </c>
      <c r="K24" t="s">
        <v>884</v>
      </c>
      <c r="L24" t="s">
        <v>885</v>
      </c>
      <c r="M24" t="s">
        <v>886</v>
      </c>
    </row>
    <row r="25" spans="1:13">
      <c r="A25">
        <v>1953</v>
      </c>
      <c r="B25">
        <v>1</v>
      </c>
      <c r="C25" t="s">
        <v>922</v>
      </c>
      <c r="D25" s="82">
        <v>19377</v>
      </c>
      <c r="E25" t="s">
        <v>924</v>
      </c>
      <c r="F25" t="s">
        <v>2121</v>
      </c>
      <c r="G25">
        <v>-34.694299999999998</v>
      </c>
      <c r="H25">
        <v>-58.459299999999999</v>
      </c>
      <c r="I25" t="s">
        <v>2031</v>
      </c>
      <c r="J25" t="s">
        <v>921</v>
      </c>
      <c r="K25" t="s">
        <v>923</v>
      </c>
      <c r="L25" t="s">
        <v>253</v>
      </c>
      <c r="M25" t="s">
        <v>252</v>
      </c>
    </row>
    <row r="26" spans="1:13">
      <c r="A26">
        <v>1953</v>
      </c>
      <c r="B26">
        <v>2</v>
      </c>
      <c r="C26" t="s">
        <v>863</v>
      </c>
      <c r="D26" s="82">
        <v>19509</v>
      </c>
      <c r="E26" t="s">
        <v>925</v>
      </c>
      <c r="F26" t="s">
        <v>2122</v>
      </c>
      <c r="G26">
        <v>39.795000000000002</v>
      </c>
      <c r="H26">
        <v>-86.234700000000004</v>
      </c>
      <c r="I26" t="s">
        <v>2022</v>
      </c>
      <c r="J26" t="s">
        <v>862</v>
      </c>
      <c r="K26" t="s">
        <v>864</v>
      </c>
      <c r="L26" t="s">
        <v>865</v>
      </c>
      <c r="M26" t="s">
        <v>1010</v>
      </c>
    </row>
    <row r="27" spans="1:13">
      <c r="A27">
        <v>1953</v>
      </c>
      <c r="B27">
        <v>3</v>
      </c>
      <c r="C27" t="s">
        <v>915</v>
      </c>
      <c r="D27" s="82">
        <v>19517</v>
      </c>
      <c r="E27" t="s">
        <v>926</v>
      </c>
      <c r="F27" t="s">
        <v>2123</v>
      </c>
      <c r="G27">
        <v>52.388800000000003</v>
      </c>
      <c r="H27">
        <v>4.5409199999999998</v>
      </c>
      <c r="I27" t="s">
        <v>2030</v>
      </c>
      <c r="J27" t="s">
        <v>914</v>
      </c>
      <c r="K27" t="s">
        <v>916</v>
      </c>
      <c r="L27" t="s">
        <v>917</v>
      </c>
      <c r="M27" t="s">
        <v>918</v>
      </c>
    </row>
    <row r="28" spans="1:13">
      <c r="A28">
        <v>1953</v>
      </c>
      <c r="B28">
        <v>4</v>
      </c>
      <c r="C28" t="s">
        <v>873</v>
      </c>
      <c r="D28" s="82">
        <v>19531</v>
      </c>
      <c r="E28" t="s">
        <v>927</v>
      </c>
      <c r="F28" t="s">
        <v>2124</v>
      </c>
      <c r="G28">
        <v>50.437199999999997</v>
      </c>
      <c r="H28">
        <v>5.9713900000000004</v>
      </c>
      <c r="I28" t="s">
        <v>2024</v>
      </c>
      <c r="J28" t="s">
        <v>872</v>
      </c>
      <c r="K28" t="s">
        <v>874</v>
      </c>
      <c r="L28" t="s">
        <v>875</v>
      </c>
      <c r="M28" t="s">
        <v>244</v>
      </c>
    </row>
    <row r="29" spans="1:13">
      <c r="A29">
        <v>1953</v>
      </c>
      <c r="B29">
        <v>5</v>
      </c>
      <c r="C29" t="s">
        <v>878</v>
      </c>
      <c r="D29" s="82">
        <v>19545</v>
      </c>
      <c r="E29" t="s">
        <v>928</v>
      </c>
      <c r="F29" t="s">
        <v>2125</v>
      </c>
      <c r="G29">
        <v>49.254199999999997</v>
      </c>
      <c r="H29">
        <v>3.9308299999999998</v>
      </c>
      <c r="I29" t="s">
        <v>2025</v>
      </c>
      <c r="J29" t="s">
        <v>877</v>
      </c>
      <c r="K29" t="s">
        <v>879</v>
      </c>
      <c r="L29" t="s">
        <v>880</v>
      </c>
      <c r="M29" t="s">
        <v>755</v>
      </c>
    </row>
    <row r="30" spans="1:13">
      <c r="A30">
        <v>1953</v>
      </c>
      <c r="B30">
        <v>6</v>
      </c>
      <c r="C30" t="s">
        <v>851</v>
      </c>
      <c r="D30" s="82">
        <v>19558</v>
      </c>
      <c r="E30" t="s">
        <v>929</v>
      </c>
      <c r="F30" t="s">
        <v>2126</v>
      </c>
      <c r="G30">
        <v>52.078600000000002</v>
      </c>
      <c r="H30">
        <v>-1.01694</v>
      </c>
      <c r="I30" t="s">
        <v>2020</v>
      </c>
      <c r="J30" t="s">
        <v>850</v>
      </c>
      <c r="K30" t="s">
        <v>852</v>
      </c>
      <c r="L30" t="s">
        <v>853</v>
      </c>
      <c r="M30" t="s">
        <v>854</v>
      </c>
    </row>
    <row r="31" spans="1:13">
      <c r="A31">
        <v>1953</v>
      </c>
      <c r="B31">
        <v>7</v>
      </c>
      <c r="C31" t="s">
        <v>894</v>
      </c>
      <c r="D31" s="82">
        <v>19573</v>
      </c>
      <c r="E31" t="s">
        <v>930</v>
      </c>
      <c r="F31" t="s">
        <v>2127</v>
      </c>
      <c r="G31">
        <v>50.335599999999999</v>
      </c>
      <c r="H31">
        <v>6.9474999999999998</v>
      </c>
      <c r="I31" t="s">
        <v>2027</v>
      </c>
      <c r="J31" t="s">
        <v>893</v>
      </c>
      <c r="K31" t="s">
        <v>895</v>
      </c>
      <c r="L31" t="s">
        <v>896</v>
      </c>
      <c r="M31" t="s">
        <v>761</v>
      </c>
    </row>
    <row r="32" spans="1:13">
      <c r="A32">
        <v>1953</v>
      </c>
      <c r="B32">
        <v>8</v>
      </c>
      <c r="C32" t="s">
        <v>868</v>
      </c>
      <c r="D32" s="82">
        <v>19594</v>
      </c>
      <c r="E32" t="s">
        <v>931</v>
      </c>
      <c r="F32" t="s">
        <v>2128</v>
      </c>
      <c r="G32">
        <v>46.9589</v>
      </c>
      <c r="H32">
        <v>7.4019399999999997</v>
      </c>
      <c r="I32" t="s">
        <v>2023</v>
      </c>
      <c r="J32" t="s">
        <v>867</v>
      </c>
      <c r="K32" t="s">
        <v>869</v>
      </c>
      <c r="L32" t="s">
        <v>870</v>
      </c>
      <c r="M32" t="s">
        <v>468</v>
      </c>
    </row>
    <row r="33" spans="1:13">
      <c r="A33">
        <v>1953</v>
      </c>
      <c r="B33">
        <v>9</v>
      </c>
      <c r="C33" t="s">
        <v>883</v>
      </c>
      <c r="D33" s="82">
        <v>19615</v>
      </c>
      <c r="E33" t="s">
        <v>932</v>
      </c>
      <c r="F33" t="s">
        <v>2129</v>
      </c>
      <c r="G33">
        <v>45.615600000000001</v>
      </c>
      <c r="H33">
        <v>9.28111</v>
      </c>
      <c r="I33" t="s">
        <v>2026</v>
      </c>
      <c r="J33" t="s">
        <v>882</v>
      </c>
      <c r="K33" t="s">
        <v>884</v>
      </c>
      <c r="L33" t="s">
        <v>885</v>
      </c>
      <c r="M33" t="s">
        <v>886</v>
      </c>
    </row>
    <row r="34" spans="1:13">
      <c r="A34">
        <v>1954</v>
      </c>
      <c r="B34">
        <v>1</v>
      </c>
      <c r="C34" t="s">
        <v>922</v>
      </c>
      <c r="D34" s="82">
        <v>19741</v>
      </c>
      <c r="E34" t="s">
        <v>933</v>
      </c>
      <c r="F34" t="s">
        <v>2130</v>
      </c>
      <c r="G34">
        <v>-34.694299999999998</v>
      </c>
      <c r="H34">
        <v>-58.459299999999999</v>
      </c>
      <c r="I34" t="s">
        <v>2031</v>
      </c>
      <c r="J34" t="s">
        <v>921</v>
      </c>
      <c r="K34" t="s">
        <v>923</v>
      </c>
      <c r="L34" t="s">
        <v>253</v>
      </c>
      <c r="M34" t="s">
        <v>252</v>
      </c>
    </row>
    <row r="35" spans="1:13">
      <c r="A35">
        <v>1954</v>
      </c>
      <c r="B35">
        <v>2</v>
      </c>
      <c r="C35" t="s">
        <v>863</v>
      </c>
      <c r="D35" s="82">
        <v>19875</v>
      </c>
      <c r="E35" t="s">
        <v>934</v>
      </c>
      <c r="F35" t="s">
        <v>2131</v>
      </c>
      <c r="G35">
        <v>39.795000000000002</v>
      </c>
      <c r="H35">
        <v>-86.234700000000004</v>
      </c>
      <c r="I35" t="s">
        <v>2022</v>
      </c>
      <c r="J35" t="s">
        <v>862</v>
      </c>
      <c r="K35" t="s">
        <v>864</v>
      </c>
      <c r="L35" t="s">
        <v>865</v>
      </c>
      <c r="M35" t="s">
        <v>1010</v>
      </c>
    </row>
    <row r="36" spans="1:13">
      <c r="A36">
        <v>1954</v>
      </c>
      <c r="B36">
        <v>3</v>
      </c>
      <c r="C36" t="s">
        <v>873</v>
      </c>
      <c r="D36" s="82">
        <v>19895</v>
      </c>
      <c r="E36" t="s">
        <v>935</v>
      </c>
      <c r="F36" t="s">
        <v>2132</v>
      </c>
      <c r="G36">
        <v>50.437199999999997</v>
      </c>
      <c r="H36">
        <v>5.9713900000000004</v>
      </c>
      <c r="I36" t="s">
        <v>2024</v>
      </c>
      <c r="J36" t="s">
        <v>872</v>
      </c>
      <c r="K36" t="s">
        <v>874</v>
      </c>
      <c r="L36" t="s">
        <v>875</v>
      </c>
      <c r="M36" t="s">
        <v>244</v>
      </c>
    </row>
    <row r="37" spans="1:13">
      <c r="A37">
        <v>1954</v>
      </c>
      <c r="B37">
        <v>4</v>
      </c>
      <c r="C37" t="s">
        <v>878</v>
      </c>
      <c r="D37" s="82">
        <v>19909</v>
      </c>
      <c r="E37" t="s">
        <v>936</v>
      </c>
      <c r="F37" t="s">
        <v>2133</v>
      </c>
      <c r="G37">
        <v>49.254199999999997</v>
      </c>
      <c r="H37">
        <v>3.9308299999999998</v>
      </c>
      <c r="I37" t="s">
        <v>2025</v>
      </c>
      <c r="J37" t="s">
        <v>877</v>
      </c>
      <c r="K37" t="s">
        <v>879</v>
      </c>
      <c r="L37" t="s">
        <v>880</v>
      </c>
      <c r="M37" t="s">
        <v>755</v>
      </c>
    </row>
    <row r="38" spans="1:13">
      <c r="A38">
        <v>1954</v>
      </c>
      <c r="B38">
        <v>5</v>
      </c>
      <c r="C38" t="s">
        <v>851</v>
      </c>
      <c r="D38" s="82">
        <v>19922</v>
      </c>
      <c r="E38" t="s">
        <v>937</v>
      </c>
      <c r="F38" t="s">
        <v>2134</v>
      </c>
      <c r="G38">
        <v>52.078600000000002</v>
      </c>
      <c r="H38">
        <v>-1.01694</v>
      </c>
      <c r="I38" t="s">
        <v>2020</v>
      </c>
      <c r="J38" t="s">
        <v>850</v>
      </c>
      <c r="K38" t="s">
        <v>852</v>
      </c>
      <c r="L38" t="s">
        <v>853</v>
      </c>
      <c r="M38" t="s">
        <v>854</v>
      </c>
    </row>
    <row r="39" spans="1:13">
      <c r="A39">
        <v>1954</v>
      </c>
      <c r="B39">
        <v>6</v>
      </c>
      <c r="C39" t="s">
        <v>894</v>
      </c>
      <c r="D39" s="82">
        <v>19937</v>
      </c>
      <c r="E39" t="s">
        <v>938</v>
      </c>
      <c r="F39" t="s">
        <v>2135</v>
      </c>
      <c r="G39">
        <v>50.335599999999999</v>
      </c>
      <c r="H39">
        <v>6.9474999999999998</v>
      </c>
      <c r="I39" t="s">
        <v>2027</v>
      </c>
      <c r="J39" t="s">
        <v>893</v>
      </c>
      <c r="K39" t="s">
        <v>895</v>
      </c>
      <c r="L39" t="s">
        <v>896</v>
      </c>
      <c r="M39" t="s">
        <v>761</v>
      </c>
    </row>
    <row r="40" spans="1:13">
      <c r="A40">
        <v>1954</v>
      </c>
      <c r="B40">
        <v>7</v>
      </c>
      <c r="C40" t="s">
        <v>868</v>
      </c>
      <c r="D40" s="82">
        <v>19958</v>
      </c>
      <c r="E40" t="s">
        <v>939</v>
      </c>
      <c r="F40" t="s">
        <v>2136</v>
      </c>
      <c r="G40">
        <v>46.9589</v>
      </c>
      <c r="H40">
        <v>7.4019399999999997</v>
      </c>
      <c r="I40" t="s">
        <v>2023</v>
      </c>
      <c r="J40" t="s">
        <v>867</v>
      </c>
      <c r="K40" t="s">
        <v>869</v>
      </c>
      <c r="L40" t="s">
        <v>870</v>
      </c>
      <c r="M40" t="s">
        <v>468</v>
      </c>
    </row>
    <row r="41" spans="1:13">
      <c r="A41">
        <v>1954</v>
      </c>
      <c r="B41">
        <v>8</v>
      </c>
      <c r="C41" t="s">
        <v>883</v>
      </c>
      <c r="D41" s="82">
        <v>19972</v>
      </c>
      <c r="E41" t="s">
        <v>940</v>
      </c>
      <c r="F41" t="s">
        <v>2137</v>
      </c>
      <c r="G41">
        <v>45.615600000000001</v>
      </c>
      <c r="H41">
        <v>9.28111</v>
      </c>
      <c r="I41" t="s">
        <v>2026</v>
      </c>
      <c r="J41" t="s">
        <v>882</v>
      </c>
      <c r="K41" t="s">
        <v>884</v>
      </c>
      <c r="L41" t="s">
        <v>885</v>
      </c>
      <c r="M41" t="s">
        <v>886</v>
      </c>
    </row>
    <row r="42" spans="1:13">
      <c r="A42">
        <v>1954</v>
      </c>
      <c r="B42">
        <v>9</v>
      </c>
      <c r="C42" t="s">
        <v>900</v>
      </c>
      <c r="D42" s="82">
        <v>20021</v>
      </c>
      <c r="E42" t="s">
        <v>941</v>
      </c>
      <c r="F42" t="s">
        <v>2138</v>
      </c>
      <c r="G42">
        <v>41.390300000000003</v>
      </c>
      <c r="H42">
        <v>2.1166700000000001</v>
      </c>
      <c r="I42" t="s">
        <v>2028</v>
      </c>
      <c r="J42" t="s">
        <v>899</v>
      </c>
      <c r="K42" t="s">
        <v>901</v>
      </c>
      <c r="L42" t="s">
        <v>902</v>
      </c>
      <c r="M42" t="s">
        <v>903</v>
      </c>
    </row>
    <row r="43" spans="1:13">
      <c r="A43">
        <v>1955</v>
      </c>
      <c r="B43">
        <v>1</v>
      </c>
      <c r="C43" t="s">
        <v>922</v>
      </c>
      <c r="D43" s="82">
        <v>20105</v>
      </c>
      <c r="E43" t="s">
        <v>942</v>
      </c>
      <c r="F43" t="s">
        <v>2139</v>
      </c>
      <c r="G43">
        <v>-34.694299999999998</v>
      </c>
      <c r="H43">
        <v>-58.459299999999999</v>
      </c>
      <c r="I43" t="s">
        <v>2031</v>
      </c>
      <c r="J43" t="s">
        <v>921</v>
      </c>
      <c r="K43" t="s">
        <v>923</v>
      </c>
      <c r="L43" t="s">
        <v>253</v>
      </c>
      <c r="M43" t="s">
        <v>252</v>
      </c>
    </row>
    <row r="44" spans="1:13">
      <c r="A44">
        <v>1955</v>
      </c>
      <c r="B44">
        <v>2</v>
      </c>
      <c r="C44" t="s">
        <v>857</v>
      </c>
      <c r="D44" s="82">
        <v>20231</v>
      </c>
      <c r="E44" t="s">
        <v>943</v>
      </c>
      <c r="F44" t="s">
        <v>2140</v>
      </c>
      <c r="G44">
        <v>43.734699999999997</v>
      </c>
      <c r="H44">
        <v>7.42056</v>
      </c>
      <c r="I44" t="s">
        <v>2021</v>
      </c>
      <c r="J44" t="s">
        <v>856</v>
      </c>
      <c r="K44" t="s">
        <v>858</v>
      </c>
      <c r="L44" t="s">
        <v>859</v>
      </c>
      <c r="M44" t="s">
        <v>860</v>
      </c>
    </row>
    <row r="45" spans="1:13">
      <c r="A45">
        <v>1955</v>
      </c>
      <c r="B45">
        <v>3</v>
      </c>
      <c r="C45" t="s">
        <v>863</v>
      </c>
      <c r="D45" s="82">
        <v>20239</v>
      </c>
      <c r="E45" t="s">
        <v>944</v>
      </c>
      <c r="F45" t="s">
        <v>2141</v>
      </c>
      <c r="G45">
        <v>39.795000000000002</v>
      </c>
      <c r="H45">
        <v>-86.234700000000004</v>
      </c>
      <c r="I45" t="s">
        <v>2022</v>
      </c>
      <c r="J45" t="s">
        <v>862</v>
      </c>
      <c r="K45" t="s">
        <v>864</v>
      </c>
      <c r="L45" t="s">
        <v>865</v>
      </c>
      <c r="M45" t="s">
        <v>1010</v>
      </c>
    </row>
    <row r="46" spans="1:13">
      <c r="A46">
        <v>1955</v>
      </c>
      <c r="B46">
        <v>4</v>
      </c>
      <c r="C46" t="s">
        <v>873</v>
      </c>
      <c r="D46" s="82">
        <v>20245</v>
      </c>
      <c r="E46" t="s">
        <v>945</v>
      </c>
      <c r="F46" t="s">
        <v>2142</v>
      </c>
      <c r="G46">
        <v>50.437199999999997</v>
      </c>
      <c r="H46">
        <v>5.9713900000000004</v>
      </c>
      <c r="I46" t="s">
        <v>2024</v>
      </c>
      <c r="J46" t="s">
        <v>872</v>
      </c>
      <c r="K46" t="s">
        <v>874</v>
      </c>
      <c r="L46" t="s">
        <v>875</v>
      </c>
      <c r="M46" t="s">
        <v>244</v>
      </c>
    </row>
    <row r="47" spans="1:13">
      <c r="A47">
        <v>1955</v>
      </c>
      <c r="B47">
        <v>5</v>
      </c>
      <c r="C47" t="s">
        <v>915</v>
      </c>
      <c r="D47" s="82">
        <v>20259</v>
      </c>
      <c r="E47" t="s">
        <v>946</v>
      </c>
      <c r="F47" t="s">
        <v>2143</v>
      </c>
      <c r="G47">
        <v>52.388800000000003</v>
      </c>
      <c r="H47">
        <v>4.5409199999999998</v>
      </c>
      <c r="I47" t="s">
        <v>2030</v>
      </c>
      <c r="J47" t="s">
        <v>914</v>
      </c>
      <c r="K47" t="s">
        <v>916</v>
      </c>
      <c r="L47" t="s">
        <v>917</v>
      </c>
      <c r="M47" t="s">
        <v>918</v>
      </c>
    </row>
    <row r="48" spans="1:13">
      <c r="A48">
        <v>1955</v>
      </c>
      <c r="B48">
        <v>6</v>
      </c>
      <c r="C48" t="s">
        <v>947</v>
      </c>
      <c r="D48" s="82">
        <v>20286</v>
      </c>
      <c r="E48" t="s">
        <v>950</v>
      </c>
      <c r="F48" t="s">
        <v>2144</v>
      </c>
      <c r="G48">
        <v>53.476900000000001</v>
      </c>
      <c r="H48">
        <v>-2.9405600000000001</v>
      </c>
      <c r="I48" t="s">
        <v>2032</v>
      </c>
      <c r="J48" t="s">
        <v>850</v>
      </c>
      <c r="K48" t="s">
        <v>948</v>
      </c>
      <c r="L48" t="s">
        <v>949</v>
      </c>
      <c r="M48" t="s">
        <v>854</v>
      </c>
    </row>
    <row r="49" spans="1:13">
      <c r="A49">
        <v>1955</v>
      </c>
      <c r="B49">
        <v>7</v>
      </c>
      <c r="C49" t="s">
        <v>883</v>
      </c>
      <c r="D49" s="82">
        <v>20343</v>
      </c>
      <c r="E49" t="s">
        <v>951</v>
      </c>
      <c r="F49" t="s">
        <v>2145</v>
      </c>
      <c r="G49">
        <v>45.615600000000001</v>
      </c>
      <c r="H49">
        <v>9.28111</v>
      </c>
      <c r="I49" t="s">
        <v>2026</v>
      </c>
      <c r="J49" t="s">
        <v>882</v>
      </c>
      <c r="K49" t="s">
        <v>884</v>
      </c>
      <c r="L49" t="s">
        <v>885</v>
      </c>
      <c r="M49" t="s">
        <v>886</v>
      </c>
    </row>
    <row r="50" spans="1:13">
      <c r="A50">
        <v>1956</v>
      </c>
      <c r="B50">
        <v>1</v>
      </c>
      <c r="C50" t="s">
        <v>922</v>
      </c>
      <c r="D50" s="82">
        <v>20476</v>
      </c>
      <c r="E50" t="s">
        <v>952</v>
      </c>
      <c r="F50" t="s">
        <v>2146</v>
      </c>
      <c r="G50">
        <v>-34.694299999999998</v>
      </c>
      <c r="H50">
        <v>-58.459299999999999</v>
      </c>
      <c r="I50" t="s">
        <v>2031</v>
      </c>
      <c r="J50" t="s">
        <v>921</v>
      </c>
      <c r="K50" t="s">
        <v>923</v>
      </c>
      <c r="L50" t="s">
        <v>253</v>
      </c>
      <c r="M50" t="s">
        <v>252</v>
      </c>
    </row>
    <row r="51" spans="1:13">
      <c r="A51">
        <v>1956</v>
      </c>
      <c r="B51">
        <v>2</v>
      </c>
      <c r="C51" t="s">
        <v>857</v>
      </c>
      <c r="D51" s="82">
        <v>20588</v>
      </c>
      <c r="E51" t="s">
        <v>953</v>
      </c>
      <c r="F51" t="s">
        <v>2147</v>
      </c>
      <c r="G51">
        <v>43.734699999999997</v>
      </c>
      <c r="H51">
        <v>7.42056</v>
      </c>
      <c r="I51" t="s">
        <v>2021</v>
      </c>
      <c r="J51" t="s">
        <v>856</v>
      </c>
      <c r="K51" t="s">
        <v>858</v>
      </c>
      <c r="L51" t="s">
        <v>859</v>
      </c>
      <c r="M51" t="s">
        <v>860</v>
      </c>
    </row>
    <row r="52" spans="1:13">
      <c r="A52">
        <v>1956</v>
      </c>
      <c r="B52">
        <v>3</v>
      </c>
      <c r="C52" t="s">
        <v>863</v>
      </c>
      <c r="D52" s="82">
        <v>20605</v>
      </c>
      <c r="E52" t="s">
        <v>954</v>
      </c>
      <c r="F52" t="s">
        <v>2148</v>
      </c>
      <c r="G52">
        <v>39.795000000000002</v>
      </c>
      <c r="H52">
        <v>-86.234700000000004</v>
      </c>
      <c r="I52" t="s">
        <v>2022</v>
      </c>
      <c r="J52" t="s">
        <v>862</v>
      </c>
      <c r="K52" t="s">
        <v>864</v>
      </c>
      <c r="L52" t="s">
        <v>865</v>
      </c>
      <c r="M52" t="s">
        <v>1010</v>
      </c>
    </row>
    <row r="53" spans="1:13">
      <c r="A53">
        <v>1956</v>
      </c>
      <c r="B53">
        <v>4</v>
      </c>
      <c r="C53" t="s">
        <v>873</v>
      </c>
      <c r="D53" s="82">
        <v>20609</v>
      </c>
      <c r="E53" t="s">
        <v>955</v>
      </c>
      <c r="F53" t="s">
        <v>2149</v>
      </c>
      <c r="G53">
        <v>50.437199999999997</v>
      </c>
      <c r="H53">
        <v>5.9713900000000004</v>
      </c>
      <c r="I53" t="s">
        <v>2024</v>
      </c>
      <c r="J53" t="s">
        <v>872</v>
      </c>
      <c r="K53" t="s">
        <v>874</v>
      </c>
      <c r="L53" t="s">
        <v>875</v>
      </c>
      <c r="M53" t="s">
        <v>244</v>
      </c>
    </row>
    <row r="54" spans="1:13">
      <c r="A54">
        <v>1956</v>
      </c>
      <c r="B54">
        <v>5</v>
      </c>
      <c r="C54" t="s">
        <v>878</v>
      </c>
      <c r="D54" s="82">
        <v>20637</v>
      </c>
      <c r="E54" t="s">
        <v>956</v>
      </c>
      <c r="F54" t="s">
        <v>2150</v>
      </c>
      <c r="G54">
        <v>49.254199999999997</v>
      </c>
      <c r="H54">
        <v>3.9308299999999998</v>
      </c>
      <c r="I54" t="s">
        <v>2025</v>
      </c>
      <c r="J54" t="s">
        <v>877</v>
      </c>
      <c r="K54" t="s">
        <v>879</v>
      </c>
      <c r="L54" t="s">
        <v>880</v>
      </c>
      <c r="M54" t="s">
        <v>755</v>
      </c>
    </row>
    <row r="55" spans="1:13">
      <c r="A55">
        <v>1956</v>
      </c>
      <c r="B55">
        <v>6</v>
      </c>
      <c r="C55" t="s">
        <v>851</v>
      </c>
      <c r="D55" s="82">
        <v>20650</v>
      </c>
      <c r="E55" t="s">
        <v>957</v>
      </c>
      <c r="F55" t="s">
        <v>2151</v>
      </c>
      <c r="G55">
        <v>52.078600000000002</v>
      </c>
      <c r="H55">
        <v>-1.01694</v>
      </c>
      <c r="I55" t="s">
        <v>2020</v>
      </c>
      <c r="J55" t="s">
        <v>850</v>
      </c>
      <c r="K55" t="s">
        <v>852</v>
      </c>
      <c r="L55" t="s">
        <v>853</v>
      </c>
      <c r="M55" t="s">
        <v>854</v>
      </c>
    </row>
    <row r="56" spans="1:13">
      <c r="A56">
        <v>1956</v>
      </c>
      <c r="B56">
        <v>7</v>
      </c>
      <c r="C56" t="s">
        <v>894</v>
      </c>
      <c r="D56" s="82">
        <v>20672</v>
      </c>
      <c r="E56" t="s">
        <v>958</v>
      </c>
      <c r="F56" t="s">
        <v>2152</v>
      </c>
      <c r="G56">
        <v>50.335599999999999</v>
      </c>
      <c r="H56">
        <v>6.9474999999999998</v>
      </c>
      <c r="I56" t="s">
        <v>2027</v>
      </c>
      <c r="J56" t="s">
        <v>893</v>
      </c>
      <c r="K56" t="s">
        <v>895</v>
      </c>
      <c r="L56" t="s">
        <v>896</v>
      </c>
      <c r="M56" t="s">
        <v>761</v>
      </c>
    </row>
    <row r="57" spans="1:13">
      <c r="A57">
        <v>1956</v>
      </c>
      <c r="B57">
        <v>8</v>
      </c>
      <c r="C57" t="s">
        <v>883</v>
      </c>
      <c r="D57" s="82">
        <v>20700</v>
      </c>
      <c r="E57" t="s">
        <v>959</v>
      </c>
      <c r="F57" t="s">
        <v>2153</v>
      </c>
      <c r="G57">
        <v>45.615600000000001</v>
      </c>
      <c r="H57">
        <v>9.28111</v>
      </c>
      <c r="I57" t="s">
        <v>2026</v>
      </c>
      <c r="J57" t="s">
        <v>882</v>
      </c>
      <c r="K57" t="s">
        <v>884</v>
      </c>
      <c r="L57" t="s">
        <v>885</v>
      </c>
      <c r="M57" t="s">
        <v>886</v>
      </c>
    </row>
    <row r="58" spans="1:13">
      <c r="A58">
        <v>1957</v>
      </c>
      <c r="B58">
        <v>1</v>
      </c>
      <c r="C58" t="s">
        <v>922</v>
      </c>
      <c r="D58" s="82">
        <v>20833</v>
      </c>
      <c r="E58" t="s">
        <v>960</v>
      </c>
      <c r="F58" t="s">
        <v>2154</v>
      </c>
      <c r="G58">
        <v>-34.694299999999998</v>
      </c>
      <c r="H58">
        <v>-58.459299999999999</v>
      </c>
      <c r="I58" t="s">
        <v>2031</v>
      </c>
      <c r="J58" t="s">
        <v>921</v>
      </c>
      <c r="K58" t="s">
        <v>923</v>
      </c>
      <c r="L58" t="s">
        <v>253</v>
      </c>
      <c r="M58" t="s">
        <v>252</v>
      </c>
    </row>
    <row r="59" spans="1:13">
      <c r="A59">
        <v>1957</v>
      </c>
      <c r="B59">
        <v>2</v>
      </c>
      <c r="C59" t="s">
        <v>857</v>
      </c>
      <c r="D59" s="82">
        <v>20959</v>
      </c>
      <c r="E59" t="s">
        <v>961</v>
      </c>
      <c r="F59" t="s">
        <v>2155</v>
      </c>
      <c r="G59">
        <v>43.734699999999997</v>
      </c>
      <c r="H59">
        <v>7.42056</v>
      </c>
      <c r="I59" t="s">
        <v>2021</v>
      </c>
      <c r="J59" t="s">
        <v>856</v>
      </c>
      <c r="K59" t="s">
        <v>858</v>
      </c>
      <c r="L59" t="s">
        <v>859</v>
      </c>
      <c r="M59" t="s">
        <v>860</v>
      </c>
    </row>
    <row r="60" spans="1:13">
      <c r="A60">
        <v>1957</v>
      </c>
      <c r="B60">
        <v>3</v>
      </c>
      <c r="C60" t="s">
        <v>863</v>
      </c>
      <c r="D60" s="82">
        <v>20970</v>
      </c>
      <c r="E60" t="s">
        <v>962</v>
      </c>
      <c r="F60" t="s">
        <v>2156</v>
      </c>
      <c r="G60">
        <v>39.795000000000002</v>
      </c>
      <c r="H60">
        <v>-86.234700000000004</v>
      </c>
      <c r="I60" t="s">
        <v>2022</v>
      </c>
      <c r="J60" t="s">
        <v>862</v>
      </c>
      <c r="K60" t="s">
        <v>864</v>
      </c>
      <c r="L60" t="s">
        <v>865</v>
      </c>
      <c r="M60" t="s">
        <v>1010</v>
      </c>
    </row>
    <row r="61" spans="1:13">
      <c r="A61">
        <v>1957</v>
      </c>
      <c r="B61">
        <v>4</v>
      </c>
      <c r="C61" t="s">
        <v>908</v>
      </c>
      <c r="D61" s="82">
        <v>21008</v>
      </c>
      <c r="E61" t="s">
        <v>963</v>
      </c>
      <c r="F61" t="s">
        <v>2157</v>
      </c>
      <c r="G61">
        <v>49.330599999999997</v>
      </c>
      <c r="H61">
        <v>1.00458</v>
      </c>
      <c r="I61" t="s">
        <v>2029</v>
      </c>
      <c r="J61" t="s">
        <v>877</v>
      </c>
      <c r="K61" t="s">
        <v>909</v>
      </c>
      <c r="L61" t="s">
        <v>910</v>
      </c>
      <c r="M61" t="s">
        <v>755</v>
      </c>
    </row>
    <row r="62" spans="1:13">
      <c r="A62">
        <v>1957</v>
      </c>
      <c r="B62">
        <v>5</v>
      </c>
      <c r="C62" t="s">
        <v>947</v>
      </c>
      <c r="D62" s="82">
        <v>21021</v>
      </c>
      <c r="E62" t="s">
        <v>964</v>
      </c>
      <c r="F62" t="s">
        <v>2158</v>
      </c>
      <c r="G62">
        <v>53.476900000000001</v>
      </c>
      <c r="H62">
        <v>-2.9405600000000001</v>
      </c>
      <c r="I62" t="s">
        <v>2032</v>
      </c>
      <c r="J62" t="s">
        <v>850</v>
      </c>
      <c r="K62" t="s">
        <v>948</v>
      </c>
      <c r="L62" t="s">
        <v>949</v>
      </c>
      <c r="M62" t="s">
        <v>854</v>
      </c>
    </row>
    <row r="63" spans="1:13">
      <c r="A63">
        <v>1957</v>
      </c>
      <c r="B63">
        <v>6</v>
      </c>
      <c r="C63" t="s">
        <v>894</v>
      </c>
      <c r="D63" s="82">
        <v>21036</v>
      </c>
      <c r="E63" t="s">
        <v>965</v>
      </c>
      <c r="F63" t="s">
        <v>2159</v>
      </c>
      <c r="G63">
        <v>50.335599999999999</v>
      </c>
      <c r="H63">
        <v>6.9474999999999998</v>
      </c>
      <c r="I63" t="s">
        <v>2027</v>
      </c>
      <c r="J63" t="s">
        <v>893</v>
      </c>
      <c r="K63" t="s">
        <v>895</v>
      </c>
      <c r="L63" t="s">
        <v>896</v>
      </c>
      <c r="M63" t="s">
        <v>761</v>
      </c>
    </row>
    <row r="64" spans="1:13">
      <c r="A64">
        <v>1957</v>
      </c>
      <c r="B64">
        <v>7</v>
      </c>
      <c r="C64" t="s">
        <v>967</v>
      </c>
      <c r="D64" s="82">
        <v>21050</v>
      </c>
      <c r="E64" t="s">
        <v>970</v>
      </c>
      <c r="F64" t="s">
        <v>2160</v>
      </c>
      <c r="G64">
        <v>42.475000000000001</v>
      </c>
      <c r="H64">
        <v>14.1508</v>
      </c>
      <c r="I64" t="s">
        <v>2033</v>
      </c>
      <c r="J64" t="s">
        <v>966</v>
      </c>
      <c r="K64" t="s">
        <v>968</v>
      </c>
      <c r="L64" t="s">
        <v>969</v>
      </c>
      <c r="M64" t="s">
        <v>886</v>
      </c>
    </row>
    <row r="65" spans="1:13">
      <c r="A65">
        <v>1957</v>
      </c>
      <c r="B65">
        <v>8</v>
      </c>
      <c r="C65" t="s">
        <v>883</v>
      </c>
      <c r="D65" s="82">
        <v>21071</v>
      </c>
      <c r="E65" t="s">
        <v>971</v>
      </c>
      <c r="F65" t="s">
        <v>2161</v>
      </c>
      <c r="G65">
        <v>45.615600000000001</v>
      </c>
      <c r="H65">
        <v>9.28111</v>
      </c>
      <c r="I65" t="s">
        <v>2026</v>
      </c>
      <c r="J65" t="s">
        <v>882</v>
      </c>
      <c r="K65" t="s">
        <v>884</v>
      </c>
      <c r="L65" t="s">
        <v>885</v>
      </c>
      <c r="M65" t="s">
        <v>886</v>
      </c>
    </row>
    <row r="66" spans="1:13">
      <c r="A66">
        <v>1958</v>
      </c>
      <c r="B66">
        <v>1</v>
      </c>
      <c r="C66" t="s">
        <v>922</v>
      </c>
      <c r="D66" s="82">
        <v>21204</v>
      </c>
      <c r="E66" t="s">
        <v>972</v>
      </c>
      <c r="F66" t="s">
        <v>2162</v>
      </c>
      <c r="G66">
        <v>-34.694299999999998</v>
      </c>
      <c r="H66">
        <v>-58.459299999999999</v>
      </c>
      <c r="I66" t="s">
        <v>2031</v>
      </c>
      <c r="J66" t="s">
        <v>921</v>
      </c>
      <c r="K66" t="s">
        <v>923</v>
      </c>
      <c r="L66" t="s">
        <v>253</v>
      </c>
      <c r="M66" t="s">
        <v>252</v>
      </c>
    </row>
    <row r="67" spans="1:13">
      <c r="A67">
        <v>1958</v>
      </c>
      <c r="B67">
        <v>2</v>
      </c>
      <c r="C67" t="s">
        <v>857</v>
      </c>
      <c r="D67" s="82">
        <v>21323</v>
      </c>
      <c r="E67" t="s">
        <v>973</v>
      </c>
      <c r="F67" t="s">
        <v>2163</v>
      </c>
      <c r="G67">
        <v>43.734699999999997</v>
      </c>
      <c r="H67">
        <v>7.42056</v>
      </c>
      <c r="I67" t="s">
        <v>2021</v>
      </c>
      <c r="J67" t="s">
        <v>856</v>
      </c>
      <c r="K67" t="s">
        <v>858</v>
      </c>
      <c r="L67" t="s">
        <v>859</v>
      </c>
      <c r="M67" t="s">
        <v>860</v>
      </c>
    </row>
    <row r="68" spans="1:13">
      <c r="A68">
        <v>1958</v>
      </c>
      <c r="B68">
        <v>3</v>
      </c>
      <c r="C68" t="s">
        <v>915</v>
      </c>
      <c r="D68" s="82">
        <v>21331</v>
      </c>
      <c r="E68" t="s">
        <v>974</v>
      </c>
      <c r="F68" t="s">
        <v>2164</v>
      </c>
      <c r="G68">
        <v>52.388800000000003</v>
      </c>
      <c r="H68">
        <v>4.5409199999999998</v>
      </c>
      <c r="I68" t="s">
        <v>2030</v>
      </c>
      <c r="J68" t="s">
        <v>914</v>
      </c>
      <c r="K68" t="s">
        <v>916</v>
      </c>
      <c r="L68" t="s">
        <v>917</v>
      </c>
      <c r="M68" t="s">
        <v>918</v>
      </c>
    </row>
    <row r="69" spans="1:13">
      <c r="A69">
        <v>1958</v>
      </c>
      <c r="B69">
        <v>4</v>
      </c>
      <c r="C69" t="s">
        <v>863</v>
      </c>
      <c r="D69" s="82">
        <v>21335</v>
      </c>
      <c r="E69" t="s">
        <v>975</v>
      </c>
      <c r="F69" t="s">
        <v>2165</v>
      </c>
      <c r="G69">
        <v>39.795000000000002</v>
      </c>
      <c r="H69">
        <v>-86.234700000000004</v>
      </c>
      <c r="I69" t="s">
        <v>2022</v>
      </c>
      <c r="J69" t="s">
        <v>862</v>
      </c>
      <c r="K69" t="s">
        <v>864</v>
      </c>
      <c r="L69" t="s">
        <v>865</v>
      </c>
      <c r="M69" t="s">
        <v>1010</v>
      </c>
    </row>
    <row r="70" spans="1:13">
      <c r="A70">
        <v>1958</v>
      </c>
      <c r="B70">
        <v>5</v>
      </c>
      <c r="C70" t="s">
        <v>873</v>
      </c>
      <c r="D70" s="82">
        <v>21351</v>
      </c>
      <c r="E70" t="s">
        <v>976</v>
      </c>
      <c r="F70" t="s">
        <v>2166</v>
      </c>
      <c r="G70">
        <v>50.437199999999997</v>
      </c>
      <c r="H70">
        <v>5.9713900000000004</v>
      </c>
      <c r="I70" t="s">
        <v>2024</v>
      </c>
      <c r="J70" t="s">
        <v>872</v>
      </c>
      <c r="K70" t="s">
        <v>874</v>
      </c>
      <c r="L70" t="s">
        <v>875</v>
      </c>
      <c r="M70" t="s">
        <v>244</v>
      </c>
    </row>
    <row r="71" spans="1:13">
      <c r="A71">
        <v>1958</v>
      </c>
      <c r="B71">
        <v>6</v>
      </c>
      <c r="C71" t="s">
        <v>878</v>
      </c>
      <c r="D71" s="82">
        <v>21372</v>
      </c>
      <c r="E71" t="s">
        <v>977</v>
      </c>
      <c r="F71" t="s">
        <v>2167</v>
      </c>
      <c r="G71">
        <v>49.254199999999997</v>
      </c>
      <c r="H71">
        <v>3.9308299999999998</v>
      </c>
      <c r="I71" t="s">
        <v>2025</v>
      </c>
      <c r="J71" t="s">
        <v>877</v>
      </c>
      <c r="K71" t="s">
        <v>879</v>
      </c>
      <c r="L71" t="s">
        <v>880</v>
      </c>
      <c r="M71" t="s">
        <v>755</v>
      </c>
    </row>
    <row r="72" spans="1:13">
      <c r="A72">
        <v>1958</v>
      </c>
      <c r="B72">
        <v>7</v>
      </c>
      <c r="C72" t="s">
        <v>851</v>
      </c>
      <c r="D72" s="82">
        <v>21385</v>
      </c>
      <c r="E72" t="s">
        <v>978</v>
      </c>
      <c r="F72" t="s">
        <v>2168</v>
      </c>
      <c r="G72">
        <v>52.078600000000002</v>
      </c>
      <c r="H72">
        <v>-1.01694</v>
      </c>
      <c r="I72" t="s">
        <v>2020</v>
      </c>
      <c r="J72" t="s">
        <v>850</v>
      </c>
      <c r="K72" t="s">
        <v>852</v>
      </c>
      <c r="L72" t="s">
        <v>853</v>
      </c>
      <c r="M72" t="s">
        <v>854</v>
      </c>
    </row>
    <row r="73" spans="1:13">
      <c r="A73">
        <v>1958</v>
      </c>
      <c r="B73">
        <v>8</v>
      </c>
      <c r="C73" t="s">
        <v>894</v>
      </c>
      <c r="D73" s="82">
        <v>21400</v>
      </c>
      <c r="E73" t="s">
        <v>979</v>
      </c>
      <c r="F73" t="s">
        <v>2169</v>
      </c>
      <c r="G73">
        <v>50.335599999999999</v>
      </c>
      <c r="H73">
        <v>6.9474999999999998</v>
      </c>
      <c r="I73" t="s">
        <v>2027</v>
      </c>
      <c r="J73" t="s">
        <v>893</v>
      </c>
      <c r="K73" t="s">
        <v>895</v>
      </c>
      <c r="L73" t="s">
        <v>896</v>
      </c>
      <c r="M73" t="s">
        <v>761</v>
      </c>
    </row>
    <row r="74" spans="1:13">
      <c r="A74">
        <v>1958</v>
      </c>
      <c r="B74">
        <v>9</v>
      </c>
      <c r="C74" t="s">
        <v>981</v>
      </c>
      <c r="D74" s="82">
        <v>21421</v>
      </c>
      <c r="E74" t="s">
        <v>985</v>
      </c>
      <c r="F74" t="s">
        <v>2170</v>
      </c>
      <c r="G74">
        <v>41.170499999999997</v>
      </c>
      <c r="H74">
        <v>-8.6732499999999995</v>
      </c>
      <c r="I74" t="s">
        <v>2034</v>
      </c>
      <c r="J74" t="s">
        <v>980</v>
      </c>
      <c r="K74" t="s">
        <v>982</v>
      </c>
      <c r="L74" t="s">
        <v>983</v>
      </c>
      <c r="M74" t="s">
        <v>984</v>
      </c>
    </row>
    <row r="75" spans="1:13">
      <c r="A75">
        <v>1958</v>
      </c>
      <c r="B75">
        <v>10</v>
      </c>
      <c r="C75" t="s">
        <v>883</v>
      </c>
      <c r="D75" s="82">
        <v>21435</v>
      </c>
      <c r="E75" t="s">
        <v>986</v>
      </c>
      <c r="F75" t="s">
        <v>2171</v>
      </c>
      <c r="G75">
        <v>45.615600000000001</v>
      </c>
      <c r="H75">
        <v>9.28111</v>
      </c>
      <c r="I75" t="s">
        <v>2026</v>
      </c>
      <c r="J75" t="s">
        <v>882</v>
      </c>
      <c r="K75" t="s">
        <v>884</v>
      </c>
      <c r="L75" t="s">
        <v>885</v>
      </c>
      <c r="M75" t="s">
        <v>886</v>
      </c>
    </row>
    <row r="76" spans="1:13">
      <c r="A76">
        <v>1958</v>
      </c>
      <c r="B76">
        <v>11</v>
      </c>
      <c r="C76" t="s">
        <v>988</v>
      </c>
      <c r="D76" s="82">
        <v>21477</v>
      </c>
      <c r="E76" t="s">
        <v>992</v>
      </c>
      <c r="F76" t="s">
        <v>2172</v>
      </c>
      <c r="G76">
        <v>33.578600000000002</v>
      </c>
      <c r="H76">
        <v>-7.6875</v>
      </c>
      <c r="I76" t="s">
        <v>2035</v>
      </c>
      <c r="J76" t="s">
        <v>987</v>
      </c>
      <c r="K76" t="s">
        <v>989</v>
      </c>
      <c r="L76" t="s">
        <v>990</v>
      </c>
      <c r="M76" t="s">
        <v>991</v>
      </c>
    </row>
    <row r="77" spans="1:13">
      <c r="A77">
        <v>1959</v>
      </c>
      <c r="B77">
        <v>1</v>
      </c>
      <c r="C77" t="s">
        <v>857</v>
      </c>
      <c r="D77" s="82">
        <v>21680</v>
      </c>
      <c r="E77" t="s">
        <v>993</v>
      </c>
      <c r="F77" t="s">
        <v>2173</v>
      </c>
      <c r="G77">
        <v>43.734699999999997</v>
      </c>
      <c r="H77">
        <v>7.42056</v>
      </c>
      <c r="I77" t="s">
        <v>2021</v>
      </c>
      <c r="J77" t="s">
        <v>856</v>
      </c>
      <c r="K77" t="s">
        <v>858</v>
      </c>
      <c r="L77" t="s">
        <v>859</v>
      </c>
      <c r="M77" t="s">
        <v>860</v>
      </c>
    </row>
    <row r="78" spans="1:13">
      <c r="A78">
        <v>1959</v>
      </c>
      <c r="B78">
        <v>2</v>
      </c>
      <c r="C78" t="s">
        <v>863</v>
      </c>
      <c r="D78" s="82">
        <v>21700</v>
      </c>
      <c r="E78" t="s">
        <v>994</v>
      </c>
      <c r="F78" t="s">
        <v>2174</v>
      </c>
      <c r="G78">
        <v>39.795000000000002</v>
      </c>
      <c r="H78">
        <v>-86.234700000000004</v>
      </c>
      <c r="I78" t="s">
        <v>2022</v>
      </c>
      <c r="J78" t="s">
        <v>862</v>
      </c>
      <c r="K78" t="s">
        <v>864</v>
      </c>
      <c r="L78" t="s">
        <v>865</v>
      </c>
      <c r="M78" t="s">
        <v>1010</v>
      </c>
    </row>
    <row r="79" spans="1:13">
      <c r="A79">
        <v>1959</v>
      </c>
      <c r="B79">
        <v>3</v>
      </c>
      <c r="C79" t="s">
        <v>915</v>
      </c>
      <c r="D79" s="82">
        <v>21701</v>
      </c>
      <c r="E79" t="s">
        <v>995</v>
      </c>
      <c r="F79" t="s">
        <v>2175</v>
      </c>
      <c r="G79">
        <v>52.388800000000003</v>
      </c>
      <c r="H79">
        <v>4.5409199999999998</v>
      </c>
      <c r="I79" t="s">
        <v>2030</v>
      </c>
      <c r="J79" t="s">
        <v>914</v>
      </c>
      <c r="K79" t="s">
        <v>916</v>
      </c>
      <c r="L79" t="s">
        <v>917</v>
      </c>
      <c r="M79" t="s">
        <v>918</v>
      </c>
    </row>
    <row r="80" spans="1:13">
      <c r="A80">
        <v>1959</v>
      </c>
      <c r="B80">
        <v>4</v>
      </c>
      <c r="C80" t="s">
        <v>878</v>
      </c>
      <c r="D80" s="82">
        <v>21736</v>
      </c>
      <c r="E80" t="s">
        <v>996</v>
      </c>
      <c r="F80" t="s">
        <v>2176</v>
      </c>
      <c r="G80">
        <v>49.254199999999997</v>
      </c>
      <c r="H80">
        <v>3.9308299999999998</v>
      </c>
      <c r="I80" t="s">
        <v>2025</v>
      </c>
      <c r="J80" t="s">
        <v>877</v>
      </c>
      <c r="K80" t="s">
        <v>879</v>
      </c>
      <c r="L80" t="s">
        <v>880</v>
      </c>
      <c r="M80" t="s">
        <v>755</v>
      </c>
    </row>
    <row r="81" spans="1:13">
      <c r="A81">
        <v>1959</v>
      </c>
      <c r="B81">
        <v>5</v>
      </c>
      <c r="C81" t="s">
        <v>947</v>
      </c>
      <c r="D81" s="82">
        <v>21749</v>
      </c>
      <c r="E81" t="s">
        <v>997</v>
      </c>
      <c r="F81" t="s">
        <v>2177</v>
      </c>
      <c r="G81">
        <v>53.476900000000001</v>
      </c>
      <c r="H81">
        <v>-2.9405600000000001</v>
      </c>
      <c r="I81" t="s">
        <v>2032</v>
      </c>
      <c r="J81" t="s">
        <v>850</v>
      </c>
      <c r="K81" t="s">
        <v>948</v>
      </c>
      <c r="L81" t="s">
        <v>949</v>
      </c>
      <c r="M81" t="s">
        <v>854</v>
      </c>
    </row>
    <row r="82" spans="1:13">
      <c r="A82">
        <v>1959</v>
      </c>
      <c r="B82">
        <v>6</v>
      </c>
      <c r="C82" t="s">
        <v>998</v>
      </c>
      <c r="D82" s="82">
        <v>21764</v>
      </c>
      <c r="E82" t="s">
        <v>1000</v>
      </c>
      <c r="F82" t="s">
        <v>2178</v>
      </c>
      <c r="G82">
        <v>52.480600000000003</v>
      </c>
      <c r="H82">
        <v>13.2514</v>
      </c>
      <c r="I82" t="s">
        <v>2036</v>
      </c>
      <c r="J82" t="s">
        <v>893</v>
      </c>
      <c r="K82" t="s">
        <v>999</v>
      </c>
      <c r="L82" t="s">
        <v>762</v>
      </c>
      <c r="M82" t="s">
        <v>761</v>
      </c>
    </row>
    <row r="83" spans="1:13">
      <c r="A83">
        <v>1959</v>
      </c>
      <c r="B83">
        <v>7</v>
      </c>
      <c r="C83" t="s">
        <v>1001</v>
      </c>
      <c r="D83" s="82">
        <v>21785</v>
      </c>
      <c r="E83" t="s">
        <v>1004</v>
      </c>
      <c r="F83" t="s">
        <v>2179</v>
      </c>
      <c r="G83">
        <v>38.719700000000003</v>
      </c>
      <c r="H83">
        <v>-9.2030600000000007</v>
      </c>
      <c r="I83" t="s">
        <v>2037</v>
      </c>
      <c r="J83" t="s">
        <v>980</v>
      </c>
      <c r="K83" t="s">
        <v>1002</v>
      </c>
      <c r="L83" t="s">
        <v>1003</v>
      </c>
      <c r="M83" t="s">
        <v>984</v>
      </c>
    </row>
    <row r="84" spans="1:13">
      <c r="A84">
        <v>1959</v>
      </c>
      <c r="B84">
        <v>8</v>
      </c>
      <c r="C84" t="s">
        <v>883</v>
      </c>
      <c r="D84" s="82">
        <v>21806</v>
      </c>
      <c r="E84" t="s">
        <v>1005</v>
      </c>
      <c r="F84" t="s">
        <v>2180</v>
      </c>
      <c r="G84">
        <v>45.615600000000001</v>
      </c>
      <c r="H84">
        <v>9.28111</v>
      </c>
      <c r="I84" t="s">
        <v>2026</v>
      </c>
      <c r="J84" t="s">
        <v>882</v>
      </c>
      <c r="K84" t="s">
        <v>884</v>
      </c>
      <c r="L84" t="s">
        <v>885</v>
      </c>
      <c r="M84" t="s">
        <v>886</v>
      </c>
    </row>
    <row r="85" spans="1:13">
      <c r="A85">
        <v>1959</v>
      </c>
      <c r="B85">
        <v>9</v>
      </c>
      <c r="C85" t="s">
        <v>1007</v>
      </c>
      <c r="D85" s="82">
        <v>21896</v>
      </c>
      <c r="E85" t="s">
        <v>1011</v>
      </c>
      <c r="F85" t="s">
        <v>2181</v>
      </c>
      <c r="G85">
        <v>27.454699999999999</v>
      </c>
      <c r="H85">
        <v>-81.348299999999995</v>
      </c>
      <c r="I85" t="s">
        <v>2038</v>
      </c>
      <c r="J85" t="s">
        <v>1006</v>
      </c>
      <c r="K85" t="s">
        <v>1008</v>
      </c>
      <c r="L85" t="s">
        <v>1009</v>
      </c>
      <c r="M85" t="s">
        <v>1010</v>
      </c>
    </row>
    <row r="86" spans="1:13">
      <c r="A86">
        <v>1960</v>
      </c>
      <c r="B86">
        <v>1</v>
      </c>
      <c r="C86" t="s">
        <v>922</v>
      </c>
      <c r="D86" s="82">
        <v>21953</v>
      </c>
      <c r="E86" t="s">
        <v>1012</v>
      </c>
      <c r="F86" t="s">
        <v>2182</v>
      </c>
      <c r="G86">
        <v>-34.694299999999998</v>
      </c>
      <c r="H86">
        <v>-58.459299999999999</v>
      </c>
      <c r="I86" t="s">
        <v>2031</v>
      </c>
      <c r="J86" t="s">
        <v>921</v>
      </c>
      <c r="K86" t="s">
        <v>923</v>
      </c>
      <c r="L86" t="s">
        <v>253</v>
      </c>
      <c r="M86" t="s">
        <v>252</v>
      </c>
    </row>
    <row r="87" spans="1:13">
      <c r="A87">
        <v>1960</v>
      </c>
      <c r="B87">
        <v>2</v>
      </c>
      <c r="C87" t="s">
        <v>857</v>
      </c>
      <c r="D87" s="82">
        <v>22065</v>
      </c>
      <c r="E87" t="s">
        <v>1013</v>
      </c>
      <c r="F87" t="s">
        <v>2183</v>
      </c>
      <c r="G87">
        <v>43.734699999999997</v>
      </c>
      <c r="H87">
        <v>7.42056</v>
      </c>
      <c r="I87" t="s">
        <v>2021</v>
      </c>
      <c r="J87" t="s">
        <v>856</v>
      </c>
      <c r="K87" t="s">
        <v>858</v>
      </c>
      <c r="L87" t="s">
        <v>859</v>
      </c>
      <c r="M87" t="s">
        <v>860</v>
      </c>
    </row>
    <row r="88" spans="1:13">
      <c r="A88">
        <v>1960</v>
      </c>
      <c r="B88">
        <v>3</v>
      </c>
      <c r="C88" t="s">
        <v>863</v>
      </c>
      <c r="D88" s="82">
        <v>22066</v>
      </c>
      <c r="E88" t="s">
        <v>1014</v>
      </c>
      <c r="F88" t="s">
        <v>2184</v>
      </c>
      <c r="G88">
        <v>39.795000000000002</v>
      </c>
      <c r="H88">
        <v>-86.234700000000004</v>
      </c>
      <c r="I88" t="s">
        <v>2022</v>
      </c>
      <c r="J88" t="s">
        <v>862</v>
      </c>
      <c r="K88" t="s">
        <v>864</v>
      </c>
      <c r="L88" t="s">
        <v>865</v>
      </c>
      <c r="M88" t="s">
        <v>1010</v>
      </c>
    </row>
    <row r="89" spans="1:13">
      <c r="A89">
        <v>1960</v>
      </c>
      <c r="B89">
        <v>4</v>
      </c>
      <c r="C89" t="s">
        <v>915</v>
      </c>
      <c r="D89" s="82">
        <v>22073</v>
      </c>
      <c r="E89" t="s">
        <v>1015</v>
      </c>
      <c r="F89" t="s">
        <v>2185</v>
      </c>
      <c r="G89">
        <v>52.388800000000003</v>
      </c>
      <c r="H89">
        <v>4.5409199999999998</v>
      </c>
      <c r="I89" t="s">
        <v>2030</v>
      </c>
      <c r="J89" t="s">
        <v>914</v>
      </c>
      <c r="K89" t="s">
        <v>916</v>
      </c>
      <c r="L89" t="s">
        <v>917</v>
      </c>
      <c r="M89" t="s">
        <v>918</v>
      </c>
    </row>
    <row r="90" spans="1:13">
      <c r="A90">
        <v>1960</v>
      </c>
      <c r="B90">
        <v>5</v>
      </c>
      <c r="C90" t="s">
        <v>873</v>
      </c>
      <c r="D90" s="82">
        <v>22086</v>
      </c>
      <c r="E90" t="s">
        <v>1016</v>
      </c>
      <c r="F90" t="s">
        <v>2186</v>
      </c>
      <c r="G90">
        <v>50.437199999999997</v>
      </c>
      <c r="H90">
        <v>5.9713900000000004</v>
      </c>
      <c r="I90" t="s">
        <v>2024</v>
      </c>
      <c r="J90" t="s">
        <v>872</v>
      </c>
      <c r="K90" t="s">
        <v>874</v>
      </c>
      <c r="L90" t="s">
        <v>875</v>
      </c>
      <c r="M90" t="s">
        <v>244</v>
      </c>
    </row>
    <row r="91" spans="1:13">
      <c r="A91">
        <v>1960</v>
      </c>
      <c r="B91">
        <v>6</v>
      </c>
      <c r="C91" t="s">
        <v>878</v>
      </c>
      <c r="D91" s="82">
        <v>22100</v>
      </c>
      <c r="E91" t="s">
        <v>1017</v>
      </c>
      <c r="F91" t="s">
        <v>2187</v>
      </c>
      <c r="G91">
        <v>49.254199999999997</v>
      </c>
      <c r="H91">
        <v>3.9308299999999998</v>
      </c>
      <c r="I91" t="s">
        <v>2025</v>
      </c>
      <c r="J91" t="s">
        <v>877</v>
      </c>
      <c r="K91" t="s">
        <v>879</v>
      </c>
      <c r="L91" t="s">
        <v>880</v>
      </c>
      <c r="M91" t="s">
        <v>755</v>
      </c>
    </row>
    <row r="92" spans="1:13">
      <c r="A92">
        <v>1960</v>
      </c>
      <c r="B92">
        <v>7</v>
      </c>
      <c r="C92" t="s">
        <v>851</v>
      </c>
      <c r="D92" s="82">
        <v>22113</v>
      </c>
      <c r="E92" t="s">
        <v>1018</v>
      </c>
      <c r="F92" t="s">
        <v>2188</v>
      </c>
      <c r="G92">
        <v>52.078600000000002</v>
      </c>
      <c r="H92">
        <v>-1.01694</v>
      </c>
      <c r="I92" t="s">
        <v>2020</v>
      </c>
      <c r="J92" t="s">
        <v>850</v>
      </c>
      <c r="K92" t="s">
        <v>852</v>
      </c>
      <c r="L92" t="s">
        <v>853</v>
      </c>
      <c r="M92" t="s">
        <v>854</v>
      </c>
    </row>
    <row r="93" spans="1:13">
      <c r="A93">
        <v>1960</v>
      </c>
      <c r="B93">
        <v>8</v>
      </c>
      <c r="C93" t="s">
        <v>981</v>
      </c>
      <c r="D93" s="82">
        <v>22142</v>
      </c>
      <c r="E93" t="s">
        <v>1019</v>
      </c>
      <c r="F93" t="s">
        <v>2189</v>
      </c>
      <c r="G93">
        <v>41.170499999999997</v>
      </c>
      <c r="H93">
        <v>-8.6732499999999995</v>
      </c>
      <c r="I93" t="s">
        <v>2034</v>
      </c>
      <c r="J93" t="s">
        <v>980</v>
      </c>
      <c r="K93" t="s">
        <v>982</v>
      </c>
      <c r="L93" t="s">
        <v>983</v>
      </c>
      <c r="M93" t="s">
        <v>984</v>
      </c>
    </row>
    <row r="94" spans="1:13">
      <c r="A94">
        <v>1960</v>
      </c>
      <c r="B94">
        <v>9</v>
      </c>
      <c r="C94" t="s">
        <v>883</v>
      </c>
      <c r="D94" s="82">
        <v>22163</v>
      </c>
      <c r="E94" t="s">
        <v>1020</v>
      </c>
      <c r="F94" t="s">
        <v>2190</v>
      </c>
      <c r="G94">
        <v>45.615600000000001</v>
      </c>
      <c r="H94">
        <v>9.28111</v>
      </c>
      <c r="I94" t="s">
        <v>2026</v>
      </c>
      <c r="J94" t="s">
        <v>882</v>
      </c>
      <c r="K94" t="s">
        <v>884</v>
      </c>
      <c r="L94" t="s">
        <v>885</v>
      </c>
      <c r="M94" t="s">
        <v>886</v>
      </c>
    </row>
    <row r="95" spans="1:13">
      <c r="A95">
        <v>1960</v>
      </c>
      <c r="B95">
        <v>10</v>
      </c>
      <c r="C95" t="s">
        <v>1021</v>
      </c>
      <c r="D95" s="82">
        <v>22240</v>
      </c>
      <c r="E95" t="s">
        <v>1023</v>
      </c>
      <c r="F95" t="s">
        <v>2191</v>
      </c>
      <c r="G95">
        <v>33.936999999999998</v>
      </c>
      <c r="H95">
        <v>-117.273</v>
      </c>
      <c r="I95" t="s">
        <v>2039</v>
      </c>
      <c r="J95" t="s">
        <v>1006</v>
      </c>
      <c r="K95" t="s">
        <v>1022</v>
      </c>
      <c r="L95" t="s">
        <v>77</v>
      </c>
      <c r="M95" t="s">
        <v>1010</v>
      </c>
    </row>
    <row r="96" spans="1:13">
      <c r="A96">
        <v>1961</v>
      </c>
      <c r="B96">
        <v>1</v>
      </c>
      <c r="C96" t="s">
        <v>857</v>
      </c>
      <c r="D96" s="82">
        <v>22415</v>
      </c>
      <c r="E96" t="s">
        <v>1024</v>
      </c>
      <c r="F96" t="s">
        <v>2192</v>
      </c>
      <c r="G96">
        <v>43.734699999999997</v>
      </c>
      <c r="H96">
        <v>7.42056</v>
      </c>
      <c r="I96" t="s">
        <v>2021</v>
      </c>
      <c r="J96" t="s">
        <v>856</v>
      </c>
      <c r="K96" t="s">
        <v>858</v>
      </c>
      <c r="L96" t="s">
        <v>859</v>
      </c>
      <c r="M96" t="s">
        <v>860</v>
      </c>
    </row>
    <row r="97" spans="1:13">
      <c r="A97">
        <v>1961</v>
      </c>
      <c r="B97">
        <v>2</v>
      </c>
      <c r="C97" t="s">
        <v>915</v>
      </c>
      <c r="D97" s="82">
        <v>22423</v>
      </c>
      <c r="E97" t="s">
        <v>1025</v>
      </c>
      <c r="F97" t="s">
        <v>2193</v>
      </c>
      <c r="G97">
        <v>52.388800000000003</v>
      </c>
      <c r="H97">
        <v>4.5409199999999998</v>
      </c>
      <c r="I97" t="s">
        <v>2030</v>
      </c>
      <c r="J97" t="s">
        <v>914</v>
      </c>
      <c r="K97" t="s">
        <v>916</v>
      </c>
      <c r="L97" t="s">
        <v>917</v>
      </c>
      <c r="M97" t="s">
        <v>918</v>
      </c>
    </row>
    <row r="98" spans="1:13">
      <c r="A98">
        <v>1961</v>
      </c>
      <c r="B98">
        <v>3</v>
      </c>
      <c r="C98" t="s">
        <v>873</v>
      </c>
      <c r="D98" s="82">
        <v>22450</v>
      </c>
      <c r="E98" t="s">
        <v>1026</v>
      </c>
      <c r="F98" t="s">
        <v>2194</v>
      </c>
      <c r="G98">
        <v>50.437199999999997</v>
      </c>
      <c r="H98">
        <v>5.9713900000000004</v>
      </c>
      <c r="I98" t="s">
        <v>2024</v>
      </c>
      <c r="J98" t="s">
        <v>872</v>
      </c>
      <c r="K98" t="s">
        <v>874</v>
      </c>
      <c r="L98" t="s">
        <v>875</v>
      </c>
      <c r="M98" t="s">
        <v>244</v>
      </c>
    </row>
    <row r="99" spans="1:13">
      <c r="A99">
        <v>1961</v>
      </c>
      <c r="B99">
        <v>4</v>
      </c>
      <c r="C99" t="s">
        <v>878</v>
      </c>
      <c r="D99" s="82">
        <v>22464</v>
      </c>
      <c r="E99" t="s">
        <v>1027</v>
      </c>
      <c r="F99" t="s">
        <v>2195</v>
      </c>
      <c r="G99">
        <v>49.254199999999997</v>
      </c>
      <c r="H99">
        <v>3.9308299999999998</v>
      </c>
      <c r="I99" t="s">
        <v>2025</v>
      </c>
      <c r="J99" t="s">
        <v>877</v>
      </c>
      <c r="K99" t="s">
        <v>879</v>
      </c>
      <c r="L99" t="s">
        <v>880</v>
      </c>
      <c r="M99" t="s">
        <v>755</v>
      </c>
    </row>
    <row r="100" spans="1:13">
      <c r="A100">
        <v>1961</v>
      </c>
      <c r="B100">
        <v>5</v>
      </c>
      <c r="C100" t="s">
        <v>947</v>
      </c>
      <c r="D100" s="82">
        <v>22477</v>
      </c>
      <c r="E100" t="s">
        <v>1028</v>
      </c>
      <c r="F100" t="s">
        <v>2196</v>
      </c>
      <c r="G100">
        <v>53.476900000000001</v>
      </c>
      <c r="H100">
        <v>-2.9405600000000001</v>
      </c>
      <c r="I100" t="s">
        <v>2032</v>
      </c>
      <c r="J100" t="s">
        <v>850</v>
      </c>
      <c r="K100" t="s">
        <v>948</v>
      </c>
      <c r="L100" t="s">
        <v>949</v>
      </c>
      <c r="M100" t="s">
        <v>854</v>
      </c>
    </row>
    <row r="101" spans="1:13">
      <c r="A101">
        <v>1961</v>
      </c>
      <c r="B101">
        <v>6</v>
      </c>
      <c r="C101" t="s">
        <v>894</v>
      </c>
      <c r="D101" s="82">
        <v>22499</v>
      </c>
      <c r="E101" t="s">
        <v>1029</v>
      </c>
      <c r="F101" t="s">
        <v>2197</v>
      </c>
      <c r="G101">
        <v>50.335599999999999</v>
      </c>
      <c r="H101">
        <v>6.9474999999999998</v>
      </c>
      <c r="I101" t="s">
        <v>2027</v>
      </c>
      <c r="J101" t="s">
        <v>893</v>
      </c>
      <c r="K101" t="s">
        <v>895</v>
      </c>
      <c r="L101" t="s">
        <v>896</v>
      </c>
      <c r="M101" t="s">
        <v>761</v>
      </c>
    </row>
    <row r="102" spans="1:13">
      <c r="A102">
        <v>1961</v>
      </c>
      <c r="B102">
        <v>7</v>
      </c>
      <c r="C102" t="s">
        <v>883</v>
      </c>
      <c r="D102" s="82">
        <v>22534</v>
      </c>
      <c r="E102" t="s">
        <v>1030</v>
      </c>
      <c r="F102" t="s">
        <v>2198</v>
      </c>
      <c r="G102">
        <v>45.615600000000001</v>
      </c>
      <c r="H102">
        <v>9.28111</v>
      </c>
      <c r="I102" t="s">
        <v>2026</v>
      </c>
      <c r="J102" t="s">
        <v>882</v>
      </c>
      <c r="K102" t="s">
        <v>884</v>
      </c>
      <c r="L102" t="s">
        <v>885</v>
      </c>
      <c r="M102" t="s">
        <v>886</v>
      </c>
    </row>
    <row r="103" spans="1:13">
      <c r="A103">
        <v>1961</v>
      </c>
      <c r="B103">
        <v>8</v>
      </c>
      <c r="C103" t="s">
        <v>1031</v>
      </c>
      <c r="D103" s="82">
        <v>22562</v>
      </c>
      <c r="E103" t="s">
        <v>1033</v>
      </c>
      <c r="F103" t="s">
        <v>2199</v>
      </c>
      <c r="G103">
        <v>42.3369</v>
      </c>
      <c r="H103">
        <v>-76.927199999999999</v>
      </c>
      <c r="I103" t="s">
        <v>2040</v>
      </c>
      <c r="J103" t="s">
        <v>1006</v>
      </c>
      <c r="K103" t="s">
        <v>1032</v>
      </c>
      <c r="L103" t="s">
        <v>752</v>
      </c>
      <c r="M103" t="s">
        <v>1010</v>
      </c>
    </row>
    <row r="104" spans="1:13">
      <c r="A104">
        <v>1962</v>
      </c>
      <c r="B104">
        <v>1</v>
      </c>
      <c r="C104" t="s">
        <v>915</v>
      </c>
      <c r="D104" s="82">
        <v>22786</v>
      </c>
      <c r="E104" t="s">
        <v>1034</v>
      </c>
      <c r="F104" t="s">
        <v>2200</v>
      </c>
      <c r="G104">
        <v>52.388800000000003</v>
      </c>
      <c r="H104">
        <v>4.5409199999999998</v>
      </c>
      <c r="I104" t="s">
        <v>2030</v>
      </c>
      <c r="J104" t="s">
        <v>914</v>
      </c>
      <c r="K104" t="s">
        <v>916</v>
      </c>
      <c r="L104" t="s">
        <v>917</v>
      </c>
      <c r="M104" t="s">
        <v>918</v>
      </c>
    </row>
    <row r="105" spans="1:13">
      <c r="A105">
        <v>1962</v>
      </c>
      <c r="B105">
        <v>2</v>
      </c>
      <c r="C105" t="s">
        <v>857</v>
      </c>
      <c r="D105" s="82">
        <v>22800</v>
      </c>
      <c r="E105" t="s">
        <v>1035</v>
      </c>
      <c r="F105" t="s">
        <v>2201</v>
      </c>
      <c r="G105">
        <v>43.734699999999997</v>
      </c>
      <c r="H105">
        <v>7.42056</v>
      </c>
      <c r="I105" t="s">
        <v>2021</v>
      </c>
      <c r="J105" t="s">
        <v>856</v>
      </c>
      <c r="K105" t="s">
        <v>858</v>
      </c>
      <c r="L105" t="s">
        <v>859</v>
      </c>
      <c r="M105" t="s">
        <v>860</v>
      </c>
    </row>
    <row r="106" spans="1:13">
      <c r="A106">
        <v>1962</v>
      </c>
      <c r="B106">
        <v>3</v>
      </c>
      <c r="C106" t="s">
        <v>873</v>
      </c>
      <c r="D106" s="82">
        <v>22814</v>
      </c>
      <c r="E106" t="s">
        <v>1036</v>
      </c>
      <c r="F106" t="s">
        <v>2202</v>
      </c>
      <c r="G106">
        <v>50.437199999999997</v>
      </c>
      <c r="H106">
        <v>5.9713900000000004</v>
      </c>
      <c r="I106" t="s">
        <v>2024</v>
      </c>
      <c r="J106" t="s">
        <v>872</v>
      </c>
      <c r="K106" t="s">
        <v>874</v>
      </c>
      <c r="L106" t="s">
        <v>875</v>
      </c>
      <c r="M106" t="s">
        <v>244</v>
      </c>
    </row>
    <row r="107" spans="1:13">
      <c r="A107">
        <v>1962</v>
      </c>
      <c r="B107">
        <v>4</v>
      </c>
      <c r="C107" t="s">
        <v>908</v>
      </c>
      <c r="D107" s="82">
        <v>22835</v>
      </c>
      <c r="E107" t="s">
        <v>1037</v>
      </c>
      <c r="F107" t="s">
        <v>2203</v>
      </c>
      <c r="G107">
        <v>49.330599999999997</v>
      </c>
      <c r="H107">
        <v>1.00458</v>
      </c>
      <c r="I107" t="s">
        <v>2029</v>
      </c>
      <c r="J107" t="s">
        <v>877</v>
      </c>
      <c r="K107" t="s">
        <v>909</v>
      </c>
      <c r="L107" t="s">
        <v>910</v>
      </c>
      <c r="M107" t="s">
        <v>755</v>
      </c>
    </row>
    <row r="108" spans="1:13">
      <c r="A108">
        <v>1962</v>
      </c>
      <c r="B108">
        <v>5</v>
      </c>
      <c r="C108" t="s">
        <v>947</v>
      </c>
      <c r="D108" s="82">
        <v>22848</v>
      </c>
      <c r="E108" t="s">
        <v>1038</v>
      </c>
      <c r="F108" t="s">
        <v>2204</v>
      </c>
      <c r="G108">
        <v>53.476900000000001</v>
      </c>
      <c r="H108">
        <v>-2.9405600000000001</v>
      </c>
      <c r="I108" t="s">
        <v>2032</v>
      </c>
      <c r="J108" t="s">
        <v>850</v>
      </c>
      <c r="K108" t="s">
        <v>948</v>
      </c>
      <c r="L108" t="s">
        <v>949</v>
      </c>
      <c r="M108" t="s">
        <v>854</v>
      </c>
    </row>
    <row r="109" spans="1:13">
      <c r="A109">
        <v>1962</v>
      </c>
      <c r="B109">
        <v>6</v>
      </c>
      <c r="C109" t="s">
        <v>894</v>
      </c>
      <c r="D109" s="82">
        <v>22863</v>
      </c>
      <c r="E109" t="s">
        <v>1039</v>
      </c>
      <c r="F109" t="s">
        <v>2205</v>
      </c>
      <c r="G109">
        <v>50.335599999999999</v>
      </c>
      <c r="H109">
        <v>6.9474999999999998</v>
      </c>
      <c r="I109" t="s">
        <v>2027</v>
      </c>
      <c r="J109" t="s">
        <v>893</v>
      </c>
      <c r="K109" t="s">
        <v>895</v>
      </c>
      <c r="L109" t="s">
        <v>896</v>
      </c>
      <c r="M109" t="s">
        <v>761</v>
      </c>
    </row>
    <row r="110" spans="1:13">
      <c r="A110">
        <v>1962</v>
      </c>
      <c r="B110">
        <v>7</v>
      </c>
      <c r="C110" t="s">
        <v>883</v>
      </c>
      <c r="D110" s="82">
        <v>22905</v>
      </c>
      <c r="E110" t="s">
        <v>1040</v>
      </c>
      <c r="F110" t="s">
        <v>2206</v>
      </c>
      <c r="G110">
        <v>45.615600000000001</v>
      </c>
      <c r="H110">
        <v>9.28111</v>
      </c>
      <c r="I110" t="s">
        <v>2026</v>
      </c>
      <c r="J110" t="s">
        <v>882</v>
      </c>
      <c r="K110" t="s">
        <v>884</v>
      </c>
      <c r="L110" t="s">
        <v>885</v>
      </c>
      <c r="M110" t="s">
        <v>886</v>
      </c>
    </row>
    <row r="111" spans="1:13">
      <c r="A111">
        <v>1962</v>
      </c>
      <c r="B111">
        <v>8</v>
      </c>
      <c r="C111" t="s">
        <v>1031</v>
      </c>
      <c r="D111" s="82">
        <v>22926</v>
      </c>
      <c r="E111" t="s">
        <v>1041</v>
      </c>
      <c r="F111" t="s">
        <v>2207</v>
      </c>
      <c r="G111">
        <v>42.3369</v>
      </c>
      <c r="H111">
        <v>-76.927199999999999</v>
      </c>
      <c r="I111" t="s">
        <v>2040</v>
      </c>
      <c r="J111" t="s">
        <v>1006</v>
      </c>
      <c r="K111" t="s">
        <v>1032</v>
      </c>
      <c r="L111" t="s">
        <v>752</v>
      </c>
      <c r="M111" t="s">
        <v>1010</v>
      </c>
    </row>
    <row r="112" spans="1:13">
      <c r="A112">
        <v>1962</v>
      </c>
      <c r="B112">
        <v>9</v>
      </c>
      <c r="C112" t="s">
        <v>1043</v>
      </c>
      <c r="D112" s="82">
        <v>23009</v>
      </c>
      <c r="E112" t="s">
        <v>1047</v>
      </c>
      <c r="F112" t="s">
        <v>2208</v>
      </c>
      <c r="G112">
        <v>-33.0486</v>
      </c>
      <c r="H112">
        <v>27.8736</v>
      </c>
      <c r="I112" t="s">
        <v>2041</v>
      </c>
      <c r="J112" t="s">
        <v>1042</v>
      </c>
      <c r="K112" t="s">
        <v>1044</v>
      </c>
      <c r="L112" t="s">
        <v>1045</v>
      </c>
      <c r="M112" t="s">
        <v>1046</v>
      </c>
    </row>
    <row r="113" spans="1:13">
      <c r="A113">
        <v>1963</v>
      </c>
      <c r="B113">
        <v>1</v>
      </c>
      <c r="C113" t="s">
        <v>857</v>
      </c>
      <c r="D113" s="82">
        <v>23157</v>
      </c>
      <c r="E113" t="s">
        <v>1048</v>
      </c>
      <c r="F113" t="s">
        <v>2209</v>
      </c>
      <c r="G113">
        <v>43.734699999999997</v>
      </c>
      <c r="H113">
        <v>7.42056</v>
      </c>
      <c r="I113" t="s">
        <v>2021</v>
      </c>
      <c r="J113" t="s">
        <v>856</v>
      </c>
      <c r="K113" t="s">
        <v>858</v>
      </c>
      <c r="L113" t="s">
        <v>859</v>
      </c>
      <c r="M113" t="s">
        <v>860</v>
      </c>
    </row>
    <row r="114" spans="1:13">
      <c r="A114">
        <v>1963</v>
      </c>
      <c r="B114">
        <v>2</v>
      </c>
      <c r="C114" t="s">
        <v>873</v>
      </c>
      <c r="D114" s="82">
        <v>23171</v>
      </c>
      <c r="E114" t="s">
        <v>1049</v>
      </c>
      <c r="F114" t="s">
        <v>2210</v>
      </c>
      <c r="G114">
        <v>50.437199999999997</v>
      </c>
      <c r="H114">
        <v>5.9713900000000004</v>
      </c>
      <c r="I114" t="s">
        <v>2024</v>
      </c>
      <c r="J114" t="s">
        <v>872</v>
      </c>
      <c r="K114" t="s">
        <v>874</v>
      </c>
      <c r="L114" t="s">
        <v>875</v>
      </c>
      <c r="M114" t="s">
        <v>244</v>
      </c>
    </row>
    <row r="115" spans="1:13">
      <c r="A115">
        <v>1963</v>
      </c>
      <c r="B115">
        <v>3</v>
      </c>
      <c r="C115" t="s">
        <v>915</v>
      </c>
      <c r="D115" s="82">
        <v>23185</v>
      </c>
      <c r="E115" t="s">
        <v>1050</v>
      </c>
      <c r="F115" t="s">
        <v>2211</v>
      </c>
      <c r="G115">
        <v>52.388800000000003</v>
      </c>
      <c r="H115">
        <v>4.5409199999999998</v>
      </c>
      <c r="I115" t="s">
        <v>2030</v>
      </c>
      <c r="J115" t="s">
        <v>914</v>
      </c>
      <c r="K115" t="s">
        <v>916</v>
      </c>
      <c r="L115" t="s">
        <v>917</v>
      </c>
      <c r="M115" t="s">
        <v>918</v>
      </c>
    </row>
    <row r="116" spans="1:13">
      <c r="A116">
        <v>1963</v>
      </c>
      <c r="B116">
        <v>4</v>
      </c>
      <c r="C116" t="s">
        <v>878</v>
      </c>
      <c r="D116" s="82">
        <v>23192</v>
      </c>
      <c r="E116" t="s">
        <v>1051</v>
      </c>
      <c r="F116" t="s">
        <v>2212</v>
      </c>
      <c r="G116">
        <v>49.254199999999997</v>
      </c>
      <c r="H116">
        <v>3.9308299999999998</v>
      </c>
      <c r="I116" t="s">
        <v>2025</v>
      </c>
      <c r="J116" t="s">
        <v>877</v>
      </c>
      <c r="K116" t="s">
        <v>879</v>
      </c>
      <c r="L116" t="s">
        <v>880</v>
      </c>
      <c r="M116" t="s">
        <v>755</v>
      </c>
    </row>
    <row r="117" spans="1:13">
      <c r="A117">
        <v>1963</v>
      </c>
      <c r="B117">
        <v>5</v>
      </c>
      <c r="C117" t="s">
        <v>851</v>
      </c>
      <c r="D117" s="82">
        <v>23212</v>
      </c>
      <c r="E117" t="s">
        <v>1052</v>
      </c>
      <c r="F117" t="s">
        <v>2213</v>
      </c>
      <c r="G117">
        <v>52.078600000000002</v>
      </c>
      <c r="H117">
        <v>-1.01694</v>
      </c>
      <c r="I117" t="s">
        <v>2020</v>
      </c>
      <c r="J117" t="s">
        <v>850</v>
      </c>
      <c r="K117" t="s">
        <v>852</v>
      </c>
      <c r="L117" t="s">
        <v>853</v>
      </c>
      <c r="M117" t="s">
        <v>854</v>
      </c>
    </row>
    <row r="118" spans="1:13">
      <c r="A118">
        <v>1963</v>
      </c>
      <c r="B118">
        <v>6</v>
      </c>
      <c r="C118" t="s">
        <v>894</v>
      </c>
      <c r="D118" s="82">
        <v>23227</v>
      </c>
      <c r="E118" t="s">
        <v>1053</v>
      </c>
      <c r="F118" t="s">
        <v>2214</v>
      </c>
      <c r="G118">
        <v>50.335599999999999</v>
      </c>
      <c r="H118">
        <v>6.9474999999999998</v>
      </c>
      <c r="I118" t="s">
        <v>2027</v>
      </c>
      <c r="J118" t="s">
        <v>893</v>
      </c>
      <c r="K118" t="s">
        <v>895</v>
      </c>
      <c r="L118" t="s">
        <v>896</v>
      </c>
      <c r="M118" t="s">
        <v>761</v>
      </c>
    </row>
    <row r="119" spans="1:13">
      <c r="A119">
        <v>1963</v>
      </c>
      <c r="B119">
        <v>7</v>
      </c>
      <c r="C119" t="s">
        <v>883</v>
      </c>
      <c r="D119" s="82">
        <v>23262</v>
      </c>
      <c r="E119" t="s">
        <v>1054</v>
      </c>
      <c r="F119" t="s">
        <v>2215</v>
      </c>
      <c r="G119">
        <v>45.615600000000001</v>
      </c>
      <c r="H119">
        <v>9.28111</v>
      </c>
      <c r="I119" t="s">
        <v>2026</v>
      </c>
      <c r="J119" t="s">
        <v>882</v>
      </c>
      <c r="K119" t="s">
        <v>884</v>
      </c>
      <c r="L119" t="s">
        <v>885</v>
      </c>
      <c r="M119" t="s">
        <v>886</v>
      </c>
    </row>
    <row r="120" spans="1:13">
      <c r="A120">
        <v>1963</v>
      </c>
      <c r="B120">
        <v>8</v>
      </c>
      <c r="C120" t="s">
        <v>1031</v>
      </c>
      <c r="D120" s="82">
        <v>23290</v>
      </c>
      <c r="E120" t="s">
        <v>1055</v>
      </c>
      <c r="F120" t="s">
        <v>2216</v>
      </c>
      <c r="G120">
        <v>42.3369</v>
      </c>
      <c r="H120">
        <v>-76.927199999999999</v>
      </c>
      <c r="I120" t="s">
        <v>2040</v>
      </c>
      <c r="J120" t="s">
        <v>1006</v>
      </c>
      <c r="K120" t="s">
        <v>1032</v>
      </c>
      <c r="L120" t="s">
        <v>752</v>
      </c>
      <c r="M120" t="s">
        <v>1010</v>
      </c>
    </row>
    <row r="121" spans="1:13">
      <c r="A121">
        <v>1963</v>
      </c>
      <c r="B121">
        <v>9</v>
      </c>
      <c r="C121" t="s">
        <v>1057</v>
      </c>
      <c r="D121" s="82">
        <v>23311</v>
      </c>
      <c r="E121" t="s">
        <v>1061</v>
      </c>
      <c r="F121" t="s">
        <v>2217</v>
      </c>
      <c r="G121">
        <v>19.432700000000001</v>
      </c>
      <c r="H121">
        <v>-99.133300000000006</v>
      </c>
      <c r="I121" t="s">
        <v>2042</v>
      </c>
      <c r="J121" t="s">
        <v>1056</v>
      </c>
      <c r="K121" t="s">
        <v>1058</v>
      </c>
      <c r="L121" t="s">
        <v>1059</v>
      </c>
      <c r="M121" t="s">
        <v>1060</v>
      </c>
    </row>
    <row r="122" spans="1:13">
      <c r="A122">
        <v>1963</v>
      </c>
      <c r="B122">
        <v>10</v>
      </c>
      <c r="C122" t="s">
        <v>1043</v>
      </c>
      <c r="D122" s="82">
        <v>23373</v>
      </c>
      <c r="E122" t="s">
        <v>1062</v>
      </c>
      <c r="F122" t="s">
        <v>2218</v>
      </c>
      <c r="G122">
        <v>-33.0486</v>
      </c>
      <c r="H122">
        <v>27.8736</v>
      </c>
      <c r="I122" t="s">
        <v>2041</v>
      </c>
      <c r="J122" t="s">
        <v>1042</v>
      </c>
      <c r="K122" t="s">
        <v>1044</v>
      </c>
      <c r="L122" t="s">
        <v>1045</v>
      </c>
      <c r="M122" t="s">
        <v>1046</v>
      </c>
    </row>
    <row r="123" spans="1:13">
      <c r="A123">
        <v>1964</v>
      </c>
      <c r="B123">
        <v>1</v>
      </c>
      <c r="C123" t="s">
        <v>857</v>
      </c>
      <c r="D123" s="82">
        <v>23507</v>
      </c>
      <c r="E123" t="s">
        <v>1063</v>
      </c>
      <c r="F123" t="s">
        <v>2219</v>
      </c>
      <c r="G123">
        <v>43.734699999999997</v>
      </c>
      <c r="H123">
        <v>7.42056</v>
      </c>
      <c r="I123" t="s">
        <v>2021</v>
      </c>
      <c r="J123" t="s">
        <v>856</v>
      </c>
      <c r="K123" t="s">
        <v>858</v>
      </c>
      <c r="L123" t="s">
        <v>859</v>
      </c>
      <c r="M123" t="s">
        <v>860</v>
      </c>
    </row>
    <row r="124" spans="1:13">
      <c r="A124">
        <v>1964</v>
      </c>
      <c r="B124">
        <v>2</v>
      </c>
      <c r="C124" t="s">
        <v>915</v>
      </c>
      <c r="D124" s="82">
        <v>23521</v>
      </c>
      <c r="E124" t="s">
        <v>1064</v>
      </c>
      <c r="F124" t="s">
        <v>2220</v>
      </c>
      <c r="G124">
        <v>52.388800000000003</v>
      </c>
      <c r="H124">
        <v>4.5409199999999998</v>
      </c>
      <c r="I124" t="s">
        <v>2030</v>
      </c>
      <c r="J124" t="s">
        <v>914</v>
      </c>
      <c r="K124" t="s">
        <v>916</v>
      </c>
      <c r="L124" t="s">
        <v>917</v>
      </c>
      <c r="M124" t="s">
        <v>918</v>
      </c>
    </row>
    <row r="125" spans="1:13">
      <c r="A125">
        <v>1964</v>
      </c>
      <c r="B125">
        <v>3</v>
      </c>
      <c r="C125" t="s">
        <v>873</v>
      </c>
      <c r="D125" s="82">
        <v>23542</v>
      </c>
      <c r="E125" t="s">
        <v>1065</v>
      </c>
      <c r="F125" t="s">
        <v>2221</v>
      </c>
      <c r="G125">
        <v>50.437199999999997</v>
      </c>
      <c r="H125">
        <v>5.9713900000000004</v>
      </c>
      <c r="I125" t="s">
        <v>2024</v>
      </c>
      <c r="J125" t="s">
        <v>872</v>
      </c>
      <c r="K125" t="s">
        <v>874</v>
      </c>
      <c r="L125" t="s">
        <v>875</v>
      </c>
      <c r="M125" t="s">
        <v>244</v>
      </c>
    </row>
    <row r="126" spans="1:13">
      <c r="A126">
        <v>1964</v>
      </c>
      <c r="B126">
        <v>4</v>
      </c>
      <c r="C126" t="s">
        <v>908</v>
      </c>
      <c r="D126" s="82">
        <v>23556</v>
      </c>
      <c r="E126" t="s">
        <v>1066</v>
      </c>
      <c r="F126" t="s">
        <v>2222</v>
      </c>
      <c r="G126">
        <v>49.330599999999997</v>
      </c>
      <c r="H126">
        <v>1.00458</v>
      </c>
      <c r="I126" t="s">
        <v>2029</v>
      </c>
      <c r="J126" t="s">
        <v>877</v>
      </c>
      <c r="K126" t="s">
        <v>909</v>
      </c>
      <c r="L126" t="s">
        <v>910</v>
      </c>
      <c r="M126" t="s">
        <v>755</v>
      </c>
    </row>
    <row r="127" spans="1:13">
      <c r="A127">
        <v>1964</v>
      </c>
      <c r="B127">
        <v>5</v>
      </c>
      <c r="C127" t="s">
        <v>1067</v>
      </c>
      <c r="D127" s="82">
        <v>23569</v>
      </c>
      <c r="E127" t="s">
        <v>1070</v>
      </c>
      <c r="F127" t="s">
        <v>2223</v>
      </c>
      <c r="G127">
        <v>51.356900000000003</v>
      </c>
      <c r="H127">
        <v>0.26305600000000001</v>
      </c>
      <c r="I127" t="s">
        <v>2043</v>
      </c>
      <c r="J127" t="s">
        <v>850</v>
      </c>
      <c r="K127" t="s">
        <v>1068</v>
      </c>
      <c r="L127" t="s">
        <v>1069</v>
      </c>
      <c r="M127" t="s">
        <v>854</v>
      </c>
    </row>
    <row r="128" spans="1:13">
      <c r="A128">
        <v>1964</v>
      </c>
      <c r="B128">
        <v>6</v>
      </c>
      <c r="C128" t="s">
        <v>894</v>
      </c>
      <c r="D128" s="82">
        <v>23591</v>
      </c>
      <c r="E128" t="s">
        <v>1071</v>
      </c>
      <c r="F128" t="s">
        <v>2224</v>
      </c>
      <c r="G128">
        <v>50.335599999999999</v>
      </c>
      <c r="H128">
        <v>6.9474999999999998</v>
      </c>
      <c r="I128" t="s">
        <v>2027</v>
      </c>
      <c r="J128" t="s">
        <v>893</v>
      </c>
      <c r="K128" t="s">
        <v>895</v>
      </c>
      <c r="L128" t="s">
        <v>896</v>
      </c>
      <c r="M128" t="s">
        <v>761</v>
      </c>
    </row>
    <row r="129" spans="1:13">
      <c r="A129">
        <v>1964</v>
      </c>
      <c r="B129">
        <v>7</v>
      </c>
      <c r="C129" t="s">
        <v>1073</v>
      </c>
      <c r="D129" s="82">
        <v>23612</v>
      </c>
      <c r="E129" t="s">
        <v>1077</v>
      </c>
      <c r="F129" t="s">
        <v>2225</v>
      </c>
      <c r="G129">
        <v>47.203899999999997</v>
      </c>
      <c r="H129">
        <v>14.7478</v>
      </c>
      <c r="I129" t="s">
        <v>2044</v>
      </c>
      <c r="J129" t="s">
        <v>1072</v>
      </c>
      <c r="K129" t="s">
        <v>1074</v>
      </c>
      <c r="L129" t="s">
        <v>1075</v>
      </c>
      <c r="M129" t="s">
        <v>1076</v>
      </c>
    </row>
    <row r="130" spans="1:13">
      <c r="A130">
        <v>1964</v>
      </c>
      <c r="B130">
        <v>8</v>
      </c>
      <c r="C130" t="s">
        <v>883</v>
      </c>
      <c r="D130" s="82">
        <v>23626</v>
      </c>
      <c r="E130" t="s">
        <v>1078</v>
      </c>
      <c r="F130" t="s">
        <v>2226</v>
      </c>
      <c r="G130">
        <v>45.615600000000001</v>
      </c>
      <c r="H130">
        <v>9.28111</v>
      </c>
      <c r="I130" t="s">
        <v>2026</v>
      </c>
      <c r="J130" t="s">
        <v>882</v>
      </c>
      <c r="K130" t="s">
        <v>884</v>
      </c>
      <c r="L130" t="s">
        <v>885</v>
      </c>
      <c r="M130" t="s">
        <v>886</v>
      </c>
    </row>
    <row r="131" spans="1:13">
      <c r="A131">
        <v>1964</v>
      </c>
      <c r="B131">
        <v>9</v>
      </c>
      <c r="C131" t="s">
        <v>1031</v>
      </c>
      <c r="D131" s="82">
        <v>23654</v>
      </c>
      <c r="E131" t="s">
        <v>1079</v>
      </c>
      <c r="F131" t="s">
        <v>2227</v>
      </c>
      <c r="G131">
        <v>42.3369</v>
      </c>
      <c r="H131">
        <v>-76.927199999999999</v>
      </c>
      <c r="I131" t="s">
        <v>2040</v>
      </c>
      <c r="J131" t="s">
        <v>1006</v>
      </c>
      <c r="K131" t="s">
        <v>1032</v>
      </c>
      <c r="L131" t="s">
        <v>752</v>
      </c>
      <c r="M131" t="s">
        <v>1010</v>
      </c>
    </row>
    <row r="132" spans="1:13">
      <c r="A132">
        <v>1964</v>
      </c>
      <c r="B132">
        <v>10</v>
      </c>
      <c r="C132" t="s">
        <v>1057</v>
      </c>
      <c r="D132" s="82">
        <v>23675</v>
      </c>
      <c r="E132" t="s">
        <v>1080</v>
      </c>
      <c r="F132" t="s">
        <v>2228</v>
      </c>
      <c r="G132">
        <v>19.432700000000001</v>
      </c>
      <c r="H132">
        <v>-99.133300000000006</v>
      </c>
      <c r="I132" t="s">
        <v>2042</v>
      </c>
      <c r="J132" t="s">
        <v>1056</v>
      </c>
      <c r="K132" t="s">
        <v>1058</v>
      </c>
      <c r="L132" t="s">
        <v>1059</v>
      </c>
      <c r="M132" t="s">
        <v>1060</v>
      </c>
    </row>
    <row r="133" spans="1:13">
      <c r="A133">
        <v>1965</v>
      </c>
      <c r="B133">
        <v>1</v>
      </c>
      <c r="C133" t="s">
        <v>1043</v>
      </c>
      <c r="D133" s="82">
        <v>23743</v>
      </c>
      <c r="E133" t="s">
        <v>1081</v>
      </c>
      <c r="F133" t="s">
        <v>2229</v>
      </c>
      <c r="G133">
        <v>-33.0486</v>
      </c>
      <c r="H133">
        <v>27.8736</v>
      </c>
      <c r="I133" t="s">
        <v>2041</v>
      </c>
      <c r="J133" t="s">
        <v>1042</v>
      </c>
      <c r="K133" t="s">
        <v>1044</v>
      </c>
      <c r="L133" t="s">
        <v>1045</v>
      </c>
      <c r="M133" t="s">
        <v>1046</v>
      </c>
    </row>
    <row r="134" spans="1:13">
      <c r="A134">
        <v>1965</v>
      </c>
      <c r="B134">
        <v>2</v>
      </c>
      <c r="C134" t="s">
        <v>857</v>
      </c>
      <c r="D134" s="82">
        <v>23892</v>
      </c>
      <c r="E134" t="s">
        <v>1082</v>
      </c>
      <c r="F134" t="s">
        <v>2230</v>
      </c>
      <c r="G134">
        <v>43.734699999999997</v>
      </c>
      <c r="H134">
        <v>7.42056</v>
      </c>
      <c r="I134" t="s">
        <v>2021</v>
      </c>
      <c r="J134" t="s">
        <v>856</v>
      </c>
      <c r="K134" t="s">
        <v>858</v>
      </c>
      <c r="L134" t="s">
        <v>859</v>
      </c>
      <c r="M134" t="s">
        <v>860</v>
      </c>
    </row>
    <row r="135" spans="1:13">
      <c r="A135">
        <v>1965</v>
      </c>
      <c r="B135">
        <v>3</v>
      </c>
      <c r="C135" t="s">
        <v>873</v>
      </c>
      <c r="D135" s="82">
        <v>23906</v>
      </c>
      <c r="E135" t="s">
        <v>1083</v>
      </c>
      <c r="F135" t="s">
        <v>2231</v>
      </c>
      <c r="G135">
        <v>50.437199999999997</v>
      </c>
      <c r="H135">
        <v>5.9713900000000004</v>
      </c>
      <c r="I135" t="s">
        <v>2024</v>
      </c>
      <c r="J135" t="s">
        <v>872</v>
      </c>
      <c r="K135" t="s">
        <v>874</v>
      </c>
      <c r="L135" t="s">
        <v>875</v>
      </c>
      <c r="M135" t="s">
        <v>244</v>
      </c>
    </row>
    <row r="136" spans="1:13">
      <c r="A136">
        <v>1965</v>
      </c>
      <c r="B136">
        <v>4</v>
      </c>
      <c r="C136" t="s">
        <v>1084</v>
      </c>
      <c r="D136" s="82">
        <v>23920</v>
      </c>
      <c r="E136" t="s">
        <v>1087</v>
      </c>
      <c r="F136" t="s">
        <v>2232</v>
      </c>
      <c r="G136">
        <v>45.747199999999999</v>
      </c>
      <c r="H136">
        <v>3.0388899999999999</v>
      </c>
      <c r="I136" t="s">
        <v>2045</v>
      </c>
      <c r="J136" t="s">
        <v>877</v>
      </c>
      <c r="K136" t="s">
        <v>1085</v>
      </c>
      <c r="L136" t="s">
        <v>1086</v>
      </c>
      <c r="M136" t="s">
        <v>755</v>
      </c>
    </row>
    <row r="137" spans="1:13">
      <c r="A137">
        <v>1965</v>
      </c>
      <c r="B137">
        <v>5</v>
      </c>
      <c r="C137" t="s">
        <v>851</v>
      </c>
      <c r="D137" s="82">
        <v>23933</v>
      </c>
      <c r="E137" t="s">
        <v>1088</v>
      </c>
      <c r="F137" t="s">
        <v>2233</v>
      </c>
      <c r="G137">
        <v>52.078600000000002</v>
      </c>
      <c r="H137">
        <v>-1.01694</v>
      </c>
      <c r="I137" t="s">
        <v>2020</v>
      </c>
      <c r="J137" t="s">
        <v>850</v>
      </c>
      <c r="K137" t="s">
        <v>852</v>
      </c>
      <c r="L137" t="s">
        <v>853</v>
      </c>
      <c r="M137" t="s">
        <v>854</v>
      </c>
    </row>
    <row r="138" spans="1:13">
      <c r="A138">
        <v>1965</v>
      </c>
      <c r="B138">
        <v>6</v>
      </c>
      <c r="C138" t="s">
        <v>915</v>
      </c>
      <c r="D138" s="82">
        <v>23941</v>
      </c>
      <c r="E138" t="s">
        <v>1089</v>
      </c>
      <c r="F138" t="s">
        <v>2234</v>
      </c>
      <c r="G138">
        <v>52.388800000000003</v>
      </c>
      <c r="H138">
        <v>4.5409199999999998</v>
      </c>
      <c r="I138" t="s">
        <v>2030</v>
      </c>
      <c r="J138" t="s">
        <v>914</v>
      </c>
      <c r="K138" t="s">
        <v>916</v>
      </c>
      <c r="L138" t="s">
        <v>917</v>
      </c>
      <c r="M138" t="s">
        <v>918</v>
      </c>
    </row>
    <row r="139" spans="1:13">
      <c r="A139">
        <v>1965</v>
      </c>
      <c r="B139">
        <v>7</v>
      </c>
      <c r="C139" t="s">
        <v>894</v>
      </c>
      <c r="D139" s="82">
        <v>23955</v>
      </c>
      <c r="E139" t="s">
        <v>1090</v>
      </c>
      <c r="F139" t="s">
        <v>2235</v>
      </c>
      <c r="G139">
        <v>50.335599999999999</v>
      </c>
      <c r="H139">
        <v>6.9474999999999998</v>
      </c>
      <c r="I139" t="s">
        <v>2027</v>
      </c>
      <c r="J139" t="s">
        <v>893</v>
      </c>
      <c r="K139" t="s">
        <v>895</v>
      </c>
      <c r="L139" t="s">
        <v>896</v>
      </c>
      <c r="M139" t="s">
        <v>761</v>
      </c>
    </row>
    <row r="140" spans="1:13">
      <c r="A140">
        <v>1965</v>
      </c>
      <c r="B140">
        <v>8</v>
      </c>
      <c r="C140" t="s">
        <v>883</v>
      </c>
      <c r="D140" s="82">
        <v>23997</v>
      </c>
      <c r="E140" t="s">
        <v>1091</v>
      </c>
      <c r="F140" t="s">
        <v>2236</v>
      </c>
      <c r="G140">
        <v>45.615600000000001</v>
      </c>
      <c r="H140">
        <v>9.28111</v>
      </c>
      <c r="I140" t="s">
        <v>2026</v>
      </c>
      <c r="J140" t="s">
        <v>882</v>
      </c>
      <c r="K140" t="s">
        <v>884</v>
      </c>
      <c r="L140" t="s">
        <v>885</v>
      </c>
      <c r="M140" t="s">
        <v>886</v>
      </c>
    </row>
    <row r="141" spans="1:13">
      <c r="A141">
        <v>1965</v>
      </c>
      <c r="B141">
        <v>9</v>
      </c>
      <c r="C141" t="s">
        <v>1031</v>
      </c>
      <c r="D141" s="82">
        <v>24018</v>
      </c>
      <c r="E141" t="s">
        <v>1092</v>
      </c>
      <c r="F141" t="s">
        <v>2237</v>
      </c>
      <c r="G141">
        <v>42.3369</v>
      </c>
      <c r="H141">
        <v>-76.927199999999999</v>
      </c>
      <c r="I141" t="s">
        <v>2040</v>
      </c>
      <c r="J141" t="s">
        <v>1006</v>
      </c>
      <c r="K141" t="s">
        <v>1032</v>
      </c>
      <c r="L141" t="s">
        <v>752</v>
      </c>
      <c r="M141" t="s">
        <v>1010</v>
      </c>
    </row>
    <row r="142" spans="1:13">
      <c r="A142">
        <v>1965</v>
      </c>
      <c r="B142">
        <v>10</v>
      </c>
      <c r="C142" t="s">
        <v>1057</v>
      </c>
      <c r="D142" s="82">
        <v>24039</v>
      </c>
      <c r="E142" t="s">
        <v>1093</v>
      </c>
      <c r="F142" t="s">
        <v>2238</v>
      </c>
      <c r="G142">
        <v>19.432700000000001</v>
      </c>
      <c r="H142">
        <v>-99.133300000000006</v>
      </c>
      <c r="I142" t="s">
        <v>2042</v>
      </c>
      <c r="J142" t="s">
        <v>1056</v>
      </c>
      <c r="K142" t="s">
        <v>1058</v>
      </c>
      <c r="L142" t="s">
        <v>1059</v>
      </c>
      <c r="M142" t="s">
        <v>1060</v>
      </c>
    </row>
    <row r="143" spans="1:13">
      <c r="A143">
        <v>1966</v>
      </c>
      <c r="B143">
        <v>1</v>
      </c>
      <c r="C143" t="s">
        <v>857</v>
      </c>
      <c r="D143" s="82">
        <v>24249</v>
      </c>
      <c r="E143" t="s">
        <v>1094</v>
      </c>
      <c r="F143" t="s">
        <v>2239</v>
      </c>
      <c r="G143">
        <v>43.734699999999997</v>
      </c>
      <c r="H143">
        <v>7.42056</v>
      </c>
      <c r="I143" t="s">
        <v>2021</v>
      </c>
      <c r="J143" t="s">
        <v>856</v>
      </c>
      <c r="K143" t="s">
        <v>858</v>
      </c>
      <c r="L143" t="s">
        <v>859</v>
      </c>
      <c r="M143" t="s">
        <v>860</v>
      </c>
    </row>
    <row r="144" spans="1:13">
      <c r="A144">
        <v>1966</v>
      </c>
      <c r="B144">
        <v>2</v>
      </c>
      <c r="C144" t="s">
        <v>873</v>
      </c>
      <c r="D144" s="82">
        <v>24270</v>
      </c>
      <c r="E144" t="s">
        <v>1095</v>
      </c>
      <c r="F144" t="s">
        <v>2240</v>
      </c>
      <c r="G144">
        <v>50.437199999999997</v>
      </c>
      <c r="H144">
        <v>5.9713900000000004</v>
      </c>
      <c r="I144" t="s">
        <v>2024</v>
      </c>
      <c r="J144" t="s">
        <v>872</v>
      </c>
      <c r="K144" t="s">
        <v>874</v>
      </c>
      <c r="L144" t="s">
        <v>875</v>
      </c>
      <c r="M144" t="s">
        <v>244</v>
      </c>
    </row>
    <row r="145" spans="1:13">
      <c r="A145">
        <v>1966</v>
      </c>
      <c r="B145">
        <v>3</v>
      </c>
      <c r="C145" t="s">
        <v>878</v>
      </c>
      <c r="D145" s="82">
        <v>24291</v>
      </c>
      <c r="E145" t="s">
        <v>1096</v>
      </c>
      <c r="F145" t="s">
        <v>2241</v>
      </c>
      <c r="G145">
        <v>49.254199999999997</v>
      </c>
      <c r="H145">
        <v>3.9308299999999998</v>
      </c>
      <c r="I145" t="s">
        <v>2025</v>
      </c>
      <c r="J145" t="s">
        <v>877</v>
      </c>
      <c r="K145" t="s">
        <v>879</v>
      </c>
      <c r="L145" t="s">
        <v>880</v>
      </c>
      <c r="M145" t="s">
        <v>755</v>
      </c>
    </row>
    <row r="146" spans="1:13">
      <c r="A146">
        <v>1966</v>
      </c>
      <c r="B146">
        <v>4</v>
      </c>
      <c r="C146" t="s">
        <v>1067</v>
      </c>
      <c r="D146" s="82">
        <v>24304</v>
      </c>
      <c r="E146" t="s">
        <v>1097</v>
      </c>
      <c r="F146" t="s">
        <v>2242</v>
      </c>
      <c r="G146">
        <v>51.356900000000003</v>
      </c>
      <c r="H146">
        <v>0.26305600000000001</v>
      </c>
      <c r="I146" t="s">
        <v>2043</v>
      </c>
      <c r="J146" t="s">
        <v>850</v>
      </c>
      <c r="K146" t="s">
        <v>1068</v>
      </c>
      <c r="L146" t="s">
        <v>1069</v>
      </c>
      <c r="M146" t="s">
        <v>854</v>
      </c>
    </row>
    <row r="147" spans="1:13">
      <c r="A147">
        <v>1966</v>
      </c>
      <c r="B147">
        <v>5</v>
      </c>
      <c r="C147" t="s">
        <v>915</v>
      </c>
      <c r="D147" s="82">
        <v>24312</v>
      </c>
      <c r="E147" t="s">
        <v>1098</v>
      </c>
      <c r="F147" t="s">
        <v>2243</v>
      </c>
      <c r="G147">
        <v>52.388800000000003</v>
      </c>
      <c r="H147">
        <v>4.5409199999999998</v>
      </c>
      <c r="I147" t="s">
        <v>2030</v>
      </c>
      <c r="J147" t="s">
        <v>914</v>
      </c>
      <c r="K147" t="s">
        <v>916</v>
      </c>
      <c r="L147" t="s">
        <v>917</v>
      </c>
      <c r="M147" t="s">
        <v>918</v>
      </c>
    </row>
    <row r="148" spans="1:13">
      <c r="A148">
        <v>1966</v>
      </c>
      <c r="B148">
        <v>6</v>
      </c>
      <c r="C148" t="s">
        <v>894</v>
      </c>
      <c r="D148" s="82">
        <v>24326</v>
      </c>
      <c r="E148" t="s">
        <v>1099</v>
      </c>
      <c r="F148" t="s">
        <v>2244</v>
      </c>
      <c r="G148">
        <v>50.335599999999999</v>
      </c>
      <c r="H148">
        <v>6.9474999999999998</v>
      </c>
      <c r="I148" t="s">
        <v>2027</v>
      </c>
      <c r="J148" t="s">
        <v>893</v>
      </c>
      <c r="K148" t="s">
        <v>895</v>
      </c>
      <c r="L148" t="s">
        <v>896</v>
      </c>
      <c r="M148" t="s">
        <v>761</v>
      </c>
    </row>
    <row r="149" spans="1:13">
      <c r="A149">
        <v>1966</v>
      </c>
      <c r="B149">
        <v>7</v>
      </c>
      <c r="C149" t="s">
        <v>883</v>
      </c>
      <c r="D149" s="82">
        <v>24354</v>
      </c>
      <c r="E149" t="s">
        <v>1100</v>
      </c>
      <c r="F149" t="s">
        <v>2245</v>
      </c>
      <c r="G149">
        <v>45.615600000000001</v>
      </c>
      <c r="H149">
        <v>9.28111</v>
      </c>
      <c r="I149" t="s">
        <v>2026</v>
      </c>
      <c r="J149" t="s">
        <v>882</v>
      </c>
      <c r="K149" t="s">
        <v>884</v>
      </c>
      <c r="L149" t="s">
        <v>885</v>
      </c>
      <c r="M149" t="s">
        <v>886</v>
      </c>
    </row>
    <row r="150" spans="1:13">
      <c r="A150">
        <v>1966</v>
      </c>
      <c r="B150">
        <v>8</v>
      </c>
      <c r="C150" t="s">
        <v>1031</v>
      </c>
      <c r="D150" s="82">
        <v>24382</v>
      </c>
      <c r="E150" t="s">
        <v>1101</v>
      </c>
      <c r="F150" t="s">
        <v>2246</v>
      </c>
      <c r="G150">
        <v>42.3369</v>
      </c>
      <c r="H150">
        <v>-76.927199999999999</v>
      </c>
      <c r="I150" t="s">
        <v>2040</v>
      </c>
      <c r="J150" t="s">
        <v>1006</v>
      </c>
      <c r="K150" t="s">
        <v>1032</v>
      </c>
      <c r="L150" t="s">
        <v>752</v>
      </c>
      <c r="M150" t="s">
        <v>1010</v>
      </c>
    </row>
    <row r="151" spans="1:13">
      <c r="A151">
        <v>1966</v>
      </c>
      <c r="B151">
        <v>9</v>
      </c>
      <c r="C151" t="s">
        <v>1057</v>
      </c>
      <c r="D151" s="82">
        <v>24403</v>
      </c>
      <c r="E151" t="s">
        <v>1102</v>
      </c>
      <c r="F151" t="s">
        <v>2247</v>
      </c>
      <c r="G151">
        <v>19.432700000000001</v>
      </c>
      <c r="H151">
        <v>-99.133300000000006</v>
      </c>
      <c r="I151" t="s">
        <v>2042</v>
      </c>
      <c r="J151" t="s">
        <v>1056</v>
      </c>
      <c r="K151" t="s">
        <v>1058</v>
      </c>
      <c r="L151" t="s">
        <v>1059</v>
      </c>
      <c r="M151" t="s">
        <v>1060</v>
      </c>
    </row>
    <row r="152" spans="1:13">
      <c r="A152">
        <v>1967</v>
      </c>
      <c r="B152">
        <v>1</v>
      </c>
      <c r="C152" t="s">
        <v>1103</v>
      </c>
      <c r="D152" s="82">
        <v>24474</v>
      </c>
      <c r="E152" t="s">
        <v>1106</v>
      </c>
      <c r="F152" t="s">
        <v>2248</v>
      </c>
      <c r="G152">
        <v>-25.9894</v>
      </c>
      <c r="H152">
        <v>28.076699999999999</v>
      </c>
      <c r="I152" t="s">
        <v>2046</v>
      </c>
      <c r="J152" t="s">
        <v>1042</v>
      </c>
      <c r="K152" t="s">
        <v>1104</v>
      </c>
      <c r="L152" t="s">
        <v>1105</v>
      </c>
      <c r="M152" t="s">
        <v>1046</v>
      </c>
    </row>
    <row r="153" spans="1:13">
      <c r="A153">
        <v>1967</v>
      </c>
      <c r="B153">
        <v>2</v>
      </c>
      <c r="C153" t="s">
        <v>857</v>
      </c>
      <c r="D153" s="82">
        <v>24599</v>
      </c>
      <c r="E153" t="s">
        <v>1107</v>
      </c>
      <c r="F153" t="s">
        <v>2249</v>
      </c>
      <c r="G153">
        <v>43.734699999999997</v>
      </c>
      <c r="H153">
        <v>7.42056</v>
      </c>
      <c r="I153" t="s">
        <v>2021</v>
      </c>
      <c r="J153" t="s">
        <v>856</v>
      </c>
      <c r="K153" t="s">
        <v>858</v>
      </c>
      <c r="L153" t="s">
        <v>859</v>
      </c>
      <c r="M153" t="s">
        <v>860</v>
      </c>
    </row>
    <row r="154" spans="1:13">
      <c r="A154">
        <v>1967</v>
      </c>
      <c r="B154">
        <v>3</v>
      </c>
      <c r="C154" t="s">
        <v>915</v>
      </c>
      <c r="D154" s="82">
        <v>24627</v>
      </c>
      <c r="E154" t="s">
        <v>1108</v>
      </c>
      <c r="F154" t="s">
        <v>2250</v>
      </c>
      <c r="G154">
        <v>52.388800000000003</v>
      </c>
      <c r="H154">
        <v>4.5409199999999998</v>
      </c>
      <c r="I154" t="s">
        <v>2030</v>
      </c>
      <c r="J154" t="s">
        <v>914</v>
      </c>
      <c r="K154" t="s">
        <v>916</v>
      </c>
      <c r="L154" t="s">
        <v>917</v>
      </c>
      <c r="M154" t="s">
        <v>918</v>
      </c>
    </row>
    <row r="155" spans="1:13">
      <c r="A155">
        <v>1967</v>
      </c>
      <c r="B155">
        <v>4</v>
      </c>
      <c r="C155" t="s">
        <v>873</v>
      </c>
      <c r="D155" s="82">
        <v>24641</v>
      </c>
      <c r="E155" t="s">
        <v>1109</v>
      </c>
      <c r="F155" t="s">
        <v>2251</v>
      </c>
      <c r="G155">
        <v>50.437199999999997</v>
      </c>
      <c r="H155">
        <v>5.9713900000000004</v>
      </c>
      <c r="I155" t="s">
        <v>2024</v>
      </c>
      <c r="J155" t="s">
        <v>872</v>
      </c>
      <c r="K155" t="s">
        <v>874</v>
      </c>
      <c r="L155" t="s">
        <v>875</v>
      </c>
      <c r="M155" t="s">
        <v>244</v>
      </c>
    </row>
    <row r="156" spans="1:13">
      <c r="A156">
        <v>1967</v>
      </c>
      <c r="B156">
        <v>5</v>
      </c>
      <c r="C156" t="s">
        <v>1110</v>
      </c>
      <c r="D156" s="82">
        <v>24655</v>
      </c>
      <c r="E156" t="s">
        <v>1112</v>
      </c>
      <c r="F156" t="s">
        <v>2252</v>
      </c>
      <c r="G156">
        <v>47.9377</v>
      </c>
      <c r="H156">
        <v>0.22561100000000001</v>
      </c>
      <c r="I156" t="s">
        <v>2047</v>
      </c>
      <c r="J156" t="s">
        <v>877</v>
      </c>
      <c r="K156" t="s">
        <v>1111</v>
      </c>
      <c r="L156" t="s">
        <v>1111</v>
      </c>
      <c r="M156" t="s">
        <v>755</v>
      </c>
    </row>
    <row r="157" spans="1:13">
      <c r="A157">
        <v>1967</v>
      </c>
      <c r="B157">
        <v>6</v>
      </c>
      <c r="C157" t="s">
        <v>851</v>
      </c>
      <c r="D157" s="82">
        <v>24668</v>
      </c>
      <c r="E157" t="s">
        <v>1113</v>
      </c>
      <c r="F157" t="s">
        <v>2253</v>
      </c>
      <c r="G157">
        <v>52.078600000000002</v>
      </c>
      <c r="H157">
        <v>-1.01694</v>
      </c>
      <c r="I157" t="s">
        <v>2020</v>
      </c>
      <c r="J157" t="s">
        <v>850</v>
      </c>
      <c r="K157" t="s">
        <v>852</v>
      </c>
      <c r="L157" t="s">
        <v>853</v>
      </c>
      <c r="M157" t="s">
        <v>854</v>
      </c>
    </row>
    <row r="158" spans="1:13">
      <c r="A158">
        <v>1967</v>
      </c>
      <c r="B158">
        <v>7</v>
      </c>
      <c r="C158" t="s">
        <v>894</v>
      </c>
      <c r="D158" s="82">
        <v>24690</v>
      </c>
      <c r="E158" t="s">
        <v>1114</v>
      </c>
      <c r="F158" t="s">
        <v>2254</v>
      </c>
      <c r="G158">
        <v>50.335599999999999</v>
      </c>
      <c r="H158">
        <v>6.9474999999999998</v>
      </c>
      <c r="I158" t="s">
        <v>2027</v>
      </c>
      <c r="J158" t="s">
        <v>893</v>
      </c>
      <c r="K158" t="s">
        <v>895</v>
      </c>
      <c r="L158" t="s">
        <v>896</v>
      </c>
      <c r="M158" t="s">
        <v>761</v>
      </c>
    </row>
    <row r="159" spans="1:13">
      <c r="A159">
        <v>1967</v>
      </c>
      <c r="B159">
        <v>8</v>
      </c>
      <c r="C159" t="s">
        <v>1116</v>
      </c>
      <c r="D159" s="82">
        <v>24711</v>
      </c>
      <c r="E159" t="s">
        <v>1120</v>
      </c>
      <c r="F159" t="s">
        <v>2255</v>
      </c>
      <c r="G159">
        <v>44.048099999999998</v>
      </c>
      <c r="H159">
        <v>-78.675600000000003</v>
      </c>
      <c r="I159" t="s">
        <v>2048</v>
      </c>
      <c r="J159" t="s">
        <v>1115</v>
      </c>
      <c r="K159" t="s">
        <v>1117</v>
      </c>
      <c r="L159" t="s">
        <v>1118</v>
      </c>
      <c r="M159" t="s">
        <v>1119</v>
      </c>
    </row>
    <row r="160" spans="1:13">
      <c r="A160">
        <v>1967</v>
      </c>
      <c r="B160">
        <v>9</v>
      </c>
      <c r="C160" t="s">
        <v>883</v>
      </c>
      <c r="D160" s="82">
        <v>24725</v>
      </c>
      <c r="E160" t="s">
        <v>1121</v>
      </c>
      <c r="F160" t="s">
        <v>2256</v>
      </c>
      <c r="G160">
        <v>45.615600000000001</v>
      </c>
      <c r="H160">
        <v>9.28111</v>
      </c>
      <c r="I160" t="s">
        <v>2026</v>
      </c>
      <c r="J160" t="s">
        <v>882</v>
      </c>
      <c r="K160" t="s">
        <v>884</v>
      </c>
      <c r="L160" t="s">
        <v>885</v>
      </c>
      <c r="M160" t="s">
        <v>886</v>
      </c>
    </row>
    <row r="161" spans="1:13">
      <c r="A161">
        <v>1967</v>
      </c>
      <c r="B161">
        <v>10</v>
      </c>
      <c r="C161" t="s">
        <v>1031</v>
      </c>
      <c r="D161" s="82">
        <v>24746</v>
      </c>
      <c r="E161" t="s">
        <v>1122</v>
      </c>
      <c r="F161" t="s">
        <v>2257</v>
      </c>
      <c r="G161">
        <v>42.3369</v>
      </c>
      <c r="H161">
        <v>-76.927199999999999</v>
      </c>
      <c r="I161" t="s">
        <v>2040</v>
      </c>
      <c r="J161" t="s">
        <v>1006</v>
      </c>
      <c r="K161" t="s">
        <v>1032</v>
      </c>
      <c r="L161" t="s">
        <v>752</v>
      </c>
      <c r="M161" t="s">
        <v>1010</v>
      </c>
    </row>
    <row r="162" spans="1:13">
      <c r="A162">
        <v>1967</v>
      </c>
      <c r="B162">
        <v>11</v>
      </c>
      <c r="C162" t="s">
        <v>1057</v>
      </c>
      <c r="D162" s="82">
        <v>24767</v>
      </c>
      <c r="E162" t="s">
        <v>1123</v>
      </c>
      <c r="F162" t="s">
        <v>2258</v>
      </c>
      <c r="G162">
        <v>19.432700000000001</v>
      </c>
      <c r="H162">
        <v>-99.133300000000006</v>
      </c>
      <c r="I162" t="s">
        <v>2042</v>
      </c>
      <c r="J162" t="s">
        <v>1056</v>
      </c>
      <c r="K162" t="s">
        <v>1058</v>
      </c>
      <c r="L162" t="s">
        <v>1059</v>
      </c>
      <c r="M162" t="s">
        <v>1060</v>
      </c>
    </row>
    <row r="163" spans="1:13">
      <c r="A163">
        <v>1968</v>
      </c>
      <c r="B163">
        <v>1</v>
      </c>
      <c r="C163" t="s">
        <v>1103</v>
      </c>
      <c r="D163" s="82">
        <v>24838</v>
      </c>
      <c r="E163" t="s">
        <v>1124</v>
      </c>
      <c r="F163" t="s">
        <v>2259</v>
      </c>
      <c r="G163">
        <v>-25.9894</v>
      </c>
      <c r="H163">
        <v>28.076699999999999</v>
      </c>
      <c r="I163" t="s">
        <v>2046</v>
      </c>
      <c r="J163" t="s">
        <v>1042</v>
      </c>
      <c r="K163" t="s">
        <v>1104</v>
      </c>
      <c r="L163" t="s">
        <v>1105</v>
      </c>
      <c r="M163" t="s">
        <v>1046</v>
      </c>
    </row>
    <row r="164" spans="1:13">
      <c r="A164">
        <v>1968</v>
      </c>
      <c r="B164">
        <v>2</v>
      </c>
      <c r="C164" t="s">
        <v>1125</v>
      </c>
      <c r="D164" s="82">
        <v>24970</v>
      </c>
      <c r="E164" t="s">
        <v>1128</v>
      </c>
      <c r="F164" t="s">
        <v>2260</v>
      </c>
      <c r="G164">
        <v>40.617100000000001</v>
      </c>
      <c r="H164">
        <v>-3.5855800000000002</v>
      </c>
      <c r="I164" t="s">
        <v>2049</v>
      </c>
      <c r="J164" t="s">
        <v>899</v>
      </c>
      <c r="K164" t="s">
        <v>1126</v>
      </c>
      <c r="L164" t="s">
        <v>1127</v>
      </c>
      <c r="M164" t="s">
        <v>903</v>
      </c>
    </row>
    <row r="165" spans="1:13">
      <c r="A165">
        <v>1968</v>
      </c>
      <c r="B165">
        <v>3</v>
      </c>
      <c r="C165" t="s">
        <v>857</v>
      </c>
      <c r="D165" s="82">
        <v>24984</v>
      </c>
      <c r="E165" t="s">
        <v>1129</v>
      </c>
      <c r="F165" t="s">
        <v>2261</v>
      </c>
      <c r="G165">
        <v>43.734699999999997</v>
      </c>
      <c r="H165">
        <v>7.42056</v>
      </c>
      <c r="I165" t="s">
        <v>2021</v>
      </c>
      <c r="J165" t="s">
        <v>856</v>
      </c>
      <c r="K165" t="s">
        <v>858</v>
      </c>
      <c r="L165" t="s">
        <v>859</v>
      </c>
      <c r="M165" t="s">
        <v>860</v>
      </c>
    </row>
    <row r="166" spans="1:13">
      <c r="A166">
        <v>1968</v>
      </c>
      <c r="B166">
        <v>4</v>
      </c>
      <c r="C166" t="s">
        <v>873</v>
      </c>
      <c r="D166" s="82">
        <v>24998</v>
      </c>
      <c r="E166" t="s">
        <v>1130</v>
      </c>
      <c r="F166" t="s">
        <v>2262</v>
      </c>
      <c r="G166">
        <v>50.437199999999997</v>
      </c>
      <c r="H166">
        <v>5.9713900000000004</v>
      </c>
      <c r="I166" t="s">
        <v>2024</v>
      </c>
      <c r="J166" t="s">
        <v>872</v>
      </c>
      <c r="K166" t="s">
        <v>874</v>
      </c>
      <c r="L166" t="s">
        <v>875</v>
      </c>
      <c r="M166" t="s">
        <v>244</v>
      </c>
    </row>
    <row r="167" spans="1:13">
      <c r="A167">
        <v>1968</v>
      </c>
      <c r="B167">
        <v>5</v>
      </c>
      <c r="C167" t="s">
        <v>915</v>
      </c>
      <c r="D167" s="82">
        <v>25012</v>
      </c>
      <c r="E167" t="s">
        <v>1131</v>
      </c>
      <c r="F167" t="s">
        <v>2263</v>
      </c>
      <c r="G167">
        <v>52.388800000000003</v>
      </c>
      <c r="H167">
        <v>4.5409199999999998</v>
      </c>
      <c r="I167" t="s">
        <v>2030</v>
      </c>
      <c r="J167" t="s">
        <v>914</v>
      </c>
      <c r="K167" t="s">
        <v>916</v>
      </c>
      <c r="L167" t="s">
        <v>917</v>
      </c>
      <c r="M167" t="s">
        <v>918</v>
      </c>
    </row>
    <row r="168" spans="1:13">
      <c r="A168">
        <v>1968</v>
      </c>
      <c r="B168">
        <v>6</v>
      </c>
      <c r="C168" t="s">
        <v>908</v>
      </c>
      <c r="D168" s="82">
        <v>25026</v>
      </c>
      <c r="E168" t="s">
        <v>1132</v>
      </c>
      <c r="F168" t="s">
        <v>2264</v>
      </c>
      <c r="G168">
        <v>49.330599999999997</v>
      </c>
      <c r="H168">
        <v>1.00458</v>
      </c>
      <c r="I168" t="s">
        <v>2029</v>
      </c>
      <c r="J168" t="s">
        <v>877</v>
      </c>
      <c r="K168" t="s">
        <v>909</v>
      </c>
      <c r="L168" t="s">
        <v>910</v>
      </c>
      <c r="M168" t="s">
        <v>755</v>
      </c>
    </row>
    <row r="169" spans="1:13">
      <c r="A169">
        <v>1968</v>
      </c>
      <c r="B169">
        <v>7</v>
      </c>
      <c r="C169" t="s">
        <v>1067</v>
      </c>
      <c r="D169" s="82">
        <v>25039</v>
      </c>
      <c r="E169" t="s">
        <v>1133</v>
      </c>
      <c r="F169" t="s">
        <v>2265</v>
      </c>
      <c r="G169">
        <v>51.356900000000003</v>
      </c>
      <c r="H169">
        <v>0.26305600000000001</v>
      </c>
      <c r="I169" t="s">
        <v>2043</v>
      </c>
      <c r="J169" t="s">
        <v>850</v>
      </c>
      <c r="K169" t="s">
        <v>1068</v>
      </c>
      <c r="L169" t="s">
        <v>1069</v>
      </c>
      <c r="M169" t="s">
        <v>854</v>
      </c>
    </row>
    <row r="170" spans="1:13">
      <c r="A170">
        <v>1968</v>
      </c>
      <c r="B170">
        <v>8</v>
      </c>
      <c r="C170" t="s">
        <v>894</v>
      </c>
      <c r="D170" s="82">
        <v>25054</v>
      </c>
      <c r="E170" t="s">
        <v>1134</v>
      </c>
      <c r="F170" t="s">
        <v>2266</v>
      </c>
      <c r="G170">
        <v>50.335599999999999</v>
      </c>
      <c r="H170">
        <v>6.9474999999999998</v>
      </c>
      <c r="I170" t="s">
        <v>2027</v>
      </c>
      <c r="J170" t="s">
        <v>893</v>
      </c>
      <c r="K170" t="s">
        <v>895</v>
      </c>
      <c r="L170" t="s">
        <v>896</v>
      </c>
      <c r="M170" t="s">
        <v>761</v>
      </c>
    </row>
    <row r="171" spans="1:13">
      <c r="A171">
        <v>1968</v>
      </c>
      <c r="B171">
        <v>9</v>
      </c>
      <c r="C171" t="s">
        <v>883</v>
      </c>
      <c r="D171" s="82">
        <v>25089</v>
      </c>
      <c r="E171" t="s">
        <v>1135</v>
      </c>
      <c r="F171" t="s">
        <v>2267</v>
      </c>
      <c r="G171">
        <v>45.615600000000001</v>
      </c>
      <c r="H171">
        <v>9.28111</v>
      </c>
      <c r="I171" t="s">
        <v>2026</v>
      </c>
      <c r="J171" t="s">
        <v>882</v>
      </c>
      <c r="K171" t="s">
        <v>884</v>
      </c>
      <c r="L171" t="s">
        <v>885</v>
      </c>
      <c r="M171" t="s">
        <v>886</v>
      </c>
    </row>
    <row r="172" spans="1:13">
      <c r="A172">
        <v>1968</v>
      </c>
      <c r="B172">
        <v>10</v>
      </c>
      <c r="C172" t="s">
        <v>1136</v>
      </c>
      <c r="D172" s="82">
        <v>25103</v>
      </c>
      <c r="E172" t="s">
        <v>1139</v>
      </c>
      <c r="F172" t="s">
        <v>2268</v>
      </c>
      <c r="G172">
        <v>46.1877</v>
      </c>
      <c r="H172">
        <v>-74.609899999999996</v>
      </c>
      <c r="I172" t="s">
        <v>2050</v>
      </c>
      <c r="J172" t="s">
        <v>1115</v>
      </c>
      <c r="K172" t="s">
        <v>1137</v>
      </c>
      <c r="L172" t="s">
        <v>1138</v>
      </c>
      <c r="M172" t="s">
        <v>1119</v>
      </c>
    </row>
    <row r="173" spans="1:13">
      <c r="A173">
        <v>1968</v>
      </c>
      <c r="B173">
        <v>11</v>
      </c>
      <c r="C173" t="s">
        <v>1031</v>
      </c>
      <c r="D173" s="82">
        <v>25117</v>
      </c>
      <c r="E173" t="s">
        <v>1140</v>
      </c>
      <c r="F173" t="s">
        <v>2269</v>
      </c>
      <c r="G173">
        <v>42.3369</v>
      </c>
      <c r="H173">
        <v>-76.927199999999999</v>
      </c>
      <c r="I173" t="s">
        <v>2040</v>
      </c>
      <c r="J173" t="s">
        <v>1006</v>
      </c>
      <c r="K173" t="s">
        <v>1032</v>
      </c>
      <c r="L173" t="s">
        <v>752</v>
      </c>
      <c r="M173" t="s">
        <v>1010</v>
      </c>
    </row>
    <row r="174" spans="1:13">
      <c r="A174">
        <v>1968</v>
      </c>
      <c r="B174">
        <v>12</v>
      </c>
      <c r="C174" t="s">
        <v>1057</v>
      </c>
      <c r="D174" s="82">
        <v>25145</v>
      </c>
      <c r="E174" t="s">
        <v>1141</v>
      </c>
      <c r="F174" t="s">
        <v>2270</v>
      </c>
      <c r="G174">
        <v>19.432700000000001</v>
      </c>
      <c r="H174">
        <v>-99.133300000000006</v>
      </c>
      <c r="I174" t="s">
        <v>2042</v>
      </c>
      <c r="J174" t="s">
        <v>1056</v>
      </c>
      <c r="K174" t="s">
        <v>1058</v>
      </c>
      <c r="L174" t="s">
        <v>1059</v>
      </c>
      <c r="M174" t="s">
        <v>1060</v>
      </c>
    </row>
    <row r="175" spans="1:13">
      <c r="A175">
        <v>1969</v>
      </c>
      <c r="B175">
        <v>1</v>
      </c>
      <c r="C175" t="s">
        <v>1103</v>
      </c>
      <c r="D175" s="82">
        <v>25263</v>
      </c>
      <c r="E175" t="s">
        <v>1142</v>
      </c>
      <c r="F175" t="s">
        <v>2271</v>
      </c>
      <c r="G175">
        <v>-25.9894</v>
      </c>
      <c r="H175">
        <v>28.076699999999999</v>
      </c>
      <c r="I175" t="s">
        <v>2046</v>
      </c>
      <c r="J175" t="s">
        <v>1042</v>
      </c>
      <c r="K175" t="s">
        <v>1104</v>
      </c>
      <c r="L175" t="s">
        <v>1105</v>
      </c>
      <c r="M175" t="s">
        <v>1046</v>
      </c>
    </row>
    <row r="176" spans="1:13">
      <c r="A176">
        <v>1969</v>
      </c>
      <c r="B176">
        <v>2</v>
      </c>
      <c r="C176" t="s">
        <v>1143</v>
      </c>
      <c r="D176" s="82">
        <v>25327</v>
      </c>
      <c r="E176" t="s">
        <v>1145</v>
      </c>
      <c r="F176" t="s">
        <v>2272</v>
      </c>
      <c r="G176">
        <v>41.366399999999999</v>
      </c>
      <c r="H176">
        <v>2.1516700000000002</v>
      </c>
      <c r="I176" t="s">
        <v>2051</v>
      </c>
      <c r="J176" t="s">
        <v>899</v>
      </c>
      <c r="K176" t="s">
        <v>1144</v>
      </c>
      <c r="L176" t="s">
        <v>902</v>
      </c>
      <c r="M176" t="s">
        <v>903</v>
      </c>
    </row>
    <row r="177" spans="1:13">
      <c r="A177">
        <v>1969</v>
      </c>
      <c r="B177">
        <v>3</v>
      </c>
      <c r="C177" t="s">
        <v>857</v>
      </c>
      <c r="D177" s="82">
        <v>25341</v>
      </c>
      <c r="E177" t="s">
        <v>1146</v>
      </c>
      <c r="F177" t="s">
        <v>2273</v>
      </c>
      <c r="G177">
        <v>43.734699999999997</v>
      </c>
      <c r="H177">
        <v>7.42056</v>
      </c>
      <c r="I177" t="s">
        <v>2021</v>
      </c>
      <c r="J177" t="s">
        <v>856</v>
      </c>
      <c r="K177" t="s">
        <v>858</v>
      </c>
      <c r="L177" t="s">
        <v>859</v>
      </c>
      <c r="M177" t="s">
        <v>860</v>
      </c>
    </row>
    <row r="178" spans="1:13">
      <c r="A178">
        <v>1969</v>
      </c>
      <c r="B178">
        <v>4</v>
      </c>
      <c r="C178" t="s">
        <v>915</v>
      </c>
      <c r="D178" s="82">
        <v>25375</v>
      </c>
      <c r="E178" t="s">
        <v>1147</v>
      </c>
      <c r="F178" t="s">
        <v>2274</v>
      </c>
      <c r="G178">
        <v>52.388800000000003</v>
      </c>
      <c r="H178">
        <v>4.5409199999999998</v>
      </c>
      <c r="I178" t="s">
        <v>2030</v>
      </c>
      <c r="J178" t="s">
        <v>914</v>
      </c>
      <c r="K178" t="s">
        <v>916</v>
      </c>
      <c r="L178" t="s">
        <v>917</v>
      </c>
      <c r="M178" t="s">
        <v>918</v>
      </c>
    </row>
    <row r="179" spans="1:13">
      <c r="A179">
        <v>1969</v>
      </c>
      <c r="B179">
        <v>5</v>
      </c>
      <c r="C179" t="s">
        <v>1084</v>
      </c>
      <c r="D179" s="82">
        <v>25390</v>
      </c>
      <c r="E179" t="s">
        <v>1148</v>
      </c>
      <c r="F179" t="s">
        <v>2275</v>
      </c>
      <c r="G179">
        <v>45.747199999999999</v>
      </c>
      <c r="H179">
        <v>3.0388899999999999</v>
      </c>
      <c r="I179" t="s">
        <v>2045</v>
      </c>
      <c r="J179" t="s">
        <v>877</v>
      </c>
      <c r="K179" t="s">
        <v>1085</v>
      </c>
      <c r="L179" t="s">
        <v>1086</v>
      </c>
      <c r="M179" t="s">
        <v>755</v>
      </c>
    </row>
    <row r="180" spans="1:13">
      <c r="A180">
        <v>1969</v>
      </c>
      <c r="B180">
        <v>6</v>
      </c>
      <c r="C180" t="s">
        <v>851</v>
      </c>
      <c r="D180" s="82">
        <v>25403</v>
      </c>
      <c r="E180" t="s">
        <v>1149</v>
      </c>
      <c r="F180" t="s">
        <v>2276</v>
      </c>
      <c r="G180">
        <v>52.078600000000002</v>
      </c>
      <c r="H180">
        <v>-1.01694</v>
      </c>
      <c r="I180" t="s">
        <v>2020</v>
      </c>
      <c r="J180" t="s">
        <v>850</v>
      </c>
      <c r="K180" t="s">
        <v>852</v>
      </c>
      <c r="L180" t="s">
        <v>853</v>
      </c>
      <c r="M180" t="s">
        <v>854</v>
      </c>
    </row>
    <row r="181" spans="1:13">
      <c r="A181">
        <v>1969</v>
      </c>
      <c r="B181">
        <v>7</v>
      </c>
      <c r="C181" t="s">
        <v>894</v>
      </c>
      <c r="D181" s="82">
        <v>25418</v>
      </c>
      <c r="E181" t="s">
        <v>1150</v>
      </c>
      <c r="F181" t="s">
        <v>2277</v>
      </c>
      <c r="G181">
        <v>50.335599999999999</v>
      </c>
      <c r="H181">
        <v>6.9474999999999998</v>
      </c>
      <c r="I181" t="s">
        <v>2027</v>
      </c>
      <c r="J181" t="s">
        <v>893</v>
      </c>
      <c r="K181" t="s">
        <v>895</v>
      </c>
      <c r="L181" t="s">
        <v>896</v>
      </c>
      <c r="M181" t="s">
        <v>761</v>
      </c>
    </row>
    <row r="182" spans="1:13">
      <c r="A182">
        <v>1969</v>
      </c>
      <c r="B182">
        <v>8</v>
      </c>
      <c r="C182" t="s">
        <v>883</v>
      </c>
      <c r="D182" s="82">
        <v>25453</v>
      </c>
      <c r="E182" t="s">
        <v>1151</v>
      </c>
      <c r="F182" t="s">
        <v>2278</v>
      </c>
      <c r="G182">
        <v>45.615600000000001</v>
      </c>
      <c r="H182">
        <v>9.28111</v>
      </c>
      <c r="I182" t="s">
        <v>2026</v>
      </c>
      <c r="J182" t="s">
        <v>882</v>
      </c>
      <c r="K182" t="s">
        <v>884</v>
      </c>
      <c r="L182" t="s">
        <v>885</v>
      </c>
      <c r="M182" t="s">
        <v>886</v>
      </c>
    </row>
    <row r="183" spans="1:13">
      <c r="A183">
        <v>1969</v>
      </c>
      <c r="B183">
        <v>9</v>
      </c>
      <c r="C183" t="s">
        <v>1116</v>
      </c>
      <c r="D183" s="82">
        <v>25466</v>
      </c>
      <c r="E183" t="s">
        <v>1152</v>
      </c>
      <c r="F183" t="s">
        <v>2279</v>
      </c>
      <c r="G183">
        <v>44.048099999999998</v>
      </c>
      <c r="H183">
        <v>-78.675600000000003</v>
      </c>
      <c r="I183" t="s">
        <v>2048</v>
      </c>
      <c r="J183" t="s">
        <v>1115</v>
      </c>
      <c r="K183" t="s">
        <v>1117</v>
      </c>
      <c r="L183" t="s">
        <v>1118</v>
      </c>
      <c r="M183" t="s">
        <v>1119</v>
      </c>
    </row>
    <row r="184" spans="1:13">
      <c r="A184">
        <v>1969</v>
      </c>
      <c r="B184">
        <v>10</v>
      </c>
      <c r="C184" t="s">
        <v>1031</v>
      </c>
      <c r="D184" s="82">
        <v>25481</v>
      </c>
      <c r="E184" t="s">
        <v>1153</v>
      </c>
      <c r="F184" t="s">
        <v>2280</v>
      </c>
      <c r="G184">
        <v>42.3369</v>
      </c>
      <c r="H184">
        <v>-76.927199999999999</v>
      </c>
      <c r="I184" t="s">
        <v>2040</v>
      </c>
      <c r="J184" t="s">
        <v>1006</v>
      </c>
      <c r="K184" t="s">
        <v>1032</v>
      </c>
      <c r="L184" t="s">
        <v>752</v>
      </c>
      <c r="M184" t="s">
        <v>1010</v>
      </c>
    </row>
    <row r="185" spans="1:13">
      <c r="A185">
        <v>1969</v>
      </c>
      <c r="B185">
        <v>11</v>
      </c>
      <c r="C185" t="s">
        <v>1057</v>
      </c>
      <c r="D185" s="82">
        <v>25495</v>
      </c>
      <c r="E185" t="s">
        <v>1154</v>
      </c>
      <c r="F185" t="s">
        <v>2281</v>
      </c>
      <c r="G185">
        <v>19.432700000000001</v>
      </c>
      <c r="H185">
        <v>-99.133300000000006</v>
      </c>
      <c r="I185" t="s">
        <v>2042</v>
      </c>
      <c r="J185" t="s">
        <v>1056</v>
      </c>
      <c r="K185" t="s">
        <v>1058</v>
      </c>
      <c r="L185" t="s">
        <v>1059</v>
      </c>
      <c r="M185" t="s">
        <v>1060</v>
      </c>
    </row>
    <row r="186" spans="1:13">
      <c r="A186">
        <v>1970</v>
      </c>
      <c r="B186">
        <v>1</v>
      </c>
      <c r="C186" t="s">
        <v>1103</v>
      </c>
      <c r="D186" s="82">
        <v>25634</v>
      </c>
      <c r="E186" t="s">
        <v>1155</v>
      </c>
      <c r="F186" t="s">
        <v>2282</v>
      </c>
      <c r="G186">
        <v>-25.9894</v>
      </c>
      <c r="H186">
        <v>28.076699999999999</v>
      </c>
      <c r="I186" t="s">
        <v>2046</v>
      </c>
      <c r="J186" t="s">
        <v>1042</v>
      </c>
      <c r="K186" t="s">
        <v>1104</v>
      </c>
      <c r="L186" t="s">
        <v>1105</v>
      </c>
      <c r="M186" t="s">
        <v>1046</v>
      </c>
    </row>
    <row r="187" spans="1:13">
      <c r="A187">
        <v>1970</v>
      </c>
      <c r="B187">
        <v>2</v>
      </c>
      <c r="C187" t="s">
        <v>1125</v>
      </c>
      <c r="D187" s="82">
        <v>25677</v>
      </c>
      <c r="E187" t="s">
        <v>1156</v>
      </c>
      <c r="F187" t="s">
        <v>2283</v>
      </c>
      <c r="G187">
        <v>40.617100000000001</v>
      </c>
      <c r="H187">
        <v>-3.5855800000000002</v>
      </c>
      <c r="I187" t="s">
        <v>2049</v>
      </c>
      <c r="J187" t="s">
        <v>899</v>
      </c>
      <c r="K187" t="s">
        <v>1126</v>
      </c>
      <c r="L187" t="s">
        <v>1127</v>
      </c>
      <c r="M187" t="s">
        <v>903</v>
      </c>
    </row>
    <row r="188" spans="1:13">
      <c r="A188">
        <v>1970</v>
      </c>
      <c r="B188">
        <v>3</v>
      </c>
      <c r="C188" t="s">
        <v>857</v>
      </c>
      <c r="D188" s="82">
        <v>25698</v>
      </c>
      <c r="E188" t="s">
        <v>1157</v>
      </c>
      <c r="F188" t="s">
        <v>2284</v>
      </c>
      <c r="G188">
        <v>43.734699999999997</v>
      </c>
      <c r="H188">
        <v>7.42056</v>
      </c>
      <c r="I188" t="s">
        <v>2021</v>
      </c>
      <c r="J188" t="s">
        <v>856</v>
      </c>
      <c r="K188" t="s">
        <v>858</v>
      </c>
      <c r="L188" t="s">
        <v>859</v>
      </c>
      <c r="M188" t="s">
        <v>860</v>
      </c>
    </row>
    <row r="189" spans="1:13">
      <c r="A189">
        <v>1970</v>
      </c>
      <c r="B189">
        <v>4</v>
      </c>
      <c r="C189" t="s">
        <v>873</v>
      </c>
      <c r="D189" s="82">
        <v>25726</v>
      </c>
      <c r="E189" t="s">
        <v>1158</v>
      </c>
      <c r="F189" t="s">
        <v>2285</v>
      </c>
      <c r="G189">
        <v>50.437199999999997</v>
      </c>
      <c r="H189">
        <v>5.9713900000000004</v>
      </c>
      <c r="I189" t="s">
        <v>2024</v>
      </c>
      <c r="J189" t="s">
        <v>872</v>
      </c>
      <c r="K189" t="s">
        <v>874</v>
      </c>
      <c r="L189" t="s">
        <v>875</v>
      </c>
      <c r="M189" t="s">
        <v>244</v>
      </c>
    </row>
    <row r="190" spans="1:13">
      <c r="A190">
        <v>1970</v>
      </c>
      <c r="B190">
        <v>5</v>
      </c>
      <c r="C190" t="s">
        <v>915</v>
      </c>
      <c r="D190" s="82">
        <v>25740</v>
      </c>
      <c r="E190" t="s">
        <v>1159</v>
      </c>
      <c r="F190" t="s">
        <v>2286</v>
      </c>
      <c r="G190">
        <v>52.388800000000003</v>
      </c>
      <c r="H190">
        <v>4.5409199999999998</v>
      </c>
      <c r="I190" t="s">
        <v>2030</v>
      </c>
      <c r="J190" t="s">
        <v>914</v>
      </c>
      <c r="K190" t="s">
        <v>916</v>
      </c>
      <c r="L190" t="s">
        <v>917</v>
      </c>
      <c r="M190" t="s">
        <v>918</v>
      </c>
    </row>
    <row r="191" spans="1:13">
      <c r="A191">
        <v>1970</v>
      </c>
      <c r="B191">
        <v>6</v>
      </c>
      <c r="C191" t="s">
        <v>1084</v>
      </c>
      <c r="D191" s="82">
        <v>25754</v>
      </c>
      <c r="E191" t="s">
        <v>1160</v>
      </c>
      <c r="F191" t="s">
        <v>2287</v>
      </c>
      <c r="G191">
        <v>45.747199999999999</v>
      </c>
      <c r="H191">
        <v>3.0388899999999999</v>
      </c>
      <c r="I191" t="s">
        <v>2045</v>
      </c>
      <c r="J191" t="s">
        <v>877</v>
      </c>
      <c r="K191" t="s">
        <v>1085</v>
      </c>
      <c r="L191" t="s">
        <v>1086</v>
      </c>
      <c r="M191" t="s">
        <v>755</v>
      </c>
    </row>
    <row r="192" spans="1:13">
      <c r="A192">
        <v>1970</v>
      </c>
      <c r="B192">
        <v>7</v>
      </c>
      <c r="C192" t="s">
        <v>1067</v>
      </c>
      <c r="D192" s="82">
        <v>25767</v>
      </c>
      <c r="E192" t="s">
        <v>1161</v>
      </c>
      <c r="F192" t="s">
        <v>2288</v>
      </c>
      <c r="G192">
        <v>51.356900000000003</v>
      </c>
      <c r="H192">
        <v>0.26305600000000001</v>
      </c>
      <c r="I192" t="s">
        <v>2043</v>
      </c>
      <c r="J192" t="s">
        <v>850</v>
      </c>
      <c r="K192" t="s">
        <v>1068</v>
      </c>
      <c r="L192" t="s">
        <v>1069</v>
      </c>
      <c r="M192" t="s">
        <v>854</v>
      </c>
    </row>
    <row r="193" spans="1:13">
      <c r="A193">
        <v>1970</v>
      </c>
      <c r="B193">
        <v>8</v>
      </c>
      <c r="C193" t="s">
        <v>1162</v>
      </c>
      <c r="D193" s="82">
        <v>25782</v>
      </c>
      <c r="E193" t="s">
        <v>1165</v>
      </c>
      <c r="F193" t="s">
        <v>2289</v>
      </c>
      <c r="G193">
        <v>49.327800000000003</v>
      </c>
      <c r="H193">
        <v>8.5658300000000001</v>
      </c>
      <c r="I193" t="s">
        <v>2052</v>
      </c>
      <c r="J193" t="s">
        <v>893</v>
      </c>
      <c r="K193" t="s">
        <v>1163</v>
      </c>
      <c r="L193" t="s">
        <v>1164</v>
      </c>
      <c r="M193" t="s">
        <v>761</v>
      </c>
    </row>
    <row r="194" spans="1:13">
      <c r="A194">
        <v>1970</v>
      </c>
      <c r="B194">
        <v>9</v>
      </c>
      <c r="C194" t="s">
        <v>1166</v>
      </c>
      <c r="D194" s="82">
        <v>25796</v>
      </c>
      <c r="E194" t="s">
        <v>1169</v>
      </c>
      <c r="F194" t="s">
        <v>2290</v>
      </c>
      <c r="G194">
        <v>47.219700000000003</v>
      </c>
      <c r="H194">
        <v>14.764699999999999</v>
      </c>
      <c r="I194" t="s">
        <v>2053</v>
      </c>
      <c r="J194" t="s">
        <v>1072</v>
      </c>
      <c r="K194" t="s">
        <v>1167</v>
      </c>
      <c r="L194" t="s">
        <v>1168</v>
      </c>
      <c r="M194" t="s">
        <v>1076</v>
      </c>
    </row>
    <row r="195" spans="1:13">
      <c r="A195">
        <v>1970</v>
      </c>
      <c r="B195">
        <v>10</v>
      </c>
      <c r="C195" t="s">
        <v>883</v>
      </c>
      <c r="D195" s="82">
        <v>25817</v>
      </c>
      <c r="E195" t="s">
        <v>1170</v>
      </c>
      <c r="F195" t="s">
        <v>2291</v>
      </c>
      <c r="G195">
        <v>45.615600000000001</v>
      </c>
      <c r="H195">
        <v>9.28111</v>
      </c>
      <c r="I195" t="s">
        <v>2026</v>
      </c>
      <c r="J195" t="s">
        <v>882</v>
      </c>
      <c r="K195" t="s">
        <v>884</v>
      </c>
      <c r="L195" t="s">
        <v>885</v>
      </c>
      <c r="M195" t="s">
        <v>886</v>
      </c>
    </row>
    <row r="196" spans="1:13">
      <c r="A196">
        <v>1970</v>
      </c>
      <c r="B196">
        <v>11</v>
      </c>
      <c r="C196" t="s">
        <v>1136</v>
      </c>
      <c r="D196" s="82">
        <v>25831</v>
      </c>
      <c r="E196" t="s">
        <v>1171</v>
      </c>
      <c r="F196" t="s">
        <v>2292</v>
      </c>
      <c r="G196">
        <v>46.1877</v>
      </c>
      <c r="H196">
        <v>-74.609899999999996</v>
      </c>
      <c r="I196" t="s">
        <v>2050</v>
      </c>
      <c r="J196" t="s">
        <v>1115</v>
      </c>
      <c r="K196" t="s">
        <v>1137</v>
      </c>
      <c r="L196" t="s">
        <v>1138</v>
      </c>
      <c r="M196" t="s">
        <v>1119</v>
      </c>
    </row>
    <row r="197" spans="1:13">
      <c r="A197">
        <v>1970</v>
      </c>
      <c r="B197">
        <v>12</v>
      </c>
      <c r="C197" t="s">
        <v>1031</v>
      </c>
      <c r="D197" s="82">
        <v>25845</v>
      </c>
      <c r="E197" t="s">
        <v>1172</v>
      </c>
      <c r="F197" t="s">
        <v>2293</v>
      </c>
      <c r="G197">
        <v>42.3369</v>
      </c>
      <c r="H197">
        <v>-76.927199999999999</v>
      </c>
      <c r="I197" t="s">
        <v>2040</v>
      </c>
      <c r="J197" t="s">
        <v>1006</v>
      </c>
      <c r="K197" t="s">
        <v>1032</v>
      </c>
      <c r="L197" t="s">
        <v>752</v>
      </c>
      <c r="M197" t="s">
        <v>1010</v>
      </c>
    </row>
    <row r="198" spans="1:13">
      <c r="A198">
        <v>1970</v>
      </c>
      <c r="B198">
        <v>13</v>
      </c>
      <c r="C198" t="s">
        <v>1057</v>
      </c>
      <c r="D198" s="82">
        <v>25866</v>
      </c>
      <c r="E198" t="s">
        <v>1173</v>
      </c>
      <c r="F198" t="s">
        <v>2294</v>
      </c>
      <c r="G198">
        <v>19.432700000000001</v>
      </c>
      <c r="H198">
        <v>-99.133300000000006</v>
      </c>
      <c r="I198" t="s">
        <v>2042</v>
      </c>
      <c r="J198" t="s">
        <v>1056</v>
      </c>
      <c r="K198" t="s">
        <v>1058</v>
      </c>
      <c r="L198" t="s">
        <v>1059</v>
      </c>
      <c r="M198" t="s">
        <v>1060</v>
      </c>
    </row>
    <row r="199" spans="1:13">
      <c r="A199">
        <v>1971</v>
      </c>
      <c r="B199">
        <v>1</v>
      </c>
      <c r="C199" t="s">
        <v>1103</v>
      </c>
      <c r="D199" s="82">
        <v>25998</v>
      </c>
      <c r="E199" t="s">
        <v>1174</v>
      </c>
      <c r="F199" t="s">
        <v>2295</v>
      </c>
      <c r="G199">
        <v>-25.9894</v>
      </c>
      <c r="H199">
        <v>28.076699999999999</v>
      </c>
      <c r="I199" t="s">
        <v>2046</v>
      </c>
      <c r="J199" t="s">
        <v>1042</v>
      </c>
      <c r="K199" t="s">
        <v>1104</v>
      </c>
      <c r="L199" t="s">
        <v>1105</v>
      </c>
      <c r="M199" t="s">
        <v>1046</v>
      </c>
    </row>
    <row r="200" spans="1:13">
      <c r="A200">
        <v>1971</v>
      </c>
      <c r="B200">
        <v>2</v>
      </c>
      <c r="C200" t="s">
        <v>1143</v>
      </c>
      <c r="D200" s="82">
        <v>26041</v>
      </c>
      <c r="E200" t="s">
        <v>1175</v>
      </c>
      <c r="F200" t="s">
        <v>2296</v>
      </c>
      <c r="G200">
        <v>41.366399999999999</v>
      </c>
      <c r="H200">
        <v>2.1516700000000002</v>
      </c>
      <c r="I200" t="s">
        <v>2051</v>
      </c>
      <c r="J200" t="s">
        <v>899</v>
      </c>
      <c r="K200" t="s">
        <v>1144</v>
      </c>
      <c r="L200" t="s">
        <v>902</v>
      </c>
      <c r="M200" t="s">
        <v>903</v>
      </c>
    </row>
    <row r="201" spans="1:13">
      <c r="A201">
        <v>1971</v>
      </c>
      <c r="B201">
        <v>3</v>
      </c>
      <c r="C201" t="s">
        <v>857</v>
      </c>
      <c r="D201" s="82">
        <v>26076</v>
      </c>
      <c r="E201" t="s">
        <v>1176</v>
      </c>
      <c r="F201" t="s">
        <v>2297</v>
      </c>
      <c r="G201">
        <v>43.734699999999997</v>
      </c>
      <c r="H201">
        <v>7.42056</v>
      </c>
      <c r="I201" t="s">
        <v>2021</v>
      </c>
      <c r="J201" t="s">
        <v>856</v>
      </c>
      <c r="K201" t="s">
        <v>858</v>
      </c>
      <c r="L201" t="s">
        <v>859</v>
      </c>
      <c r="M201" t="s">
        <v>860</v>
      </c>
    </row>
    <row r="202" spans="1:13">
      <c r="A202">
        <v>1971</v>
      </c>
      <c r="B202">
        <v>4</v>
      </c>
      <c r="C202" t="s">
        <v>915</v>
      </c>
      <c r="D202" s="82">
        <v>26104</v>
      </c>
      <c r="E202" t="s">
        <v>1177</v>
      </c>
      <c r="F202" t="s">
        <v>2298</v>
      </c>
      <c r="G202">
        <v>52.388800000000003</v>
      </c>
      <c r="H202">
        <v>4.5409199999999998</v>
      </c>
      <c r="I202" t="s">
        <v>2030</v>
      </c>
      <c r="J202" t="s">
        <v>914</v>
      </c>
      <c r="K202" t="s">
        <v>916</v>
      </c>
      <c r="L202" t="s">
        <v>917</v>
      </c>
      <c r="M202" t="s">
        <v>918</v>
      </c>
    </row>
    <row r="203" spans="1:13">
      <c r="A203">
        <v>1971</v>
      </c>
      <c r="B203">
        <v>5</v>
      </c>
      <c r="C203" t="s">
        <v>1178</v>
      </c>
      <c r="D203" s="82">
        <v>26118</v>
      </c>
      <c r="E203" t="s">
        <v>1181</v>
      </c>
      <c r="F203" t="s">
        <v>2299</v>
      </c>
      <c r="G203">
        <v>43.250599999999999</v>
      </c>
      <c r="H203">
        <v>5.7916699999999999</v>
      </c>
      <c r="I203" t="s">
        <v>2054</v>
      </c>
      <c r="J203" t="s">
        <v>877</v>
      </c>
      <c r="K203" t="s">
        <v>1179</v>
      </c>
      <c r="L203" t="s">
        <v>1180</v>
      </c>
      <c r="M203" t="s">
        <v>755</v>
      </c>
    </row>
    <row r="204" spans="1:13">
      <c r="A204">
        <v>1971</v>
      </c>
      <c r="B204">
        <v>6</v>
      </c>
      <c r="C204" t="s">
        <v>851</v>
      </c>
      <c r="D204" s="82">
        <v>26131</v>
      </c>
      <c r="E204" t="s">
        <v>1182</v>
      </c>
      <c r="F204" t="s">
        <v>2300</v>
      </c>
      <c r="G204">
        <v>52.078600000000002</v>
      </c>
      <c r="H204">
        <v>-1.01694</v>
      </c>
      <c r="I204" t="s">
        <v>2020</v>
      </c>
      <c r="J204" t="s">
        <v>850</v>
      </c>
      <c r="K204" t="s">
        <v>852</v>
      </c>
      <c r="L204" t="s">
        <v>853</v>
      </c>
      <c r="M204" t="s">
        <v>854</v>
      </c>
    </row>
    <row r="205" spans="1:13">
      <c r="A205">
        <v>1971</v>
      </c>
      <c r="B205">
        <v>7</v>
      </c>
      <c r="C205" t="s">
        <v>894</v>
      </c>
      <c r="D205" s="82">
        <v>26146</v>
      </c>
      <c r="E205" t="s">
        <v>1183</v>
      </c>
      <c r="F205" t="s">
        <v>2301</v>
      </c>
      <c r="G205">
        <v>50.335599999999999</v>
      </c>
      <c r="H205">
        <v>6.9474999999999998</v>
      </c>
      <c r="I205" t="s">
        <v>2027</v>
      </c>
      <c r="J205" t="s">
        <v>893</v>
      </c>
      <c r="K205" t="s">
        <v>895</v>
      </c>
      <c r="L205" t="s">
        <v>896</v>
      </c>
      <c r="M205" t="s">
        <v>761</v>
      </c>
    </row>
    <row r="206" spans="1:13">
      <c r="A206">
        <v>1971</v>
      </c>
      <c r="B206">
        <v>8</v>
      </c>
      <c r="C206" t="s">
        <v>1166</v>
      </c>
      <c r="D206" s="82">
        <v>26160</v>
      </c>
      <c r="E206" t="s">
        <v>1184</v>
      </c>
      <c r="F206" t="s">
        <v>2302</v>
      </c>
      <c r="G206">
        <v>47.219700000000003</v>
      </c>
      <c r="H206">
        <v>14.764699999999999</v>
      </c>
      <c r="I206" t="s">
        <v>2053</v>
      </c>
      <c r="J206" t="s">
        <v>1072</v>
      </c>
      <c r="K206" t="s">
        <v>1167</v>
      </c>
      <c r="L206" t="s">
        <v>1168</v>
      </c>
      <c r="M206" t="s">
        <v>1076</v>
      </c>
    </row>
    <row r="207" spans="1:13">
      <c r="A207">
        <v>1971</v>
      </c>
      <c r="B207">
        <v>9</v>
      </c>
      <c r="C207" t="s">
        <v>883</v>
      </c>
      <c r="D207" s="82">
        <v>26181</v>
      </c>
      <c r="E207" t="s">
        <v>1185</v>
      </c>
      <c r="F207" t="s">
        <v>2303</v>
      </c>
      <c r="G207">
        <v>45.615600000000001</v>
      </c>
      <c r="H207">
        <v>9.28111</v>
      </c>
      <c r="I207" t="s">
        <v>2026</v>
      </c>
      <c r="J207" t="s">
        <v>882</v>
      </c>
      <c r="K207" t="s">
        <v>884</v>
      </c>
      <c r="L207" t="s">
        <v>885</v>
      </c>
      <c r="M207" t="s">
        <v>886</v>
      </c>
    </row>
    <row r="208" spans="1:13">
      <c r="A208">
        <v>1971</v>
      </c>
      <c r="B208">
        <v>10</v>
      </c>
      <c r="C208" t="s">
        <v>1116</v>
      </c>
      <c r="D208" s="82">
        <v>26195</v>
      </c>
      <c r="E208" t="s">
        <v>1186</v>
      </c>
      <c r="F208" t="s">
        <v>2304</v>
      </c>
      <c r="G208">
        <v>44.048099999999998</v>
      </c>
      <c r="H208">
        <v>-78.675600000000003</v>
      </c>
      <c r="I208" t="s">
        <v>2048</v>
      </c>
      <c r="J208" t="s">
        <v>1115</v>
      </c>
      <c r="K208" t="s">
        <v>1117</v>
      </c>
      <c r="L208" t="s">
        <v>1118</v>
      </c>
      <c r="M208" t="s">
        <v>1119</v>
      </c>
    </row>
    <row r="209" spans="1:13">
      <c r="A209">
        <v>1971</v>
      </c>
      <c r="B209">
        <v>11</v>
      </c>
      <c r="C209" t="s">
        <v>1031</v>
      </c>
      <c r="D209" s="82">
        <v>26209</v>
      </c>
      <c r="E209" t="s">
        <v>1187</v>
      </c>
      <c r="F209" t="s">
        <v>2305</v>
      </c>
      <c r="G209">
        <v>42.3369</v>
      </c>
      <c r="H209">
        <v>-76.927199999999999</v>
      </c>
      <c r="I209" t="s">
        <v>2040</v>
      </c>
      <c r="J209" t="s">
        <v>1006</v>
      </c>
      <c r="K209" t="s">
        <v>1032</v>
      </c>
      <c r="L209" t="s">
        <v>752</v>
      </c>
      <c r="M209" t="s">
        <v>1010</v>
      </c>
    </row>
    <row r="210" spans="1:13">
      <c r="A210">
        <v>1972</v>
      </c>
      <c r="B210">
        <v>1</v>
      </c>
      <c r="C210" t="s">
        <v>922</v>
      </c>
      <c r="D210" s="82">
        <v>26321</v>
      </c>
      <c r="E210" t="s">
        <v>1188</v>
      </c>
      <c r="F210" t="s">
        <v>2306</v>
      </c>
      <c r="G210">
        <v>-34.694299999999998</v>
      </c>
      <c r="H210">
        <v>-58.459299999999999</v>
      </c>
      <c r="I210" t="s">
        <v>2031</v>
      </c>
      <c r="J210" t="s">
        <v>921</v>
      </c>
      <c r="K210" t="s">
        <v>923</v>
      </c>
      <c r="L210" t="s">
        <v>253</v>
      </c>
      <c r="M210" t="s">
        <v>252</v>
      </c>
    </row>
    <row r="211" spans="1:13">
      <c r="A211">
        <v>1972</v>
      </c>
      <c r="B211">
        <v>2</v>
      </c>
      <c r="C211" t="s">
        <v>1103</v>
      </c>
      <c r="D211" s="82">
        <v>26362</v>
      </c>
      <c r="E211" t="s">
        <v>1189</v>
      </c>
      <c r="F211" t="s">
        <v>2307</v>
      </c>
      <c r="G211">
        <v>-25.9894</v>
      </c>
      <c r="H211">
        <v>28.076699999999999</v>
      </c>
      <c r="I211" t="s">
        <v>2046</v>
      </c>
      <c r="J211" t="s">
        <v>1042</v>
      </c>
      <c r="K211" t="s">
        <v>1104</v>
      </c>
      <c r="L211" t="s">
        <v>1105</v>
      </c>
      <c r="M211" t="s">
        <v>1046</v>
      </c>
    </row>
    <row r="212" spans="1:13">
      <c r="A212">
        <v>1972</v>
      </c>
      <c r="B212">
        <v>3</v>
      </c>
      <c r="C212" t="s">
        <v>1125</v>
      </c>
      <c r="D212" s="82">
        <v>26420</v>
      </c>
      <c r="E212" t="s">
        <v>1190</v>
      </c>
      <c r="F212" t="s">
        <v>2308</v>
      </c>
      <c r="G212">
        <v>40.617100000000001</v>
      </c>
      <c r="H212">
        <v>-3.5855800000000002</v>
      </c>
      <c r="I212" t="s">
        <v>2049</v>
      </c>
      <c r="J212" t="s">
        <v>899</v>
      </c>
      <c r="K212" t="s">
        <v>1126</v>
      </c>
      <c r="L212" t="s">
        <v>1127</v>
      </c>
      <c r="M212" t="s">
        <v>903</v>
      </c>
    </row>
    <row r="213" spans="1:13">
      <c r="A213">
        <v>1972</v>
      </c>
      <c r="B213">
        <v>4</v>
      </c>
      <c r="C213" t="s">
        <v>857</v>
      </c>
      <c r="D213" s="82">
        <v>26433</v>
      </c>
      <c r="E213" t="s">
        <v>1191</v>
      </c>
      <c r="F213" t="s">
        <v>2309</v>
      </c>
      <c r="G213">
        <v>43.734699999999997</v>
      </c>
      <c r="H213">
        <v>7.42056</v>
      </c>
      <c r="I213" t="s">
        <v>2021</v>
      </c>
      <c r="J213" t="s">
        <v>856</v>
      </c>
      <c r="K213" t="s">
        <v>858</v>
      </c>
      <c r="L213" t="s">
        <v>859</v>
      </c>
      <c r="M213" t="s">
        <v>860</v>
      </c>
    </row>
    <row r="214" spans="1:13">
      <c r="A214">
        <v>1972</v>
      </c>
      <c r="B214">
        <v>5</v>
      </c>
      <c r="C214" t="s">
        <v>1192</v>
      </c>
      <c r="D214" s="82">
        <v>26454</v>
      </c>
      <c r="E214" t="s">
        <v>1194</v>
      </c>
      <c r="F214" t="s">
        <v>2310</v>
      </c>
      <c r="G214">
        <v>50.621099999999998</v>
      </c>
      <c r="H214">
        <v>4.3269399999999996</v>
      </c>
      <c r="I214" t="s">
        <v>2055</v>
      </c>
      <c r="J214" t="s">
        <v>872</v>
      </c>
      <c r="K214" t="s">
        <v>1193</v>
      </c>
      <c r="L214" t="s">
        <v>100</v>
      </c>
      <c r="M214" t="s">
        <v>244</v>
      </c>
    </row>
    <row r="215" spans="1:13">
      <c r="A215">
        <v>1972</v>
      </c>
      <c r="B215">
        <v>6</v>
      </c>
      <c r="C215" t="s">
        <v>1084</v>
      </c>
      <c r="D215" s="82">
        <v>26482</v>
      </c>
      <c r="E215" t="s">
        <v>1195</v>
      </c>
      <c r="F215" t="s">
        <v>2311</v>
      </c>
      <c r="G215">
        <v>45.747199999999999</v>
      </c>
      <c r="H215">
        <v>3.0388899999999999</v>
      </c>
      <c r="I215" t="s">
        <v>2045</v>
      </c>
      <c r="J215" t="s">
        <v>877</v>
      </c>
      <c r="K215" t="s">
        <v>1085</v>
      </c>
      <c r="L215" t="s">
        <v>1086</v>
      </c>
      <c r="M215" t="s">
        <v>755</v>
      </c>
    </row>
    <row r="216" spans="1:13">
      <c r="A216">
        <v>1972</v>
      </c>
      <c r="B216">
        <v>7</v>
      </c>
      <c r="C216" t="s">
        <v>1067</v>
      </c>
      <c r="D216" s="82">
        <v>26495</v>
      </c>
      <c r="E216" t="s">
        <v>1196</v>
      </c>
      <c r="F216" t="s">
        <v>2312</v>
      </c>
      <c r="G216">
        <v>51.356900000000003</v>
      </c>
      <c r="H216">
        <v>0.26305600000000001</v>
      </c>
      <c r="I216" t="s">
        <v>2043</v>
      </c>
      <c r="J216" t="s">
        <v>850</v>
      </c>
      <c r="K216" t="s">
        <v>1068</v>
      </c>
      <c r="L216" t="s">
        <v>1069</v>
      </c>
      <c r="M216" t="s">
        <v>854</v>
      </c>
    </row>
    <row r="217" spans="1:13">
      <c r="A217">
        <v>1972</v>
      </c>
      <c r="B217">
        <v>8</v>
      </c>
      <c r="C217" t="s">
        <v>894</v>
      </c>
      <c r="D217" s="82">
        <v>26510</v>
      </c>
      <c r="E217" t="s">
        <v>1197</v>
      </c>
      <c r="F217" t="s">
        <v>2313</v>
      </c>
      <c r="G217">
        <v>50.335599999999999</v>
      </c>
      <c r="H217">
        <v>6.9474999999999998</v>
      </c>
      <c r="I217" t="s">
        <v>2027</v>
      </c>
      <c r="J217" t="s">
        <v>893</v>
      </c>
      <c r="K217" t="s">
        <v>895</v>
      </c>
      <c r="L217" t="s">
        <v>896</v>
      </c>
      <c r="M217" t="s">
        <v>761</v>
      </c>
    </row>
    <row r="218" spans="1:13">
      <c r="A218">
        <v>1972</v>
      </c>
      <c r="B218">
        <v>9</v>
      </c>
      <c r="C218" t="s">
        <v>1166</v>
      </c>
      <c r="D218" s="82">
        <v>26524</v>
      </c>
      <c r="E218" t="s">
        <v>1198</v>
      </c>
      <c r="F218" t="s">
        <v>2314</v>
      </c>
      <c r="G218">
        <v>47.219700000000003</v>
      </c>
      <c r="H218">
        <v>14.764699999999999</v>
      </c>
      <c r="I218" t="s">
        <v>2053</v>
      </c>
      <c r="J218" t="s">
        <v>1072</v>
      </c>
      <c r="K218" t="s">
        <v>1167</v>
      </c>
      <c r="L218" t="s">
        <v>1168</v>
      </c>
      <c r="M218" t="s">
        <v>1076</v>
      </c>
    </row>
    <row r="219" spans="1:13">
      <c r="A219">
        <v>1972</v>
      </c>
      <c r="B219">
        <v>10</v>
      </c>
      <c r="C219" t="s">
        <v>883</v>
      </c>
      <c r="D219" s="82">
        <v>26552</v>
      </c>
      <c r="E219" t="s">
        <v>1199</v>
      </c>
      <c r="F219" t="s">
        <v>2315</v>
      </c>
      <c r="G219">
        <v>45.615600000000001</v>
      </c>
      <c r="H219">
        <v>9.28111</v>
      </c>
      <c r="I219" t="s">
        <v>2026</v>
      </c>
      <c r="J219" t="s">
        <v>882</v>
      </c>
      <c r="K219" t="s">
        <v>884</v>
      </c>
      <c r="L219" t="s">
        <v>885</v>
      </c>
      <c r="M219" t="s">
        <v>886</v>
      </c>
    </row>
    <row r="220" spans="1:13">
      <c r="A220">
        <v>1972</v>
      </c>
      <c r="B220">
        <v>11</v>
      </c>
      <c r="C220" t="s">
        <v>1116</v>
      </c>
      <c r="D220" s="82">
        <v>26566</v>
      </c>
      <c r="E220" t="s">
        <v>1200</v>
      </c>
      <c r="F220" t="s">
        <v>2316</v>
      </c>
      <c r="G220">
        <v>44.048099999999998</v>
      </c>
      <c r="H220">
        <v>-78.675600000000003</v>
      </c>
      <c r="I220" t="s">
        <v>2048</v>
      </c>
      <c r="J220" t="s">
        <v>1115</v>
      </c>
      <c r="K220" t="s">
        <v>1117</v>
      </c>
      <c r="L220" t="s">
        <v>1118</v>
      </c>
      <c r="M220" t="s">
        <v>1119</v>
      </c>
    </row>
    <row r="221" spans="1:13">
      <c r="A221">
        <v>1972</v>
      </c>
      <c r="B221">
        <v>12</v>
      </c>
      <c r="C221" t="s">
        <v>1031</v>
      </c>
      <c r="D221" s="82">
        <v>26580</v>
      </c>
      <c r="E221" t="s">
        <v>1201</v>
      </c>
      <c r="F221" t="s">
        <v>2317</v>
      </c>
      <c r="G221">
        <v>42.3369</v>
      </c>
      <c r="H221">
        <v>-76.927199999999999</v>
      </c>
      <c r="I221" t="s">
        <v>2040</v>
      </c>
      <c r="J221" t="s">
        <v>1006</v>
      </c>
      <c r="K221" t="s">
        <v>1032</v>
      </c>
      <c r="L221" t="s">
        <v>752</v>
      </c>
      <c r="M221" t="s">
        <v>1010</v>
      </c>
    </row>
    <row r="222" spans="1:13">
      <c r="A222">
        <v>1973</v>
      </c>
      <c r="B222">
        <v>1</v>
      </c>
      <c r="C222" t="s">
        <v>922</v>
      </c>
      <c r="D222" s="82">
        <v>26692</v>
      </c>
      <c r="E222" t="s">
        <v>1202</v>
      </c>
      <c r="F222" t="s">
        <v>2318</v>
      </c>
      <c r="G222">
        <v>-34.694299999999998</v>
      </c>
      <c r="H222">
        <v>-58.459299999999999</v>
      </c>
      <c r="I222" t="s">
        <v>2031</v>
      </c>
      <c r="J222" t="s">
        <v>921</v>
      </c>
      <c r="K222" t="s">
        <v>923</v>
      </c>
      <c r="L222" t="s">
        <v>253</v>
      </c>
      <c r="M222" t="s">
        <v>252</v>
      </c>
    </row>
    <row r="223" spans="1:13">
      <c r="A223">
        <v>1973</v>
      </c>
      <c r="B223">
        <v>2</v>
      </c>
      <c r="C223" t="s">
        <v>1204</v>
      </c>
      <c r="D223" s="82">
        <v>26706</v>
      </c>
      <c r="E223" t="s">
        <v>1208</v>
      </c>
      <c r="F223" t="s">
        <v>2319</v>
      </c>
      <c r="G223">
        <v>-23.703600000000002</v>
      </c>
      <c r="H223">
        <v>-46.6997</v>
      </c>
      <c r="I223" t="s">
        <v>2056</v>
      </c>
      <c r="J223" t="s">
        <v>1203</v>
      </c>
      <c r="K223" t="s">
        <v>1205</v>
      </c>
      <c r="L223" t="s">
        <v>1206</v>
      </c>
      <c r="M223" t="s">
        <v>1207</v>
      </c>
    </row>
    <row r="224" spans="1:13">
      <c r="A224">
        <v>1973</v>
      </c>
      <c r="B224">
        <v>3</v>
      </c>
      <c r="C224" t="s">
        <v>1103</v>
      </c>
      <c r="D224" s="82">
        <v>26726</v>
      </c>
      <c r="E224" t="s">
        <v>1209</v>
      </c>
      <c r="F224" t="s">
        <v>2320</v>
      </c>
      <c r="G224">
        <v>-25.9894</v>
      </c>
      <c r="H224">
        <v>28.076699999999999</v>
      </c>
      <c r="I224" t="s">
        <v>2046</v>
      </c>
      <c r="J224" t="s">
        <v>1042</v>
      </c>
      <c r="K224" t="s">
        <v>1104</v>
      </c>
      <c r="L224" t="s">
        <v>1105</v>
      </c>
      <c r="M224" t="s">
        <v>1046</v>
      </c>
    </row>
    <row r="225" spans="1:13">
      <c r="A225">
        <v>1973</v>
      </c>
      <c r="B225">
        <v>4</v>
      </c>
      <c r="C225" t="s">
        <v>1143</v>
      </c>
      <c r="D225" s="82">
        <v>26783</v>
      </c>
      <c r="E225" t="s">
        <v>1210</v>
      </c>
      <c r="F225" t="s">
        <v>2321</v>
      </c>
      <c r="G225">
        <v>41.366399999999999</v>
      </c>
      <c r="H225">
        <v>2.1516700000000002</v>
      </c>
      <c r="I225" t="s">
        <v>2051</v>
      </c>
      <c r="J225" t="s">
        <v>899</v>
      </c>
      <c r="K225" t="s">
        <v>1144</v>
      </c>
      <c r="L225" t="s">
        <v>902</v>
      </c>
      <c r="M225" t="s">
        <v>903</v>
      </c>
    </row>
    <row r="226" spans="1:13">
      <c r="A226">
        <v>1973</v>
      </c>
      <c r="B226">
        <v>5</v>
      </c>
      <c r="C226" t="s">
        <v>1211</v>
      </c>
      <c r="D226" s="82">
        <v>26804</v>
      </c>
      <c r="E226" t="s">
        <v>1214</v>
      </c>
      <c r="F226" t="s">
        <v>2322</v>
      </c>
      <c r="G226">
        <v>50.989400000000003</v>
      </c>
      <c r="H226">
        <v>5.2569400000000002</v>
      </c>
      <c r="I226" t="s">
        <v>2057</v>
      </c>
      <c r="J226" t="s">
        <v>872</v>
      </c>
      <c r="K226" t="s">
        <v>1212</v>
      </c>
      <c r="L226" t="s">
        <v>1213</v>
      </c>
      <c r="M226" t="s">
        <v>244</v>
      </c>
    </row>
    <row r="227" spans="1:13">
      <c r="A227">
        <v>1973</v>
      </c>
      <c r="B227">
        <v>6</v>
      </c>
      <c r="C227" t="s">
        <v>857</v>
      </c>
      <c r="D227" s="82">
        <v>26818</v>
      </c>
      <c r="E227" t="s">
        <v>1215</v>
      </c>
      <c r="F227" t="s">
        <v>2323</v>
      </c>
      <c r="G227">
        <v>43.734699999999997</v>
      </c>
      <c r="H227">
        <v>7.42056</v>
      </c>
      <c r="I227" t="s">
        <v>2021</v>
      </c>
      <c r="J227" t="s">
        <v>856</v>
      </c>
      <c r="K227" t="s">
        <v>858</v>
      </c>
      <c r="L227" t="s">
        <v>859</v>
      </c>
      <c r="M227" t="s">
        <v>860</v>
      </c>
    </row>
    <row r="228" spans="1:13">
      <c r="A228">
        <v>1973</v>
      </c>
      <c r="B228">
        <v>7</v>
      </c>
      <c r="C228" t="s">
        <v>1217</v>
      </c>
      <c r="D228" s="82">
        <v>26832</v>
      </c>
      <c r="E228" t="s">
        <v>1221</v>
      </c>
      <c r="F228" t="s">
        <v>2324</v>
      </c>
      <c r="G228">
        <v>57.265300000000003</v>
      </c>
      <c r="H228">
        <v>13.604200000000001</v>
      </c>
      <c r="I228" t="s">
        <v>2058</v>
      </c>
      <c r="J228" t="s">
        <v>1216</v>
      </c>
      <c r="K228" t="s">
        <v>1218</v>
      </c>
      <c r="L228" t="s">
        <v>1219</v>
      </c>
      <c r="M228" t="s">
        <v>1220</v>
      </c>
    </row>
    <row r="229" spans="1:13">
      <c r="A229">
        <v>1973</v>
      </c>
      <c r="B229">
        <v>8</v>
      </c>
      <c r="C229" t="s">
        <v>1178</v>
      </c>
      <c r="D229" s="82">
        <v>26846</v>
      </c>
      <c r="E229" t="s">
        <v>1222</v>
      </c>
      <c r="F229" t="s">
        <v>2325</v>
      </c>
      <c r="G229">
        <v>43.250599999999999</v>
      </c>
      <c r="H229">
        <v>5.7916699999999999</v>
      </c>
      <c r="I229" t="s">
        <v>2054</v>
      </c>
      <c r="J229" t="s">
        <v>877</v>
      </c>
      <c r="K229" t="s">
        <v>1179</v>
      </c>
      <c r="L229" t="s">
        <v>1180</v>
      </c>
      <c r="M229" t="s">
        <v>755</v>
      </c>
    </row>
    <row r="230" spans="1:13">
      <c r="A230">
        <v>1973</v>
      </c>
      <c r="B230">
        <v>9</v>
      </c>
      <c r="C230" t="s">
        <v>851</v>
      </c>
      <c r="D230" s="82">
        <v>26859</v>
      </c>
      <c r="E230" t="s">
        <v>1223</v>
      </c>
      <c r="F230" t="s">
        <v>2326</v>
      </c>
      <c r="G230">
        <v>52.078600000000002</v>
      </c>
      <c r="H230">
        <v>-1.01694</v>
      </c>
      <c r="I230" t="s">
        <v>2020</v>
      </c>
      <c r="J230" t="s">
        <v>850</v>
      </c>
      <c r="K230" t="s">
        <v>852</v>
      </c>
      <c r="L230" t="s">
        <v>853</v>
      </c>
      <c r="M230" t="s">
        <v>854</v>
      </c>
    </row>
    <row r="231" spans="1:13">
      <c r="A231">
        <v>1973</v>
      </c>
      <c r="B231">
        <v>10</v>
      </c>
      <c r="C231" t="s">
        <v>915</v>
      </c>
      <c r="D231" s="82">
        <v>26874</v>
      </c>
      <c r="E231" t="s">
        <v>1224</v>
      </c>
      <c r="F231" t="s">
        <v>2327</v>
      </c>
      <c r="G231">
        <v>52.388800000000003</v>
      </c>
      <c r="H231">
        <v>4.5409199999999998</v>
      </c>
      <c r="I231" t="s">
        <v>2030</v>
      </c>
      <c r="J231" t="s">
        <v>914</v>
      </c>
      <c r="K231" t="s">
        <v>916</v>
      </c>
      <c r="L231" t="s">
        <v>917</v>
      </c>
      <c r="M231" t="s">
        <v>918</v>
      </c>
    </row>
    <row r="232" spans="1:13">
      <c r="A232">
        <v>1973</v>
      </c>
      <c r="B232">
        <v>11</v>
      </c>
      <c r="C232" t="s">
        <v>894</v>
      </c>
      <c r="D232" s="82">
        <v>26881</v>
      </c>
      <c r="E232" t="s">
        <v>1225</v>
      </c>
      <c r="F232" t="s">
        <v>2328</v>
      </c>
      <c r="G232">
        <v>50.335599999999999</v>
      </c>
      <c r="H232">
        <v>6.9474999999999998</v>
      </c>
      <c r="I232" t="s">
        <v>2027</v>
      </c>
      <c r="J232" t="s">
        <v>893</v>
      </c>
      <c r="K232" t="s">
        <v>895</v>
      </c>
      <c r="L232" t="s">
        <v>896</v>
      </c>
      <c r="M232" t="s">
        <v>761</v>
      </c>
    </row>
    <row r="233" spans="1:13">
      <c r="A233">
        <v>1973</v>
      </c>
      <c r="B233">
        <v>12</v>
      </c>
      <c r="C233" t="s">
        <v>1166</v>
      </c>
      <c r="D233" s="82">
        <v>26895</v>
      </c>
      <c r="E233" t="s">
        <v>1226</v>
      </c>
      <c r="F233" t="s">
        <v>2329</v>
      </c>
      <c r="G233">
        <v>47.219700000000003</v>
      </c>
      <c r="H233">
        <v>14.764699999999999</v>
      </c>
      <c r="I233" t="s">
        <v>2053</v>
      </c>
      <c r="J233" t="s">
        <v>1072</v>
      </c>
      <c r="K233" t="s">
        <v>1167</v>
      </c>
      <c r="L233" t="s">
        <v>1168</v>
      </c>
      <c r="M233" t="s">
        <v>1076</v>
      </c>
    </row>
    <row r="234" spans="1:13">
      <c r="A234">
        <v>1973</v>
      </c>
      <c r="B234">
        <v>13</v>
      </c>
      <c r="C234" t="s">
        <v>883</v>
      </c>
      <c r="D234" s="82">
        <v>26916</v>
      </c>
      <c r="E234" t="s">
        <v>1227</v>
      </c>
      <c r="F234" t="s">
        <v>2330</v>
      </c>
      <c r="G234">
        <v>45.615600000000001</v>
      </c>
      <c r="H234">
        <v>9.28111</v>
      </c>
      <c r="I234" t="s">
        <v>2026</v>
      </c>
      <c r="J234" t="s">
        <v>882</v>
      </c>
      <c r="K234" t="s">
        <v>884</v>
      </c>
      <c r="L234" t="s">
        <v>885</v>
      </c>
      <c r="M234" t="s">
        <v>886</v>
      </c>
    </row>
    <row r="235" spans="1:13">
      <c r="A235">
        <v>1973</v>
      </c>
      <c r="B235">
        <v>14</v>
      </c>
      <c r="C235" t="s">
        <v>1116</v>
      </c>
      <c r="D235" s="82">
        <v>26930</v>
      </c>
      <c r="E235" t="s">
        <v>1228</v>
      </c>
      <c r="F235" t="s">
        <v>2331</v>
      </c>
      <c r="G235">
        <v>44.048099999999998</v>
      </c>
      <c r="H235">
        <v>-78.675600000000003</v>
      </c>
      <c r="I235" t="s">
        <v>2048</v>
      </c>
      <c r="J235" t="s">
        <v>1115</v>
      </c>
      <c r="K235" t="s">
        <v>1117</v>
      </c>
      <c r="L235" t="s">
        <v>1118</v>
      </c>
      <c r="M235" t="s">
        <v>1119</v>
      </c>
    </row>
    <row r="236" spans="1:13">
      <c r="A236">
        <v>1973</v>
      </c>
      <c r="B236">
        <v>15</v>
      </c>
      <c r="C236" t="s">
        <v>1031</v>
      </c>
      <c r="D236" s="82">
        <v>26944</v>
      </c>
      <c r="E236" t="s">
        <v>1229</v>
      </c>
      <c r="F236" t="s">
        <v>2332</v>
      </c>
      <c r="G236">
        <v>42.3369</v>
      </c>
      <c r="H236">
        <v>-76.927199999999999</v>
      </c>
      <c r="I236" t="s">
        <v>2040</v>
      </c>
      <c r="J236" t="s">
        <v>1006</v>
      </c>
      <c r="K236" t="s">
        <v>1032</v>
      </c>
      <c r="L236" t="s">
        <v>752</v>
      </c>
      <c r="M236" t="s">
        <v>1010</v>
      </c>
    </row>
    <row r="237" spans="1:13">
      <c r="A237">
        <v>1974</v>
      </c>
      <c r="B237">
        <v>1</v>
      </c>
      <c r="C237" t="s">
        <v>922</v>
      </c>
      <c r="D237" s="82">
        <v>27042</v>
      </c>
      <c r="E237" t="s">
        <v>1230</v>
      </c>
      <c r="F237" t="s">
        <v>2333</v>
      </c>
      <c r="G237">
        <v>-34.694299999999998</v>
      </c>
      <c r="H237">
        <v>-58.459299999999999</v>
      </c>
      <c r="I237" t="s">
        <v>2031</v>
      </c>
      <c r="J237" t="s">
        <v>921</v>
      </c>
      <c r="K237" t="s">
        <v>923</v>
      </c>
      <c r="L237" t="s">
        <v>253</v>
      </c>
      <c r="M237" t="s">
        <v>252</v>
      </c>
    </row>
    <row r="238" spans="1:13">
      <c r="A238">
        <v>1974</v>
      </c>
      <c r="B238">
        <v>2</v>
      </c>
      <c r="C238" t="s">
        <v>1204</v>
      </c>
      <c r="D238" s="82">
        <v>27056</v>
      </c>
      <c r="E238" t="s">
        <v>1231</v>
      </c>
      <c r="F238" t="s">
        <v>2334</v>
      </c>
      <c r="G238">
        <v>-23.703600000000002</v>
      </c>
      <c r="H238">
        <v>-46.6997</v>
      </c>
      <c r="I238" t="s">
        <v>2056</v>
      </c>
      <c r="J238" t="s">
        <v>1203</v>
      </c>
      <c r="K238" t="s">
        <v>1205</v>
      </c>
      <c r="L238" t="s">
        <v>1206</v>
      </c>
      <c r="M238" t="s">
        <v>1207</v>
      </c>
    </row>
    <row r="239" spans="1:13">
      <c r="A239">
        <v>1974</v>
      </c>
      <c r="B239">
        <v>3</v>
      </c>
      <c r="C239" t="s">
        <v>1103</v>
      </c>
      <c r="D239" s="82">
        <v>27118</v>
      </c>
      <c r="E239" t="s">
        <v>1232</v>
      </c>
      <c r="F239" t="s">
        <v>2335</v>
      </c>
      <c r="G239">
        <v>-25.9894</v>
      </c>
      <c r="H239">
        <v>28.076699999999999</v>
      </c>
      <c r="I239" t="s">
        <v>2046</v>
      </c>
      <c r="J239" t="s">
        <v>1042</v>
      </c>
      <c r="K239" t="s">
        <v>1104</v>
      </c>
      <c r="L239" t="s">
        <v>1105</v>
      </c>
      <c r="M239" t="s">
        <v>1046</v>
      </c>
    </row>
    <row r="240" spans="1:13">
      <c r="A240">
        <v>1974</v>
      </c>
      <c r="B240">
        <v>4</v>
      </c>
      <c r="C240" t="s">
        <v>1125</v>
      </c>
      <c r="D240" s="82">
        <v>27147</v>
      </c>
      <c r="E240" t="s">
        <v>1233</v>
      </c>
      <c r="F240" t="s">
        <v>2336</v>
      </c>
      <c r="G240">
        <v>40.617100000000001</v>
      </c>
      <c r="H240">
        <v>-3.5855800000000002</v>
      </c>
      <c r="I240" t="s">
        <v>2049</v>
      </c>
      <c r="J240" t="s">
        <v>899</v>
      </c>
      <c r="K240" t="s">
        <v>1126</v>
      </c>
      <c r="L240" t="s">
        <v>1127</v>
      </c>
      <c r="M240" t="s">
        <v>903</v>
      </c>
    </row>
    <row r="241" spans="1:13">
      <c r="A241">
        <v>1974</v>
      </c>
      <c r="B241">
        <v>5</v>
      </c>
      <c r="C241" t="s">
        <v>1192</v>
      </c>
      <c r="D241" s="82">
        <v>27161</v>
      </c>
      <c r="E241" t="s">
        <v>1234</v>
      </c>
      <c r="F241" t="s">
        <v>2337</v>
      </c>
      <c r="G241">
        <v>50.621099999999998</v>
      </c>
      <c r="H241">
        <v>4.3269399999999996</v>
      </c>
      <c r="I241" t="s">
        <v>2055</v>
      </c>
      <c r="J241" t="s">
        <v>872</v>
      </c>
      <c r="K241" t="s">
        <v>1193</v>
      </c>
      <c r="L241" t="s">
        <v>100</v>
      </c>
      <c r="M241" t="s">
        <v>244</v>
      </c>
    </row>
    <row r="242" spans="1:13">
      <c r="A242">
        <v>1974</v>
      </c>
      <c r="B242">
        <v>6</v>
      </c>
      <c r="C242" t="s">
        <v>857</v>
      </c>
      <c r="D242" s="82">
        <v>27175</v>
      </c>
      <c r="E242" t="s">
        <v>1235</v>
      </c>
      <c r="F242" t="s">
        <v>2338</v>
      </c>
      <c r="G242">
        <v>43.734699999999997</v>
      </c>
      <c r="H242">
        <v>7.42056</v>
      </c>
      <c r="I242" t="s">
        <v>2021</v>
      </c>
      <c r="J242" t="s">
        <v>856</v>
      </c>
      <c r="K242" t="s">
        <v>858</v>
      </c>
      <c r="L242" t="s">
        <v>859</v>
      </c>
      <c r="M242" t="s">
        <v>860</v>
      </c>
    </row>
    <row r="243" spans="1:13">
      <c r="A243">
        <v>1974</v>
      </c>
      <c r="B243">
        <v>7</v>
      </c>
      <c r="C243" t="s">
        <v>1217</v>
      </c>
      <c r="D243" s="82">
        <v>27189</v>
      </c>
      <c r="E243" t="s">
        <v>1236</v>
      </c>
      <c r="F243" t="s">
        <v>2339</v>
      </c>
      <c r="G243">
        <v>57.265300000000003</v>
      </c>
      <c r="H243">
        <v>13.604200000000001</v>
      </c>
      <c r="I243" t="s">
        <v>2058</v>
      </c>
      <c r="J243" t="s">
        <v>1216</v>
      </c>
      <c r="K243" t="s">
        <v>1218</v>
      </c>
      <c r="L243" t="s">
        <v>1219</v>
      </c>
      <c r="M243" t="s">
        <v>1220</v>
      </c>
    </row>
    <row r="244" spans="1:13">
      <c r="A244">
        <v>1974</v>
      </c>
      <c r="B244">
        <v>8</v>
      </c>
      <c r="C244" t="s">
        <v>915</v>
      </c>
      <c r="D244" s="82">
        <v>27203</v>
      </c>
      <c r="E244" t="s">
        <v>1237</v>
      </c>
      <c r="F244" t="s">
        <v>2340</v>
      </c>
      <c r="G244">
        <v>52.388800000000003</v>
      </c>
      <c r="H244">
        <v>4.5409199999999998</v>
      </c>
      <c r="I244" t="s">
        <v>2030</v>
      </c>
      <c r="J244" t="s">
        <v>914</v>
      </c>
      <c r="K244" t="s">
        <v>916</v>
      </c>
      <c r="L244" t="s">
        <v>917</v>
      </c>
      <c r="M244" t="s">
        <v>918</v>
      </c>
    </row>
    <row r="245" spans="1:13">
      <c r="A245">
        <v>1974</v>
      </c>
      <c r="B245">
        <v>9</v>
      </c>
      <c r="C245" t="s">
        <v>1238</v>
      </c>
      <c r="D245" s="82">
        <v>27217</v>
      </c>
      <c r="E245" t="s">
        <v>1241</v>
      </c>
      <c r="F245" t="s">
        <v>2341</v>
      </c>
      <c r="G245">
        <v>47.362499999999997</v>
      </c>
      <c r="H245">
        <v>47.362499999999997</v>
      </c>
      <c r="I245" t="s">
        <v>2059</v>
      </c>
      <c r="J245" t="s">
        <v>877</v>
      </c>
      <c r="K245" t="s">
        <v>1239</v>
      </c>
      <c r="L245" t="s">
        <v>1240</v>
      </c>
      <c r="M245" t="s">
        <v>755</v>
      </c>
    </row>
    <row r="246" spans="1:13">
      <c r="A246">
        <v>1974</v>
      </c>
      <c r="B246">
        <v>10</v>
      </c>
      <c r="C246" t="s">
        <v>1067</v>
      </c>
      <c r="D246" s="82">
        <v>27230</v>
      </c>
      <c r="E246" t="s">
        <v>1242</v>
      </c>
      <c r="F246" t="s">
        <v>2342</v>
      </c>
      <c r="G246">
        <v>51.356900000000003</v>
      </c>
      <c r="H246">
        <v>0.26305600000000001</v>
      </c>
      <c r="I246" t="s">
        <v>2043</v>
      </c>
      <c r="J246" t="s">
        <v>850</v>
      </c>
      <c r="K246" t="s">
        <v>1068</v>
      </c>
      <c r="L246" t="s">
        <v>1069</v>
      </c>
      <c r="M246" t="s">
        <v>854</v>
      </c>
    </row>
    <row r="247" spans="1:13">
      <c r="A247">
        <v>1974</v>
      </c>
      <c r="B247">
        <v>11</v>
      </c>
      <c r="C247" t="s">
        <v>894</v>
      </c>
      <c r="D247" s="82">
        <v>27245</v>
      </c>
      <c r="E247" t="s">
        <v>1243</v>
      </c>
      <c r="F247" t="s">
        <v>2343</v>
      </c>
      <c r="G247">
        <v>50.335599999999999</v>
      </c>
      <c r="H247">
        <v>6.9474999999999998</v>
      </c>
      <c r="I247" t="s">
        <v>2027</v>
      </c>
      <c r="J247" t="s">
        <v>893</v>
      </c>
      <c r="K247" t="s">
        <v>895</v>
      </c>
      <c r="L247" t="s">
        <v>896</v>
      </c>
      <c r="M247" t="s">
        <v>761</v>
      </c>
    </row>
    <row r="248" spans="1:13">
      <c r="A248">
        <v>1974</v>
      </c>
      <c r="B248">
        <v>12</v>
      </c>
      <c r="C248" t="s">
        <v>1166</v>
      </c>
      <c r="D248" s="82">
        <v>27259</v>
      </c>
      <c r="E248" t="s">
        <v>1244</v>
      </c>
      <c r="F248" t="s">
        <v>2344</v>
      </c>
      <c r="G248">
        <v>47.219700000000003</v>
      </c>
      <c r="H248">
        <v>14.764699999999999</v>
      </c>
      <c r="I248" t="s">
        <v>2053</v>
      </c>
      <c r="J248" t="s">
        <v>1072</v>
      </c>
      <c r="K248" t="s">
        <v>1167</v>
      </c>
      <c r="L248" t="s">
        <v>1168</v>
      </c>
      <c r="M248" t="s">
        <v>1076</v>
      </c>
    </row>
    <row r="249" spans="1:13">
      <c r="A249">
        <v>1974</v>
      </c>
      <c r="B249">
        <v>13</v>
      </c>
      <c r="C249" t="s">
        <v>883</v>
      </c>
      <c r="D249" s="82">
        <v>27280</v>
      </c>
      <c r="E249" t="s">
        <v>1245</v>
      </c>
      <c r="F249" t="s">
        <v>2345</v>
      </c>
      <c r="G249">
        <v>45.615600000000001</v>
      </c>
      <c r="H249">
        <v>9.28111</v>
      </c>
      <c r="I249" t="s">
        <v>2026</v>
      </c>
      <c r="J249" t="s">
        <v>882</v>
      </c>
      <c r="K249" t="s">
        <v>884</v>
      </c>
      <c r="L249" t="s">
        <v>885</v>
      </c>
      <c r="M249" t="s">
        <v>886</v>
      </c>
    </row>
    <row r="250" spans="1:13">
      <c r="A250">
        <v>1974</v>
      </c>
      <c r="B250">
        <v>14</v>
      </c>
      <c r="C250" t="s">
        <v>1116</v>
      </c>
      <c r="D250" s="82">
        <v>27294</v>
      </c>
      <c r="E250" t="s">
        <v>1246</v>
      </c>
      <c r="F250" t="s">
        <v>2346</v>
      </c>
      <c r="G250">
        <v>44.048099999999998</v>
      </c>
      <c r="H250">
        <v>-78.675600000000003</v>
      </c>
      <c r="I250" t="s">
        <v>2048</v>
      </c>
      <c r="J250" t="s">
        <v>1115</v>
      </c>
      <c r="K250" t="s">
        <v>1117</v>
      </c>
      <c r="L250" t="s">
        <v>1118</v>
      </c>
      <c r="M250" t="s">
        <v>1119</v>
      </c>
    </row>
    <row r="251" spans="1:13">
      <c r="A251">
        <v>1974</v>
      </c>
      <c r="B251">
        <v>15</v>
      </c>
      <c r="C251" t="s">
        <v>1031</v>
      </c>
      <c r="D251" s="82">
        <v>27308</v>
      </c>
      <c r="E251" t="s">
        <v>1247</v>
      </c>
      <c r="F251" t="s">
        <v>2347</v>
      </c>
      <c r="G251">
        <v>42.3369</v>
      </c>
      <c r="H251">
        <v>-76.927199999999999</v>
      </c>
      <c r="I251" t="s">
        <v>2040</v>
      </c>
      <c r="J251" t="s">
        <v>1006</v>
      </c>
      <c r="K251" t="s">
        <v>1032</v>
      </c>
      <c r="L251" t="s">
        <v>752</v>
      </c>
      <c r="M251" t="s">
        <v>1010</v>
      </c>
    </row>
    <row r="252" spans="1:13">
      <c r="A252">
        <v>1975</v>
      </c>
      <c r="B252">
        <v>1</v>
      </c>
      <c r="C252" t="s">
        <v>922</v>
      </c>
      <c r="D252" s="82">
        <v>27406</v>
      </c>
      <c r="E252" t="s">
        <v>1248</v>
      </c>
      <c r="F252" t="s">
        <v>2348</v>
      </c>
      <c r="G252">
        <v>-34.694299999999998</v>
      </c>
      <c r="H252">
        <v>-58.459299999999999</v>
      </c>
      <c r="I252" t="s">
        <v>2031</v>
      </c>
      <c r="J252" t="s">
        <v>921</v>
      </c>
      <c r="K252" t="s">
        <v>923</v>
      </c>
      <c r="L252" t="s">
        <v>253</v>
      </c>
      <c r="M252" t="s">
        <v>252</v>
      </c>
    </row>
    <row r="253" spans="1:13">
      <c r="A253">
        <v>1975</v>
      </c>
      <c r="B253">
        <v>2</v>
      </c>
      <c r="C253" t="s">
        <v>1204</v>
      </c>
      <c r="D253" s="82">
        <v>27420</v>
      </c>
      <c r="E253" t="s">
        <v>1249</v>
      </c>
      <c r="F253" t="s">
        <v>2349</v>
      </c>
      <c r="G253">
        <v>-23.703600000000002</v>
      </c>
      <c r="H253">
        <v>-46.6997</v>
      </c>
      <c r="I253" t="s">
        <v>2056</v>
      </c>
      <c r="J253" t="s">
        <v>1203</v>
      </c>
      <c r="K253" t="s">
        <v>1205</v>
      </c>
      <c r="L253" t="s">
        <v>1206</v>
      </c>
      <c r="M253" t="s">
        <v>1207</v>
      </c>
    </row>
    <row r="254" spans="1:13">
      <c r="A254">
        <v>1975</v>
      </c>
      <c r="B254">
        <v>3</v>
      </c>
      <c r="C254" t="s">
        <v>1103</v>
      </c>
      <c r="D254" s="82">
        <v>27454</v>
      </c>
      <c r="E254" t="s">
        <v>1250</v>
      </c>
      <c r="F254" t="s">
        <v>2350</v>
      </c>
      <c r="G254">
        <v>-25.9894</v>
      </c>
      <c r="H254">
        <v>28.076699999999999</v>
      </c>
      <c r="I254" t="s">
        <v>2046</v>
      </c>
      <c r="J254" t="s">
        <v>1042</v>
      </c>
      <c r="K254" t="s">
        <v>1104</v>
      </c>
      <c r="L254" t="s">
        <v>1105</v>
      </c>
      <c r="M254" t="s">
        <v>1046</v>
      </c>
    </row>
    <row r="255" spans="1:13">
      <c r="A255">
        <v>1975</v>
      </c>
      <c r="B255">
        <v>4</v>
      </c>
      <c r="C255" t="s">
        <v>1143</v>
      </c>
      <c r="D255" s="82">
        <v>27511</v>
      </c>
      <c r="E255" t="s">
        <v>1251</v>
      </c>
      <c r="F255" t="s">
        <v>2351</v>
      </c>
      <c r="G255">
        <v>41.366399999999999</v>
      </c>
      <c r="H255">
        <v>2.1516700000000002</v>
      </c>
      <c r="I255" t="s">
        <v>2051</v>
      </c>
      <c r="J255" t="s">
        <v>899</v>
      </c>
      <c r="K255" t="s">
        <v>1144</v>
      </c>
      <c r="L255" t="s">
        <v>902</v>
      </c>
      <c r="M255" t="s">
        <v>903</v>
      </c>
    </row>
    <row r="256" spans="1:13">
      <c r="A256">
        <v>1975</v>
      </c>
      <c r="B256">
        <v>5</v>
      </c>
      <c r="C256" t="s">
        <v>857</v>
      </c>
      <c r="D256" s="82">
        <v>27525</v>
      </c>
      <c r="E256" t="s">
        <v>1252</v>
      </c>
      <c r="F256" t="s">
        <v>2352</v>
      </c>
      <c r="G256">
        <v>43.734699999999997</v>
      </c>
      <c r="H256">
        <v>7.42056</v>
      </c>
      <c r="I256" t="s">
        <v>2021</v>
      </c>
      <c r="J256" t="s">
        <v>856</v>
      </c>
      <c r="K256" t="s">
        <v>858</v>
      </c>
      <c r="L256" t="s">
        <v>859</v>
      </c>
      <c r="M256" t="s">
        <v>860</v>
      </c>
    </row>
    <row r="257" spans="1:13">
      <c r="A257">
        <v>1975</v>
      </c>
      <c r="B257">
        <v>6</v>
      </c>
      <c r="C257" t="s">
        <v>1211</v>
      </c>
      <c r="D257" s="82">
        <v>27539</v>
      </c>
      <c r="E257" t="s">
        <v>1253</v>
      </c>
      <c r="F257" t="s">
        <v>2353</v>
      </c>
      <c r="G257">
        <v>50.989400000000003</v>
      </c>
      <c r="H257">
        <v>5.2569400000000002</v>
      </c>
      <c r="I257" t="s">
        <v>2057</v>
      </c>
      <c r="J257" t="s">
        <v>872</v>
      </c>
      <c r="K257" t="s">
        <v>1212</v>
      </c>
      <c r="L257" t="s">
        <v>1213</v>
      </c>
      <c r="M257" t="s">
        <v>244</v>
      </c>
    </row>
    <row r="258" spans="1:13">
      <c r="A258">
        <v>1975</v>
      </c>
      <c r="B258">
        <v>7</v>
      </c>
      <c r="C258" t="s">
        <v>1217</v>
      </c>
      <c r="D258" s="82">
        <v>27553</v>
      </c>
      <c r="E258" t="s">
        <v>1254</v>
      </c>
      <c r="F258" t="s">
        <v>2354</v>
      </c>
      <c r="G258">
        <v>57.265300000000003</v>
      </c>
      <c r="H258">
        <v>13.604200000000001</v>
      </c>
      <c r="I258" t="s">
        <v>2058</v>
      </c>
      <c r="J258" t="s">
        <v>1216</v>
      </c>
      <c r="K258" t="s">
        <v>1218</v>
      </c>
      <c r="L258" t="s">
        <v>1219</v>
      </c>
      <c r="M258" t="s">
        <v>1220</v>
      </c>
    </row>
    <row r="259" spans="1:13">
      <c r="A259">
        <v>1975</v>
      </c>
      <c r="B259">
        <v>8</v>
      </c>
      <c r="C259" t="s">
        <v>915</v>
      </c>
      <c r="D259" s="82">
        <v>27567</v>
      </c>
      <c r="E259" t="s">
        <v>1255</v>
      </c>
      <c r="F259" t="s">
        <v>2355</v>
      </c>
      <c r="G259">
        <v>52.388800000000003</v>
      </c>
      <c r="H259">
        <v>4.5409199999999998</v>
      </c>
      <c r="I259" t="s">
        <v>2030</v>
      </c>
      <c r="J259" t="s">
        <v>914</v>
      </c>
      <c r="K259" t="s">
        <v>916</v>
      </c>
      <c r="L259" t="s">
        <v>917</v>
      </c>
      <c r="M259" t="s">
        <v>918</v>
      </c>
    </row>
    <row r="260" spans="1:13">
      <c r="A260">
        <v>1975</v>
      </c>
      <c r="B260">
        <v>9</v>
      </c>
      <c r="C260" t="s">
        <v>1178</v>
      </c>
      <c r="D260" s="82">
        <v>27581</v>
      </c>
      <c r="E260" t="s">
        <v>1256</v>
      </c>
      <c r="F260" t="s">
        <v>2356</v>
      </c>
      <c r="G260">
        <v>43.250599999999999</v>
      </c>
      <c r="H260">
        <v>5.7916699999999999</v>
      </c>
      <c r="I260" t="s">
        <v>2054</v>
      </c>
      <c r="J260" t="s">
        <v>877</v>
      </c>
      <c r="K260" t="s">
        <v>1179</v>
      </c>
      <c r="L260" t="s">
        <v>1180</v>
      </c>
      <c r="M260" t="s">
        <v>755</v>
      </c>
    </row>
    <row r="261" spans="1:13">
      <c r="A261">
        <v>1975</v>
      </c>
      <c r="B261">
        <v>10</v>
      </c>
      <c r="C261" t="s">
        <v>851</v>
      </c>
      <c r="D261" s="82">
        <v>27594</v>
      </c>
      <c r="E261" t="s">
        <v>1257</v>
      </c>
      <c r="F261" t="s">
        <v>2357</v>
      </c>
      <c r="G261">
        <v>52.078600000000002</v>
      </c>
      <c r="H261">
        <v>-1.01694</v>
      </c>
      <c r="I261" t="s">
        <v>2020</v>
      </c>
      <c r="J261" t="s">
        <v>850</v>
      </c>
      <c r="K261" t="s">
        <v>852</v>
      </c>
      <c r="L261" t="s">
        <v>853</v>
      </c>
      <c r="M261" t="s">
        <v>854</v>
      </c>
    </row>
    <row r="262" spans="1:13">
      <c r="A262">
        <v>1975</v>
      </c>
      <c r="B262">
        <v>11</v>
      </c>
      <c r="C262" t="s">
        <v>894</v>
      </c>
      <c r="D262" s="82">
        <v>27609</v>
      </c>
      <c r="E262" t="s">
        <v>1258</v>
      </c>
      <c r="F262" t="s">
        <v>2358</v>
      </c>
      <c r="G262">
        <v>50.335599999999999</v>
      </c>
      <c r="H262">
        <v>6.9474999999999998</v>
      </c>
      <c r="I262" t="s">
        <v>2027</v>
      </c>
      <c r="J262" t="s">
        <v>893</v>
      </c>
      <c r="K262" t="s">
        <v>895</v>
      </c>
      <c r="L262" t="s">
        <v>896</v>
      </c>
      <c r="M262" t="s">
        <v>761</v>
      </c>
    </row>
    <row r="263" spans="1:13">
      <c r="A263">
        <v>1975</v>
      </c>
      <c r="B263">
        <v>12</v>
      </c>
      <c r="C263" t="s">
        <v>1166</v>
      </c>
      <c r="D263" s="82">
        <v>27623</v>
      </c>
      <c r="E263" t="s">
        <v>1259</v>
      </c>
      <c r="F263" t="s">
        <v>2359</v>
      </c>
      <c r="G263">
        <v>47.219700000000003</v>
      </c>
      <c r="H263">
        <v>14.764699999999999</v>
      </c>
      <c r="I263" t="s">
        <v>2053</v>
      </c>
      <c r="J263" t="s">
        <v>1072</v>
      </c>
      <c r="K263" t="s">
        <v>1167</v>
      </c>
      <c r="L263" t="s">
        <v>1168</v>
      </c>
      <c r="M263" t="s">
        <v>1076</v>
      </c>
    </row>
    <row r="264" spans="1:13">
      <c r="A264">
        <v>1975</v>
      </c>
      <c r="B264">
        <v>13</v>
      </c>
      <c r="C264" t="s">
        <v>883</v>
      </c>
      <c r="D264" s="82">
        <v>27644</v>
      </c>
      <c r="E264" t="s">
        <v>1260</v>
      </c>
      <c r="F264" t="s">
        <v>2360</v>
      </c>
      <c r="G264">
        <v>45.615600000000001</v>
      </c>
      <c r="H264">
        <v>9.28111</v>
      </c>
      <c r="I264" t="s">
        <v>2026</v>
      </c>
      <c r="J264" t="s">
        <v>882</v>
      </c>
      <c r="K264" t="s">
        <v>884</v>
      </c>
      <c r="L264" t="s">
        <v>885</v>
      </c>
      <c r="M264" t="s">
        <v>886</v>
      </c>
    </row>
    <row r="265" spans="1:13">
      <c r="A265">
        <v>1975</v>
      </c>
      <c r="B265">
        <v>14</v>
      </c>
      <c r="C265" t="s">
        <v>1031</v>
      </c>
      <c r="D265" s="82">
        <v>27672</v>
      </c>
      <c r="E265" t="s">
        <v>1261</v>
      </c>
      <c r="F265" t="s">
        <v>2361</v>
      </c>
      <c r="G265">
        <v>42.3369</v>
      </c>
      <c r="H265">
        <v>-76.927199999999999</v>
      </c>
      <c r="I265" t="s">
        <v>2040</v>
      </c>
      <c r="J265" t="s">
        <v>1006</v>
      </c>
      <c r="K265" t="s">
        <v>1032</v>
      </c>
      <c r="L265" t="s">
        <v>752</v>
      </c>
      <c r="M265" t="s">
        <v>1010</v>
      </c>
    </row>
    <row r="266" spans="1:13">
      <c r="A266">
        <v>1976</v>
      </c>
      <c r="B266">
        <v>1</v>
      </c>
      <c r="C266" t="s">
        <v>1204</v>
      </c>
      <c r="D266" s="82">
        <v>27784</v>
      </c>
      <c r="E266" t="s">
        <v>1262</v>
      </c>
      <c r="F266" t="s">
        <v>2362</v>
      </c>
      <c r="G266">
        <v>-23.703600000000002</v>
      </c>
      <c r="H266">
        <v>-46.6997</v>
      </c>
      <c r="I266" t="s">
        <v>2056</v>
      </c>
      <c r="J266" t="s">
        <v>1203</v>
      </c>
      <c r="K266" t="s">
        <v>1205</v>
      </c>
      <c r="L266" t="s">
        <v>1206</v>
      </c>
      <c r="M266" t="s">
        <v>1207</v>
      </c>
    </row>
    <row r="267" spans="1:13">
      <c r="A267">
        <v>1976</v>
      </c>
      <c r="B267">
        <v>2</v>
      </c>
      <c r="C267" t="s">
        <v>1103</v>
      </c>
      <c r="D267" s="82">
        <v>27825</v>
      </c>
      <c r="E267" t="s">
        <v>1263</v>
      </c>
      <c r="F267" t="s">
        <v>2363</v>
      </c>
      <c r="G267">
        <v>-25.9894</v>
      </c>
      <c r="H267">
        <v>28.076699999999999</v>
      </c>
      <c r="I267" t="s">
        <v>2046</v>
      </c>
      <c r="J267" t="s">
        <v>1042</v>
      </c>
      <c r="K267" t="s">
        <v>1104</v>
      </c>
      <c r="L267" t="s">
        <v>1105</v>
      </c>
      <c r="M267" t="s">
        <v>1046</v>
      </c>
    </row>
    <row r="268" spans="1:13">
      <c r="A268">
        <v>1976</v>
      </c>
      <c r="B268">
        <v>3</v>
      </c>
      <c r="C268" t="s">
        <v>1265</v>
      </c>
      <c r="D268" s="82">
        <v>27847</v>
      </c>
      <c r="E268" t="s">
        <v>1267</v>
      </c>
      <c r="F268" t="s">
        <v>2364</v>
      </c>
      <c r="G268">
        <v>33.804200000000002</v>
      </c>
      <c r="H268">
        <v>-118.158</v>
      </c>
      <c r="I268" t="s">
        <v>2060</v>
      </c>
      <c r="J268" t="s">
        <v>1264</v>
      </c>
      <c r="K268" t="s">
        <v>1266</v>
      </c>
      <c r="L268" t="s">
        <v>77</v>
      </c>
      <c r="M268" t="s">
        <v>1010</v>
      </c>
    </row>
    <row r="269" spans="1:13">
      <c r="A269">
        <v>1976</v>
      </c>
      <c r="B269">
        <v>4</v>
      </c>
      <c r="C269" t="s">
        <v>1125</v>
      </c>
      <c r="D269" s="82">
        <v>27882</v>
      </c>
      <c r="E269" t="s">
        <v>1268</v>
      </c>
      <c r="F269" t="s">
        <v>2365</v>
      </c>
      <c r="G269">
        <v>40.617100000000001</v>
      </c>
      <c r="H269">
        <v>-3.5855800000000002</v>
      </c>
      <c r="I269" t="s">
        <v>2049</v>
      </c>
      <c r="J269" t="s">
        <v>899</v>
      </c>
      <c r="K269" t="s">
        <v>1126</v>
      </c>
      <c r="L269" t="s">
        <v>1127</v>
      </c>
      <c r="M269" t="s">
        <v>903</v>
      </c>
    </row>
    <row r="270" spans="1:13">
      <c r="A270">
        <v>1976</v>
      </c>
      <c r="B270">
        <v>5</v>
      </c>
      <c r="C270" t="s">
        <v>1211</v>
      </c>
      <c r="D270" s="82">
        <v>27896</v>
      </c>
      <c r="E270" t="s">
        <v>1269</v>
      </c>
      <c r="F270" t="s">
        <v>2366</v>
      </c>
      <c r="G270">
        <v>50.989400000000003</v>
      </c>
      <c r="H270">
        <v>5.2569400000000002</v>
      </c>
      <c r="I270" t="s">
        <v>2057</v>
      </c>
      <c r="J270" t="s">
        <v>872</v>
      </c>
      <c r="K270" t="s">
        <v>1212</v>
      </c>
      <c r="L270" t="s">
        <v>1213</v>
      </c>
      <c r="M270" t="s">
        <v>244</v>
      </c>
    </row>
    <row r="271" spans="1:13">
      <c r="A271">
        <v>1976</v>
      </c>
      <c r="B271">
        <v>6</v>
      </c>
      <c r="C271" t="s">
        <v>857</v>
      </c>
      <c r="D271" s="82">
        <v>27910</v>
      </c>
      <c r="E271" t="s">
        <v>1270</v>
      </c>
      <c r="F271" t="s">
        <v>2367</v>
      </c>
      <c r="G271">
        <v>43.734699999999997</v>
      </c>
      <c r="H271">
        <v>7.42056</v>
      </c>
      <c r="I271" t="s">
        <v>2021</v>
      </c>
      <c r="J271" t="s">
        <v>856</v>
      </c>
      <c r="K271" t="s">
        <v>858</v>
      </c>
      <c r="L271" t="s">
        <v>859</v>
      </c>
      <c r="M271" t="s">
        <v>860</v>
      </c>
    </row>
    <row r="272" spans="1:13">
      <c r="A272">
        <v>1976</v>
      </c>
      <c r="B272">
        <v>7</v>
      </c>
      <c r="C272" t="s">
        <v>1217</v>
      </c>
      <c r="D272" s="82">
        <v>27924</v>
      </c>
      <c r="E272" t="s">
        <v>1271</v>
      </c>
      <c r="F272" t="s">
        <v>2368</v>
      </c>
      <c r="G272">
        <v>57.265300000000003</v>
      </c>
      <c r="H272">
        <v>13.604200000000001</v>
      </c>
      <c r="I272" t="s">
        <v>2058</v>
      </c>
      <c r="J272" t="s">
        <v>1216</v>
      </c>
      <c r="K272" t="s">
        <v>1218</v>
      </c>
      <c r="L272" t="s">
        <v>1219</v>
      </c>
      <c r="M272" t="s">
        <v>1220</v>
      </c>
    </row>
    <row r="273" spans="1:13">
      <c r="A273">
        <v>1976</v>
      </c>
      <c r="B273">
        <v>8</v>
      </c>
      <c r="C273" t="s">
        <v>1178</v>
      </c>
      <c r="D273" s="82">
        <v>27945</v>
      </c>
      <c r="E273" t="s">
        <v>1272</v>
      </c>
      <c r="F273" t="s">
        <v>2369</v>
      </c>
      <c r="G273">
        <v>43.250599999999999</v>
      </c>
      <c r="H273">
        <v>5.7916699999999999</v>
      </c>
      <c r="I273" t="s">
        <v>2054</v>
      </c>
      <c r="J273" t="s">
        <v>877</v>
      </c>
      <c r="K273" t="s">
        <v>1179</v>
      </c>
      <c r="L273" t="s">
        <v>1180</v>
      </c>
      <c r="M273" t="s">
        <v>755</v>
      </c>
    </row>
    <row r="274" spans="1:13">
      <c r="A274">
        <v>1976</v>
      </c>
      <c r="B274">
        <v>9</v>
      </c>
      <c r="C274" t="s">
        <v>1067</v>
      </c>
      <c r="D274" s="82">
        <v>27959</v>
      </c>
      <c r="E274" t="s">
        <v>1273</v>
      </c>
      <c r="F274" t="s">
        <v>2370</v>
      </c>
      <c r="G274">
        <v>51.356900000000003</v>
      </c>
      <c r="H274">
        <v>0.26305600000000001</v>
      </c>
      <c r="I274" t="s">
        <v>2043</v>
      </c>
      <c r="J274" t="s">
        <v>850</v>
      </c>
      <c r="K274" t="s">
        <v>1068</v>
      </c>
      <c r="L274" t="s">
        <v>1069</v>
      </c>
      <c r="M274" t="s">
        <v>854</v>
      </c>
    </row>
    <row r="275" spans="1:13">
      <c r="A275">
        <v>1976</v>
      </c>
      <c r="B275">
        <v>10</v>
      </c>
      <c r="C275" t="s">
        <v>894</v>
      </c>
      <c r="D275" s="82">
        <v>27973</v>
      </c>
      <c r="E275" t="s">
        <v>1274</v>
      </c>
      <c r="F275" t="s">
        <v>2371</v>
      </c>
      <c r="G275">
        <v>50.335599999999999</v>
      </c>
      <c r="H275">
        <v>6.9474999999999998</v>
      </c>
      <c r="I275" t="s">
        <v>2027</v>
      </c>
      <c r="J275" t="s">
        <v>893</v>
      </c>
      <c r="K275" t="s">
        <v>895</v>
      </c>
      <c r="L275" t="s">
        <v>896</v>
      </c>
      <c r="M275" t="s">
        <v>761</v>
      </c>
    </row>
    <row r="276" spans="1:13">
      <c r="A276">
        <v>1976</v>
      </c>
      <c r="B276">
        <v>11</v>
      </c>
      <c r="C276" t="s">
        <v>1166</v>
      </c>
      <c r="D276" s="82">
        <v>27987</v>
      </c>
      <c r="E276" t="s">
        <v>1275</v>
      </c>
      <c r="F276" t="s">
        <v>2372</v>
      </c>
      <c r="G276">
        <v>47.219700000000003</v>
      </c>
      <c r="H276">
        <v>14.764699999999999</v>
      </c>
      <c r="I276" t="s">
        <v>2053</v>
      </c>
      <c r="J276" t="s">
        <v>1072</v>
      </c>
      <c r="K276" t="s">
        <v>1167</v>
      </c>
      <c r="L276" t="s">
        <v>1168</v>
      </c>
      <c r="M276" t="s">
        <v>1076</v>
      </c>
    </row>
    <row r="277" spans="1:13">
      <c r="A277">
        <v>1976</v>
      </c>
      <c r="B277">
        <v>12</v>
      </c>
      <c r="C277" t="s">
        <v>915</v>
      </c>
      <c r="D277" s="82">
        <v>28001</v>
      </c>
      <c r="E277" t="s">
        <v>1276</v>
      </c>
      <c r="F277" t="s">
        <v>2373</v>
      </c>
      <c r="G277">
        <v>52.388800000000003</v>
      </c>
      <c r="H277">
        <v>4.5409199999999998</v>
      </c>
      <c r="I277" t="s">
        <v>2030</v>
      </c>
      <c r="J277" t="s">
        <v>914</v>
      </c>
      <c r="K277" t="s">
        <v>916</v>
      </c>
      <c r="L277" t="s">
        <v>917</v>
      </c>
      <c r="M277" t="s">
        <v>918</v>
      </c>
    </row>
    <row r="278" spans="1:13">
      <c r="A278">
        <v>1976</v>
      </c>
      <c r="B278">
        <v>13</v>
      </c>
      <c r="C278" t="s">
        <v>883</v>
      </c>
      <c r="D278" s="82">
        <v>28015</v>
      </c>
      <c r="E278" t="s">
        <v>1277</v>
      </c>
      <c r="F278" t="s">
        <v>2374</v>
      </c>
      <c r="G278">
        <v>45.615600000000001</v>
      </c>
      <c r="H278">
        <v>9.28111</v>
      </c>
      <c r="I278" t="s">
        <v>2026</v>
      </c>
      <c r="J278" t="s">
        <v>882</v>
      </c>
      <c r="K278" t="s">
        <v>884</v>
      </c>
      <c r="L278" t="s">
        <v>885</v>
      </c>
      <c r="M278" t="s">
        <v>886</v>
      </c>
    </row>
    <row r="279" spans="1:13">
      <c r="A279">
        <v>1976</v>
      </c>
      <c r="B279">
        <v>14</v>
      </c>
      <c r="C279" t="s">
        <v>1116</v>
      </c>
      <c r="D279" s="82">
        <v>28036</v>
      </c>
      <c r="E279" t="s">
        <v>1278</v>
      </c>
      <c r="F279" t="s">
        <v>2375</v>
      </c>
      <c r="G279">
        <v>44.048099999999998</v>
      </c>
      <c r="H279">
        <v>-78.675600000000003</v>
      </c>
      <c r="I279" t="s">
        <v>2048</v>
      </c>
      <c r="J279" t="s">
        <v>1115</v>
      </c>
      <c r="K279" t="s">
        <v>1117</v>
      </c>
      <c r="L279" t="s">
        <v>1118</v>
      </c>
      <c r="M279" t="s">
        <v>1119</v>
      </c>
    </row>
    <row r="280" spans="1:13">
      <c r="A280">
        <v>1976</v>
      </c>
      <c r="B280">
        <v>15</v>
      </c>
      <c r="C280" t="s">
        <v>1031</v>
      </c>
      <c r="D280" s="82">
        <v>28043</v>
      </c>
      <c r="E280" t="s">
        <v>1279</v>
      </c>
      <c r="F280" t="s">
        <v>2376</v>
      </c>
      <c r="G280">
        <v>42.3369</v>
      </c>
      <c r="H280">
        <v>-76.927199999999999</v>
      </c>
      <c r="I280" t="s">
        <v>2040</v>
      </c>
      <c r="J280" t="s">
        <v>1006</v>
      </c>
      <c r="K280" t="s">
        <v>1032</v>
      </c>
      <c r="L280" t="s">
        <v>752</v>
      </c>
      <c r="M280" t="s">
        <v>1010</v>
      </c>
    </row>
    <row r="281" spans="1:13">
      <c r="A281">
        <v>1976</v>
      </c>
      <c r="B281">
        <v>16</v>
      </c>
      <c r="C281" t="s">
        <v>1281</v>
      </c>
      <c r="D281" s="82">
        <v>28057</v>
      </c>
      <c r="E281" t="s">
        <v>1284</v>
      </c>
      <c r="F281" t="s">
        <v>2377</v>
      </c>
      <c r="G281">
        <v>35.371699999999997</v>
      </c>
      <c r="H281">
        <v>138.92699999999999</v>
      </c>
      <c r="I281" t="s">
        <v>2061</v>
      </c>
      <c r="J281" t="s">
        <v>1280</v>
      </c>
      <c r="K281" t="s">
        <v>1282</v>
      </c>
      <c r="L281" t="s">
        <v>1283</v>
      </c>
      <c r="M281" t="s">
        <v>375</v>
      </c>
    </row>
    <row r="282" spans="1:13">
      <c r="A282">
        <v>1977</v>
      </c>
      <c r="B282">
        <v>1</v>
      </c>
      <c r="C282" t="s">
        <v>922</v>
      </c>
      <c r="D282" s="82">
        <v>28134</v>
      </c>
      <c r="E282" t="s">
        <v>1285</v>
      </c>
      <c r="F282" t="s">
        <v>2378</v>
      </c>
      <c r="G282">
        <v>-34.694299999999998</v>
      </c>
      <c r="H282">
        <v>-58.459299999999999</v>
      </c>
      <c r="I282" t="s">
        <v>2031</v>
      </c>
      <c r="J282" t="s">
        <v>921</v>
      </c>
      <c r="K282" t="s">
        <v>923</v>
      </c>
      <c r="L282" t="s">
        <v>253</v>
      </c>
      <c r="M282" t="s">
        <v>252</v>
      </c>
    </row>
    <row r="283" spans="1:13">
      <c r="A283">
        <v>1977</v>
      </c>
      <c r="B283">
        <v>2</v>
      </c>
      <c r="C283" t="s">
        <v>1204</v>
      </c>
      <c r="D283" s="82">
        <v>28148</v>
      </c>
      <c r="E283" t="s">
        <v>1286</v>
      </c>
      <c r="F283" t="s">
        <v>2379</v>
      </c>
      <c r="G283">
        <v>-23.703600000000002</v>
      </c>
      <c r="H283">
        <v>-46.6997</v>
      </c>
      <c r="I283" t="s">
        <v>2056</v>
      </c>
      <c r="J283" t="s">
        <v>1203</v>
      </c>
      <c r="K283" t="s">
        <v>1205</v>
      </c>
      <c r="L283" t="s">
        <v>1206</v>
      </c>
      <c r="M283" t="s">
        <v>1207</v>
      </c>
    </row>
    <row r="284" spans="1:13">
      <c r="A284">
        <v>1977</v>
      </c>
      <c r="B284">
        <v>3</v>
      </c>
      <c r="C284" t="s">
        <v>1103</v>
      </c>
      <c r="D284" s="82">
        <v>28189</v>
      </c>
      <c r="E284" t="s">
        <v>1287</v>
      </c>
      <c r="F284" t="s">
        <v>2380</v>
      </c>
      <c r="G284">
        <v>-25.9894</v>
      </c>
      <c r="H284">
        <v>28.076699999999999</v>
      </c>
      <c r="I284" t="s">
        <v>2046</v>
      </c>
      <c r="J284" t="s">
        <v>1042</v>
      </c>
      <c r="K284" t="s">
        <v>1104</v>
      </c>
      <c r="L284" t="s">
        <v>1105</v>
      </c>
      <c r="M284" t="s">
        <v>1046</v>
      </c>
    </row>
    <row r="285" spans="1:13">
      <c r="A285">
        <v>1977</v>
      </c>
      <c r="B285">
        <v>4</v>
      </c>
      <c r="C285" t="s">
        <v>1265</v>
      </c>
      <c r="D285" s="82">
        <v>28218</v>
      </c>
      <c r="E285" t="s">
        <v>1288</v>
      </c>
      <c r="F285" t="s">
        <v>2381</v>
      </c>
      <c r="G285">
        <v>33.804200000000002</v>
      </c>
      <c r="H285">
        <v>-118.158</v>
      </c>
      <c r="I285" t="s">
        <v>2060</v>
      </c>
      <c r="J285" t="s">
        <v>1264</v>
      </c>
      <c r="K285" t="s">
        <v>1266</v>
      </c>
      <c r="L285" t="s">
        <v>77</v>
      </c>
      <c r="M285" t="s">
        <v>1010</v>
      </c>
    </row>
    <row r="286" spans="1:13">
      <c r="A286">
        <v>1977</v>
      </c>
      <c r="B286">
        <v>5</v>
      </c>
      <c r="C286" t="s">
        <v>1125</v>
      </c>
      <c r="D286" s="82">
        <v>28253</v>
      </c>
      <c r="E286" t="s">
        <v>1289</v>
      </c>
      <c r="F286" t="s">
        <v>2382</v>
      </c>
      <c r="G286">
        <v>40.617100000000001</v>
      </c>
      <c r="H286">
        <v>-3.5855800000000002</v>
      </c>
      <c r="I286" t="s">
        <v>2049</v>
      </c>
      <c r="J286" t="s">
        <v>899</v>
      </c>
      <c r="K286" t="s">
        <v>1126</v>
      </c>
      <c r="L286" t="s">
        <v>1127</v>
      </c>
      <c r="M286" t="s">
        <v>903</v>
      </c>
    </row>
    <row r="287" spans="1:13">
      <c r="A287">
        <v>1977</v>
      </c>
      <c r="B287">
        <v>6</v>
      </c>
      <c r="C287" t="s">
        <v>857</v>
      </c>
      <c r="D287" s="82">
        <v>28267</v>
      </c>
      <c r="E287" t="s">
        <v>1290</v>
      </c>
      <c r="F287" t="s">
        <v>2383</v>
      </c>
      <c r="G287">
        <v>43.734699999999997</v>
      </c>
      <c r="H287">
        <v>7.42056</v>
      </c>
      <c r="I287" t="s">
        <v>2021</v>
      </c>
      <c r="J287" t="s">
        <v>856</v>
      </c>
      <c r="K287" t="s">
        <v>858</v>
      </c>
      <c r="L287" t="s">
        <v>859</v>
      </c>
      <c r="M287" t="s">
        <v>860</v>
      </c>
    </row>
    <row r="288" spans="1:13">
      <c r="A288">
        <v>1977</v>
      </c>
      <c r="B288">
        <v>7</v>
      </c>
      <c r="C288" t="s">
        <v>1211</v>
      </c>
      <c r="D288" s="82">
        <v>28281</v>
      </c>
      <c r="E288" t="s">
        <v>1291</v>
      </c>
      <c r="F288" t="s">
        <v>2384</v>
      </c>
      <c r="G288">
        <v>50.989400000000003</v>
      </c>
      <c r="H288">
        <v>5.2569400000000002</v>
      </c>
      <c r="I288" t="s">
        <v>2057</v>
      </c>
      <c r="J288" t="s">
        <v>872</v>
      </c>
      <c r="K288" t="s">
        <v>1212</v>
      </c>
      <c r="L288" t="s">
        <v>1213</v>
      </c>
      <c r="M288" t="s">
        <v>244</v>
      </c>
    </row>
    <row r="289" spans="1:13">
      <c r="A289">
        <v>1977</v>
      </c>
      <c r="B289">
        <v>8</v>
      </c>
      <c r="C289" t="s">
        <v>1217</v>
      </c>
      <c r="D289" s="82">
        <v>28295</v>
      </c>
      <c r="E289" t="s">
        <v>1292</v>
      </c>
      <c r="F289" t="s">
        <v>2385</v>
      </c>
      <c r="G289">
        <v>57.265300000000003</v>
      </c>
      <c r="H289">
        <v>13.604200000000001</v>
      </c>
      <c r="I289" t="s">
        <v>2058</v>
      </c>
      <c r="J289" t="s">
        <v>1216</v>
      </c>
      <c r="K289" t="s">
        <v>1218</v>
      </c>
      <c r="L289" t="s">
        <v>1219</v>
      </c>
      <c r="M289" t="s">
        <v>1220</v>
      </c>
    </row>
    <row r="290" spans="1:13">
      <c r="A290">
        <v>1977</v>
      </c>
      <c r="B290">
        <v>9</v>
      </c>
      <c r="C290" t="s">
        <v>1238</v>
      </c>
      <c r="D290" s="82">
        <v>28309</v>
      </c>
      <c r="E290" t="s">
        <v>1293</v>
      </c>
      <c r="F290" t="s">
        <v>2386</v>
      </c>
      <c r="G290">
        <v>47.362499999999997</v>
      </c>
      <c r="H290">
        <v>47.362499999999997</v>
      </c>
      <c r="I290" t="s">
        <v>2059</v>
      </c>
      <c r="J290" t="s">
        <v>877</v>
      </c>
      <c r="K290" t="s">
        <v>1239</v>
      </c>
      <c r="L290" t="s">
        <v>1240</v>
      </c>
      <c r="M290" t="s">
        <v>755</v>
      </c>
    </row>
    <row r="291" spans="1:13">
      <c r="A291">
        <v>1977</v>
      </c>
      <c r="B291">
        <v>10</v>
      </c>
      <c r="C291" t="s">
        <v>851</v>
      </c>
      <c r="D291" s="82">
        <v>28322</v>
      </c>
      <c r="E291" t="s">
        <v>1294</v>
      </c>
      <c r="F291" t="s">
        <v>2387</v>
      </c>
      <c r="G291">
        <v>52.078600000000002</v>
      </c>
      <c r="H291">
        <v>-1.01694</v>
      </c>
      <c r="I291" t="s">
        <v>2020</v>
      </c>
      <c r="J291" t="s">
        <v>850</v>
      </c>
      <c r="K291" t="s">
        <v>852</v>
      </c>
      <c r="L291" t="s">
        <v>853</v>
      </c>
      <c r="M291" t="s">
        <v>854</v>
      </c>
    </row>
    <row r="292" spans="1:13">
      <c r="A292">
        <v>1977</v>
      </c>
      <c r="B292">
        <v>11</v>
      </c>
      <c r="C292" t="s">
        <v>1162</v>
      </c>
      <c r="D292" s="82">
        <v>28337</v>
      </c>
      <c r="E292" t="s">
        <v>1295</v>
      </c>
      <c r="F292" t="s">
        <v>2388</v>
      </c>
      <c r="G292">
        <v>49.327800000000003</v>
      </c>
      <c r="H292">
        <v>8.5658300000000001</v>
      </c>
      <c r="I292" t="s">
        <v>2052</v>
      </c>
      <c r="J292" t="s">
        <v>893</v>
      </c>
      <c r="K292" t="s">
        <v>1163</v>
      </c>
      <c r="L292" t="s">
        <v>1164</v>
      </c>
      <c r="M292" t="s">
        <v>761</v>
      </c>
    </row>
    <row r="293" spans="1:13">
      <c r="A293">
        <v>1977</v>
      </c>
      <c r="B293">
        <v>12</v>
      </c>
      <c r="C293" t="s">
        <v>1166</v>
      </c>
      <c r="D293" s="82">
        <v>28351</v>
      </c>
      <c r="E293" t="s">
        <v>1296</v>
      </c>
      <c r="F293" t="s">
        <v>2389</v>
      </c>
      <c r="G293">
        <v>47.219700000000003</v>
      </c>
      <c r="H293">
        <v>14.764699999999999</v>
      </c>
      <c r="I293" t="s">
        <v>2053</v>
      </c>
      <c r="J293" t="s">
        <v>1072</v>
      </c>
      <c r="K293" t="s">
        <v>1167</v>
      </c>
      <c r="L293" t="s">
        <v>1168</v>
      </c>
      <c r="M293" t="s">
        <v>1076</v>
      </c>
    </row>
    <row r="294" spans="1:13">
      <c r="A294">
        <v>1977</v>
      </c>
      <c r="B294">
        <v>13</v>
      </c>
      <c r="C294" t="s">
        <v>915</v>
      </c>
      <c r="D294" s="82">
        <v>28365</v>
      </c>
      <c r="E294" t="s">
        <v>1297</v>
      </c>
      <c r="F294" t="s">
        <v>2390</v>
      </c>
      <c r="G294">
        <v>52.388800000000003</v>
      </c>
      <c r="H294">
        <v>4.5409199999999998</v>
      </c>
      <c r="I294" t="s">
        <v>2030</v>
      </c>
      <c r="J294" t="s">
        <v>914</v>
      </c>
      <c r="K294" t="s">
        <v>916</v>
      </c>
      <c r="L294" t="s">
        <v>917</v>
      </c>
      <c r="M294" t="s">
        <v>918</v>
      </c>
    </row>
    <row r="295" spans="1:13">
      <c r="A295">
        <v>1977</v>
      </c>
      <c r="B295">
        <v>14</v>
      </c>
      <c r="C295" t="s">
        <v>883</v>
      </c>
      <c r="D295" s="82">
        <v>28379</v>
      </c>
      <c r="E295" t="s">
        <v>1298</v>
      </c>
      <c r="F295" t="s">
        <v>2391</v>
      </c>
      <c r="G295">
        <v>45.615600000000001</v>
      </c>
      <c r="H295">
        <v>9.28111</v>
      </c>
      <c r="I295" t="s">
        <v>2026</v>
      </c>
      <c r="J295" t="s">
        <v>882</v>
      </c>
      <c r="K295" t="s">
        <v>884</v>
      </c>
      <c r="L295" t="s">
        <v>885</v>
      </c>
      <c r="M295" t="s">
        <v>886</v>
      </c>
    </row>
    <row r="296" spans="1:13">
      <c r="A296">
        <v>1977</v>
      </c>
      <c r="B296">
        <v>15</v>
      </c>
      <c r="C296" t="s">
        <v>1031</v>
      </c>
      <c r="D296" s="82">
        <v>28400</v>
      </c>
      <c r="E296" t="s">
        <v>1299</v>
      </c>
      <c r="F296" t="s">
        <v>2392</v>
      </c>
      <c r="G296">
        <v>42.3369</v>
      </c>
      <c r="H296">
        <v>-76.927199999999999</v>
      </c>
      <c r="I296" t="s">
        <v>2040</v>
      </c>
      <c r="J296" t="s">
        <v>1006</v>
      </c>
      <c r="K296" t="s">
        <v>1032</v>
      </c>
      <c r="L296" t="s">
        <v>752</v>
      </c>
      <c r="M296" t="s">
        <v>1010</v>
      </c>
    </row>
    <row r="297" spans="1:13">
      <c r="A297">
        <v>1977</v>
      </c>
      <c r="B297">
        <v>16</v>
      </c>
      <c r="C297" t="s">
        <v>1116</v>
      </c>
      <c r="D297" s="82">
        <v>28407</v>
      </c>
      <c r="E297" t="s">
        <v>1300</v>
      </c>
      <c r="F297" t="s">
        <v>2393</v>
      </c>
      <c r="G297">
        <v>44.048099999999998</v>
      </c>
      <c r="H297">
        <v>-78.675600000000003</v>
      </c>
      <c r="I297" t="s">
        <v>2048</v>
      </c>
      <c r="J297" t="s">
        <v>1115</v>
      </c>
      <c r="K297" t="s">
        <v>1117</v>
      </c>
      <c r="L297" t="s">
        <v>1118</v>
      </c>
      <c r="M297" t="s">
        <v>1119</v>
      </c>
    </row>
    <row r="298" spans="1:13">
      <c r="A298">
        <v>1977</v>
      </c>
      <c r="B298">
        <v>17</v>
      </c>
      <c r="C298" t="s">
        <v>1281</v>
      </c>
      <c r="D298" s="82">
        <v>28421</v>
      </c>
      <c r="E298" t="s">
        <v>1301</v>
      </c>
      <c r="F298" t="s">
        <v>2394</v>
      </c>
      <c r="G298">
        <v>35.371699999999997</v>
      </c>
      <c r="H298">
        <v>138.92699999999999</v>
      </c>
      <c r="I298" t="s">
        <v>2061</v>
      </c>
      <c r="J298" t="s">
        <v>1280</v>
      </c>
      <c r="K298" t="s">
        <v>1282</v>
      </c>
      <c r="L298" t="s">
        <v>1283</v>
      </c>
      <c r="M298" t="s">
        <v>375</v>
      </c>
    </row>
    <row r="299" spans="1:13">
      <c r="A299">
        <v>1978</v>
      </c>
      <c r="B299">
        <v>1</v>
      </c>
      <c r="C299" t="s">
        <v>922</v>
      </c>
      <c r="D299" s="82">
        <v>28505</v>
      </c>
      <c r="E299" t="s">
        <v>1302</v>
      </c>
      <c r="F299" t="s">
        <v>2395</v>
      </c>
      <c r="G299">
        <v>-34.694299999999998</v>
      </c>
      <c r="H299">
        <v>-58.459299999999999</v>
      </c>
      <c r="I299" t="s">
        <v>2031</v>
      </c>
      <c r="J299" t="s">
        <v>921</v>
      </c>
      <c r="K299" t="s">
        <v>923</v>
      </c>
      <c r="L299" t="s">
        <v>253</v>
      </c>
      <c r="M299" t="s">
        <v>252</v>
      </c>
    </row>
    <row r="300" spans="1:13">
      <c r="A300">
        <v>1978</v>
      </c>
      <c r="B300">
        <v>2</v>
      </c>
      <c r="C300" t="s">
        <v>1303</v>
      </c>
      <c r="D300" s="82">
        <v>28519</v>
      </c>
      <c r="E300" t="s">
        <v>1306</v>
      </c>
      <c r="F300" t="s">
        <v>2396</v>
      </c>
      <c r="G300">
        <v>-22.9756</v>
      </c>
      <c r="H300">
        <v>-43.395000000000003</v>
      </c>
      <c r="I300" t="s">
        <v>2062</v>
      </c>
      <c r="J300" t="s">
        <v>1203</v>
      </c>
      <c r="K300" t="s">
        <v>1304</v>
      </c>
      <c r="L300" t="s">
        <v>1305</v>
      </c>
      <c r="M300" t="s">
        <v>1207</v>
      </c>
    </row>
    <row r="301" spans="1:13">
      <c r="A301">
        <v>1978</v>
      </c>
      <c r="B301">
        <v>3</v>
      </c>
      <c r="C301" t="s">
        <v>1103</v>
      </c>
      <c r="D301" s="82">
        <v>28553</v>
      </c>
      <c r="E301" t="s">
        <v>1307</v>
      </c>
      <c r="F301" t="s">
        <v>2397</v>
      </c>
      <c r="G301">
        <v>-25.9894</v>
      </c>
      <c r="H301">
        <v>28.076699999999999</v>
      </c>
      <c r="I301" t="s">
        <v>2046</v>
      </c>
      <c r="J301" t="s">
        <v>1042</v>
      </c>
      <c r="K301" t="s">
        <v>1104</v>
      </c>
      <c r="L301" t="s">
        <v>1105</v>
      </c>
      <c r="M301" t="s">
        <v>1046</v>
      </c>
    </row>
    <row r="302" spans="1:13">
      <c r="A302">
        <v>1978</v>
      </c>
      <c r="B302">
        <v>4</v>
      </c>
      <c r="C302" t="s">
        <v>1265</v>
      </c>
      <c r="D302" s="82">
        <v>28582</v>
      </c>
      <c r="E302" t="s">
        <v>1308</v>
      </c>
      <c r="F302" t="s">
        <v>2398</v>
      </c>
      <c r="G302">
        <v>33.804200000000002</v>
      </c>
      <c r="H302">
        <v>-118.158</v>
      </c>
      <c r="I302" t="s">
        <v>2060</v>
      </c>
      <c r="J302" t="s">
        <v>1264</v>
      </c>
      <c r="K302" t="s">
        <v>1266</v>
      </c>
      <c r="L302" t="s">
        <v>77</v>
      </c>
      <c r="M302" t="s">
        <v>1010</v>
      </c>
    </row>
    <row r="303" spans="1:13">
      <c r="A303">
        <v>1978</v>
      </c>
      <c r="B303">
        <v>5</v>
      </c>
      <c r="C303" t="s">
        <v>857</v>
      </c>
      <c r="D303" s="82">
        <v>28617</v>
      </c>
      <c r="E303" t="s">
        <v>1309</v>
      </c>
      <c r="F303" t="s">
        <v>2399</v>
      </c>
      <c r="G303">
        <v>43.734699999999997</v>
      </c>
      <c r="H303">
        <v>7.42056</v>
      </c>
      <c r="I303" t="s">
        <v>2021</v>
      </c>
      <c r="J303" t="s">
        <v>856</v>
      </c>
      <c r="K303" t="s">
        <v>858</v>
      </c>
      <c r="L303" t="s">
        <v>859</v>
      </c>
      <c r="M303" t="s">
        <v>860</v>
      </c>
    </row>
    <row r="304" spans="1:13">
      <c r="A304">
        <v>1978</v>
      </c>
      <c r="B304">
        <v>6</v>
      </c>
      <c r="C304" t="s">
        <v>1211</v>
      </c>
      <c r="D304" s="82">
        <v>28631</v>
      </c>
      <c r="E304" t="s">
        <v>1310</v>
      </c>
      <c r="F304" t="s">
        <v>2400</v>
      </c>
      <c r="G304">
        <v>50.989400000000003</v>
      </c>
      <c r="H304">
        <v>5.2569400000000002</v>
      </c>
      <c r="I304" t="s">
        <v>2057</v>
      </c>
      <c r="J304" t="s">
        <v>872</v>
      </c>
      <c r="K304" t="s">
        <v>1212</v>
      </c>
      <c r="L304" t="s">
        <v>1213</v>
      </c>
      <c r="M304" t="s">
        <v>244</v>
      </c>
    </row>
    <row r="305" spans="1:13">
      <c r="A305">
        <v>1978</v>
      </c>
      <c r="B305">
        <v>7</v>
      </c>
      <c r="C305" t="s">
        <v>1125</v>
      </c>
      <c r="D305" s="82">
        <v>28645</v>
      </c>
      <c r="E305" t="s">
        <v>1311</v>
      </c>
      <c r="F305" t="s">
        <v>2401</v>
      </c>
      <c r="G305">
        <v>40.617100000000001</v>
      </c>
      <c r="H305">
        <v>-3.5855800000000002</v>
      </c>
      <c r="I305" t="s">
        <v>2049</v>
      </c>
      <c r="J305" t="s">
        <v>899</v>
      </c>
      <c r="K305" t="s">
        <v>1126</v>
      </c>
      <c r="L305" t="s">
        <v>1127</v>
      </c>
      <c r="M305" t="s">
        <v>903</v>
      </c>
    </row>
    <row r="306" spans="1:13">
      <c r="A306">
        <v>1978</v>
      </c>
      <c r="B306">
        <v>8</v>
      </c>
      <c r="C306" t="s">
        <v>1217</v>
      </c>
      <c r="D306" s="82">
        <v>28658</v>
      </c>
      <c r="E306" t="s">
        <v>1312</v>
      </c>
      <c r="F306" t="s">
        <v>2402</v>
      </c>
      <c r="G306">
        <v>57.265300000000003</v>
      </c>
      <c r="H306">
        <v>13.604200000000001</v>
      </c>
      <c r="I306" t="s">
        <v>2058</v>
      </c>
      <c r="J306" t="s">
        <v>1216</v>
      </c>
      <c r="K306" t="s">
        <v>1218</v>
      </c>
      <c r="L306" t="s">
        <v>1219</v>
      </c>
      <c r="M306" t="s">
        <v>1220</v>
      </c>
    </row>
    <row r="307" spans="1:13">
      <c r="A307">
        <v>1978</v>
      </c>
      <c r="B307">
        <v>9</v>
      </c>
      <c r="C307" t="s">
        <v>1178</v>
      </c>
      <c r="D307" s="82">
        <v>28673</v>
      </c>
      <c r="E307" t="s">
        <v>1313</v>
      </c>
      <c r="F307" t="s">
        <v>2403</v>
      </c>
      <c r="G307">
        <v>43.250599999999999</v>
      </c>
      <c r="H307">
        <v>5.7916699999999999</v>
      </c>
      <c r="I307" t="s">
        <v>2054</v>
      </c>
      <c r="J307" t="s">
        <v>877</v>
      </c>
      <c r="K307" t="s">
        <v>1179</v>
      </c>
      <c r="L307" t="s">
        <v>1180</v>
      </c>
      <c r="M307" t="s">
        <v>755</v>
      </c>
    </row>
    <row r="308" spans="1:13">
      <c r="A308">
        <v>1978</v>
      </c>
      <c r="B308">
        <v>10</v>
      </c>
      <c r="C308" t="s">
        <v>1067</v>
      </c>
      <c r="D308" s="82">
        <v>28687</v>
      </c>
      <c r="E308" t="s">
        <v>1314</v>
      </c>
      <c r="F308" t="s">
        <v>2404</v>
      </c>
      <c r="G308">
        <v>51.356900000000003</v>
      </c>
      <c r="H308">
        <v>0.26305600000000001</v>
      </c>
      <c r="I308" t="s">
        <v>2043</v>
      </c>
      <c r="J308" t="s">
        <v>850</v>
      </c>
      <c r="K308" t="s">
        <v>1068</v>
      </c>
      <c r="L308" t="s">
        <v>1069</v>
      </c>
      <c r="M308" t="s">
        <v>854</v>
      </c>
    </row>
    <row r="309" spans="1:13">
      <c r="A309">
        <v>1978</v>
      </c>
      <c r="B309">
        <v>11</v>
      </c>
      <c r="C309" t="s">
        <v>1162</v>
      </c>
      <c r="D309" s="82">
        <v>28701</v>
      </c>
      <c r="E309" t="s">
        <v>1315</v>
      </c>
      <c r="F309" t="s">
        <v>2405</v>
      </c>
      <c r="G309">
        <v>49.327800000000003</v>
      </c>
      <c r="H309">
        <v>8.5658300000000001</v>
      </c>
      <c r="I309" t="s">
        <v>2052</v>
      </c>
      <c r="J309" t="s">
        <v>893</v>
      </c>
      <c r="K309" t="s">
        <v>1163</v>
      </c>
      <c r="L309" t="s">
        <v>1164</v>
      </c>
      <c r="M309" t="s">
        <v>761</v>
      </c>
    </row>
    <row r="310" spans="1:13">
      <c r="A310">
        <v>1978</v>
      </c>
      <c r="B310">
        <v>12</v>
      </c>
      <c r="C310" t="s">
        <v>1166</v>
      </c>
      <c r="D310" s="82">
        <v>28715</v>
      </c>
      <c r="E310" t="s">
        <v>1316</v>
      </c>
      <c r="F310" t="s">
        <v>2406</v>
      </c>
      <c r="G310">
        <v>47.219700000000003</v>
      </c>
      <c r="H310">
        <v>14.764699999999999</v>
      </c>
      <c r="I310" t="s">
        <v>2053</v>
      </c>
      <c r="J310" t="s">
        <v>1072</v>
      </c>
      <c r="K310" t="s">
        <v>1167</v>
      </c>
      <c r="L310" t="s">
        <v>1168</v>
      </c>
      <c r="M310" t="s">
        <v>1076</v>
      </c>
    </row>
    <row r="311" spans="1:13">
      <c r="A311">
        <v>1978</v>
      </c>
      <c r="B311">
        <v>13</v>
      </c>
      <c r="C311" t="s">
        <v>915</v>
      </c>
      <c r="D311" s="82">
        <v>28729</v>
      </c>
      <c r="E311" t="s">
        <v>1317</v>
      </c>
      <c r="F311" t="s">
        <v>2407</v>
      </c>
      <c r="G311">
        <v>52.388800000000003</v>
      </c>
      <c r="H311">
        <v>4.5409199999999998</v>
      </c>
      <c r="I311" t="s">
        <v>2030</v>
      </c>
      <c r="J311" t="s">
        <v>914</v>
      </c>
      <c r="K311" t="s">
        <v>916</v>
      </c>
      <c r="L311" t="s">
        <v>917</v>
      </c>
      <c r="M311" t="s">
        <v>918</v>
      </c>
    </row>
    <row r="312" spans="1:13">
      <c r="A312">
        <v>1978</v>
      </c>
      <c r="B312">
        <v>14</v>
      </c>
      <c r="C312" t="s">
        <v>883</v>
      </c>
      <c r="D312" s="82">
        <v>28743</v>
      </c>
      <c r="E312" t="s">
        <v>1318</v>
      </c>
      <c r="F312" t="s">
        <v>2408</v>
      </c>
      <c r="G312">
        <v>45.615600000000001</v>
      </c>
      <c r="H312">
        <v>9.28111</v>
      </c>
      <c r="I312" t="s">
        <v>2026</v>
      </c>
      <c r="J312" t="s">
        <v>882</v>
      </c>
      <c r="K312" t="s">
        <v>884</v>
      </c>
      <c r="L312" t="s">
        <v>885</v>
      </c>
      <c r="M312" t="s">
        <v>886</v>
      </c>
    </row>
    <row r="313" spans="1:13">
      <c r="A313">
        <v>1978</v>
      </c>
      <c r="B313">
        <v>15</v>
      </c>
      <c r="C313" t="s">
        <v>1031</v>
      </c>
      <c r="D313" s="82">
        <v>28764</v>
      </c>
      <c r="E313" t="s">
        <v>1319</v>
      </c>
      <c r="F313" t="s">
        <v>2409</v>
      </c>
      <c r="G313">
        <v>42.3369</v>
      </c>
      <c r="H313">
        <v>-76.927199999999999</v>
      </c>
      <c r="I313" t="s">
        <v>2040</v>
      </c>
      <c r="J313" t="s">
        <v>1006</v>
      </c>
      <c r="K313" t="s">
        <v>1032</v>
      </c>
      <c r="L313" t="s">
        <v>752</v>
      </c>
      <c r="M313" t="s">
        <v>1010</v>
      </c>
    </row>
    <row r="314" spans="1:13">
      <c r="A314">
        <v>1978</v>
      </c>
      <c r="B314">
        <v>16</v>
      </c>
      <c r="C314" t="s">
        <v>1320</v>
      </c>
      <c r="D314" s="82">
        <v>28771</v>
      </c>
      <c r="E314" t="s">
        <v>1323</v>
      </c>
      <c r="F314" t="s">
        <v>2410</v>
      </c>
      <c r="G314">
        <v>45.5</v>
      </c>
      <c r="H314">
        <v>-73.522800000000004</v>
      </c>
      <c r="I314" t="s">
        <v>2063</v>
      </c>
      <c r="J314" t="s">
        <v>1115</v>
      </c>
      <c r="K314" t="s">
        <v>1321</v>
      </c>
      <c r="L314" t="s">
        <v>1322</v>
      </c>
      <c r="M314" t="s">
        <v>1119</v>
      </c>
    </row>
    <row r="315" spans="1:13">
      <c r="A315">
        <v>1979</v>
      </c>
      <c r="B315">
        <v>1</v>
      </c>
      <c r="C315" t="s">
        <v>922</v>
      </c>
      <c r="D315" s="82">
        <v>28876</v>
      </c>
      <c r="E315" t="s">
        <v>1324</v>
      </c>
      <c r="F315" t="s">
        <v>2411</v>
      </c>
      <c r="G315">
        <v>-34.694299999999998</v>
      </c>
      <c r="H315">
        <v>-58.459299999999999</v>
      </c>
      <c r="I315" t="s">
        <v>2031</v>
      </c>
      <c r="J315" t="s">
        <v>921</v>
      </c>
      <c r="K315" t="s">
        <v>923</v>
      </c>
      <c r="L315" t="s">
        <v>253</v>
      </c>
      <c r="M315" t="s">
        <v>252</v>
      </c>
    </row>
    <row r="316" spans="1:13">
      <c r="A316">
        <v>1979</v>
      </c>
      <c r="B316">
        <v>2</v>
      </c>
      <c r="C316" t="s">
        <v>1204</v>
      </c>
      <c r="D316" s="82">
        <v>28890</v>
      </c>
      <c r="E316" t="s">
        <v>1325</v>
      </c>
      <c r="F316" t="s">
        <v>2412</v>
      </c>
      <c r="G316">
        <v>-23.703600000000002</v>
      </c>
      <c r="H316">
        <v>-46.6997</v>
      </c>
      <c r="I316" t="s">
        <v>2056</v>
      </c>
      <c r="J316" t="s">
        <v>1203</v>
      </c>
      <c r="K316" t="s">
        <v>1205</v>
      </c>
      <c r="L316" t="s">
        <v>1206</v>
      </c>
      <c r="M316" t="s">
        <v>1207</v>
      </c>
    </row>
    <row r="317" spans="1:13">
      <c r="A317">
        <v>1979</v>
      </c>
      <c r="B317">
        <v>3</v>
      </c>
      <c r="C317" t="s">
        <v>1103</v>
      </c>
      <c r="D317" s="82">
        <v>28917</v>
      </c>
      <c r="E317" t="s">
        <v>1326</v>
      </c>
      <c r="F317" t="s">
        <v>2413</v>
      </c>
      <c r="G317">
        <v>-25.9894</v>
      </c>
      <c r="H317">
        <v>28.076699999999999</v>
      </c>
      <c r="I317" t="s">
        <v>2046</v>
      </c>
      <c r="J317" t="s">
        <v>1042</v>
      </c>
      <c r="K317" t="s">
        <v>1104</v>
      </c>
      <c r="L317" t="s">
        <v>1105</v>
      </c>
      <c r="M317" t="s">
        <v>1046</v>
      </c>
    </row>
    <row r="318" spans="1:13">
      <c r="A318">
        <v>1979</v>
      </c>
      <c r="B318">
        <v>4</v>
      </c>
      <c r="C318" t="s">
        <v>1265</v>
      </c>
      <c r="D318" s="82">
        <v>28953</v>
      </c>
      <c r="E318" t="s">
        <v>1327</v>
      </c>
      <c r="F318" t="s">
        <v>2414</v>
      </c>
      <c r="G318">
        <v>33.804200000000002</v>
      </c>
      <c r="H318">
        <v>-118.158</v>
      </c>
      <c r="I318" t="s">
        <v>2060</v>
      </c>
      <c r="J318" t="s">
        <v>1264</v>
      </c>
      <c r="K318" t="s">
        <v>1266</v>
      </c>
      <c r="L318" t="s">
        <v>77</v>
      </c>
      <c r="M318" t="s">
        <v>1010</v>
      </c>
    </row>
    <row r="319" spans="1:13">
      <c r="A319">
        <v>1979</v>
      </c>
      <c r="B319">
        <v>5</v>
      </c>
      <c r="C319" t="s">
        <v>1125</v>
      </c>
      <c r="D319" s="82">
        <v>28974</v>
      </c>
      <c r="E319" t="s">
        <v>1328</v>
      </c>
      <c r="F319" t="s">
        <v>2415</v>
      </c>
      <c r="G319">
        <v>40.617100000000001</v>
      </c>
      <c r="H319">
        <v>-3.5855800000000002</v>
      </c>
      <c r="I319" t="s">
        <v>2049</v>
      </c>
      <c r="J319" t="s">
        <v>899</v>
      </c>
      <c r="K319" t="s">
        <v>1126</v>
      </c>
      <c r="L319" t="s">
        <v>1127</v>
      </c>
      <c r="M319" t="s">
        <v>903</v>
      </c>
    </row>
    <row r="320" spans="1:13">
      <c r="A320">
        <v>1979</v>
      </c>
      <c r="B320">
        <v>6</v>
      </c>
      <c r="C320" t="s">
        <v>1211</v>
      </c>
      <c r="D320" s="82">
        <v>28988</v>
      </c>
      <c r="E320" t="s">
        <v>1329</v>
      </c>
      <c r="F320" t="s">
        <v>2416</v>
      </c>
      <c r="G320">
        <v>50.989400000000003</v>
      </c>
      <c r="H320">
        <v>5.2569400000000002</v>
      </c>
      <c r="I320" t="s">
        <v>2057</v>
      </c>
      <c r="J320" t="s">
        <v>872</v>
      </c>
      <c r="K320" t="s">
        <v>1212</v>
      </c>
      <c r="L320" t="s">
        <v>1213</v>
      </c>
      <c r="M320" t="s">
        <v>244</v>
      </c>
    </row>
    <row r="321" spans="1:13">
      <c r="A321">
        <v>1979</v>
      </c>
      <c r="B321">
        <v>7</v>
      </c>
      <c r="C321" t="s">
        <v>857</v>
      </c>
      <c r="D321" s="82">
        <v>29002</v>
      </c>
      <c r="E321" t="s">
        <v>1330</v>
      </c>
      <c r="F321" t="s">
        <v>2417</v>
      </c>
      <c r="G321">
        <v>43.734699999999997</v>
      </c>
      <c r="H321">
        <v>7.42056</v>
      </c>
      <c r="I321" t="s">
        <v>2021</v>
      </c>
      <c r="J321" t="s">
        <v>856</v>
      </c>
      <c r="K321" t="s">
        <v>858</v>
      </c>
      <c r="L321" t="s">
        <v>859</v>
      </c>
      <c r="M321" t="s">
        <v>860</v>
      </c>
    </row>
    <row r="322" spans="1:13">
      <c r="A322">
        <v>1979</v>
      </c>
      <c r="B322">
        <v>8</v>
      </c>
      <c r="C322" t="s">
        <v>1238</v>
      </c>
      <c r="D322" s="82">
        <v>29037</v>
      </c>
      <c r="E322" t="s">
        <v>1331</v>
      </c>
      <c r="F322" t="s">
        <v>2418</v>
      </c>
      <c r="G322">
        <v>47.362499999999997</v>
      </c>
      <c r="H322">
        <v>47.362499999999997</v>
      </c>
      <c r="I322" t="s">
        <v>2059</v>
      </c>
      <c r="J322" t="s">
        <v>877</v>
      </c>
      <c r="K322" t="s">
        <v>1239</v>
      </c>
      <c r="L322" t="s">
        <v>1240</v>
      </c>
      <c r="M322" t="s">
        <v>755</v>
      </c>
    </row>
    <row r="323" spans="1:13">
      <c r="A323">
        <v>1979</v>
      </c>
      <c r="B323">
        <v>9</v>
      </c>
      <c r="C323" t="s">
        <v>851</v>
      </c>
      <c r="D323" s="82">
        <v>29050</v>
      </c>
      <c r="E323" t="s">
        <v>1332</v>
      </c>
      <c r="F323" t="s">
        <v>2419</v>
      </c>
      <c r="G323">
        <v>52.078600000000002</v>
      </c>
      <c r="H323">
        <v>-1.01694</v>
      </c>
      <c r="I323" t="s">
        <v>2020</v>
      </c>
      <c r="J323" t="s">
        <v>850</v>
      </c>
      <c r="K323" t="s">
        <v>852</v>
      </c>
      <c r="L323" t="s">
        <v>853</v>
      </c>
      <c r="M323" t="s">
        <v>854</v>
      </c>
    </row>
    <row r="324" spans="1:13">
      <c r="A324">
        <v>1979</v>
      </c>
      <c r="B324">
        <v>10</v>
      </c>
      <c r="C324" t="s">
        <v>1162</v>
      </c>
      <c r="D324" s="82">
        <v>29065</v>
      </c>
      <c r="E324" t="s">
        <v>1333</v>
      </c>
      <c r="F324" t="s">
        <v>2420</v>
      </c>
      <c r="G324">
        <v>49.327800000000003</v>
      </c>
      <c r="H324">
        <v>8.5658300000000001</v>
      </c>
      <c r="I324" t="s">
        <v>2052</v>
      </c>
      <c r="J324" t="s">
        <v>893</v>
      </c>
      <c r="K324" t="s">
        <v>1163</v>
      </c>
      <c r="L324" t="s">
        <v>1164</v>
      </c>
      <c r="M324" t="s">
        <v>761</v>
      </c>
    </row>
    <row r="325" spans="1:13">
      <c r="A325">
        <v>1979</v>
      </c>
      <c r="B325">
        <v>11</v>
      </c>
      <c r="C325" t="s">
        <v>1166</v>
      </c>
      <c r="D325" s="82">
        <v>29079</v>
      </c>
      <c r="E325" t="s">
        <v>1334</v>
      </c>
      <c r="F325" t="s">
        <v>2421</v>
      </c>
      <c r="G325">
        <v>47.219700000000003</v>
      </c>
      <c r="H325">
        <v>14.764699999999999</v>
      </c>
      <c r="I325" t="s">
        <v>2053</v>
      </c>
      <c r="J325" t="s">
        <v>1072</v>
      </c>
      <c r="K325" t="s">
        <v>1167</v>
      </c>
      <c r="L325" t="s">
        <v>1168</v>
      </c>
      <c r="M325" t="s">
        <v>1076</v>
      </c>
    </row>
    <row r="326" spans="1:13">
      <c r="A326">
        <v>1979</v>
      </c>
      <c r="B326">
        <v>12</v>
      </c>
      <c r="C326" t="s">
        <v>915</v>
      </c>
      <c r="D326" s="82">
        <v>29093</v>
      </c>
      <c r="E326" t="s">
        <v>1335</v>
      </c>
      <c r="F326" t="s">
        <v>2422</v>
      </c>
      <c r="G326">
        <v>52.388800000000003</v>
      </c>
      <c r="H326">
        <v>4.5409199999999998</v>
      </c>
      <c r="I326" t="s">
        <v>2030</v>
      </c>
      <c r="J326" t="s">
        <v>914</v>
      </c>
      <c r="K326" t="s">
        <v>916</v>
      </c>
      <c r="L326" t="s">
        <v>917</v>
      </c>
      <c r="M326" t="s">
        <v>918</v>
      </c>
    </row>
    <row r="327" spans="1:13">
      <c r="A327">
        <v>1979</v>
      </c>
      <c r="B327">
        <v>13</v>
      </c>
      <c r="C327" t="s">
        <v>883</v>
      </c>
      <c r="D327" s="82">
        <v>29107</v>
      </c>
      <c r="E327" t="s">
        <v>1336</v>
      </c>
      <c r="F327" t="s">
        <v>2423</v>
      </c>
      <c r="G327">
        <v>45.615600000000001</v>
      </c>
      <c r="H327">
        <v>9.28111</v>
      </c>
      <c r="I327" t="s">
        <v>2026</v>
      </c>
      <c r="J327" t="s">
        <v>882</v>
      </c>
      <c r="K327" t="s">
        <v>884</v>
      </c>
      <c r="L327" t="s">
        <v>885</v>
      </c>
      <c r="M327" t="s">
        <v>886</v>
      </c>
    </row>
    <row r="328" spans="1:13">
      <c r="A328">
        <v>1979</v>
      </c>
      <c r="B328">
        <v>14</v>
      </c>
      <c r="C328" t="s">
        <v>1320</v>
      </c>
      <c r="D328" s="82">
        <v>29128</v>
      </c>
      <c r="E328" t="s">
        <v>1337</v>
      </c>
      <c r="F328" t="s">
        <v>2424</v>
      </c>
      <c r="G328">
        <v>45.5</v>
      </c>
      <c r="H328">
        <v>-73.522800000000004</v>
      </c>
      <c r="I328" t="s">
        <v>2063</v>
      </c>
      <c r="J328" t="s">
        <v>1115</v>
      </c>
      <c r="K328" t="s">
        <v>1321</v>
      </c>
      <c r="L328" t="s">
        <v>1322</v>
      </c>
      <c r="M328" t="s">
        <v>1119</v>
      </c>
    </row>
    <row r="329" spans="1:13">
      <c r="A329">
        <v>1979</v>
      </c>
      <c r="B329">
        <v>15</v>
      </c>
      <c r="C329" t="s">
        <v>1031</v>
      </c>
      <c r="D329" s="82">
        <v>29135</v>
      </c>
      <c r="E329" t="s">
        <v>1338</v>
      </c>
      <c r="F329" t="s">
        <v>2425</v>
      </c>
      <c r="G329">
        <v>42.3369</v>
      </c>
      <c r="H329">
        <v>-76.927199999999999</v>
      </c>
      <c r="I329" t="s">
        <v>2040</v>
      </c>
      <c r="J329" t="s">
        <v>1006</v>
      </c>
      <c r="K329" t="s">
        <v>1032</v>
      </c>
      <c r="L329" t="s">
        <v>752</v>
      </c>
      <c r="M329" t="s">
        <v>1010</v>
      </c>
    </row>
    <row r="330" spans="1:13">
      <c r="A330">
        <v>1980</v>
      </c>
      <c r="B330">
        <v>1</v>
      </c>
      <c r="C330" t="s">
        <v>922</v>
      </c>
      <c r="D330" s="82">
        <v>29233</v>
      </c>
      <c r="E330" t="s">
        <v>1339</v>
      </c>
      <c r="F330" t="s">
        <v>2426</v>
      </c>
      <c r="G330">
        <v>-34.694299999999998</v>
      </c>
      <c r="H330">
        <v>-58.459299999999999</v>
      </c>
      <c r="I330" t="s">
        <v>2031</v>
      </c>
      <c r="J330" t="s">
        <v>921</v>
      </c>
      <c r="K330" t="s">
        <v>923</v>
      </c>
      <c r="L330" t="s">
        <v>253</v>
      </c>
      <c r="M330" t="s">
        <v>252</v>
      </c>
    </row>
    <row r="331" spans="1:13">
      <c r="A331">
        <v>1980</v>
      </c>
      <c r="B331">
        <v>2</v>
      </c>
      <c r="C331" t="s">
        <v>1204</v>
      </c>
      <c r="D331" s="82">
        <v>29247</v>
      </c>
      <c r="E331" t="s">
        <v>1340</v>
      </c>
      <c r="F331" t="s">
        <v>2427</v>
      </c>
      <c r="G331">
        <v>-23.703600000000002</v>
      </c>
      <c r="H331">
        <v>-46.6997</v>
      </c>
      <c r="I331" t="s">
        <v>2056</v>
      </c>
      <c r="J331" t="s">
        <v>1203</v>
      </c>
      <c r="K331" t="s">
        <v>1205</v>
      </c>
      <c r="L331" t="s">
        <v>1206</v>
      </c>
      <c r="M331" t="s">
        <v>1207</v>
      </c>
    </row>
    <row r="332" spans="1:13">
      <c r="A332">
        <v>1980</v>
      </c>
      <c r="B332">
        <v>3</v>
      </c>
      <c r="C332" t="s">
        <v>1103</v>
      </c>
      <c r="D332" s="82">
        <v>29281</v>
      </c>
      <c r="E332" t="s">
        <v>1341</v>
      </c>
      <c r="F332" t="s">
        <v>2428</v>
      </c>
      <c r="G332">
        <v>-25.9894</v>
      </c>
      <c r="H332">
        <v>28.076699999999999</v>
      </c>
      <c r="I332" t="s">
        <v>2046</v>
      </c>
      <c r="J332" t="s">
        <v>1042</v>
      </c>
      <c r="K332" t="s">
        <v>1104</v>
      </c>
      <c r="L332" t="s">
        <v>1105</v>
      </c>
      <c r="M332" t="s">
        <v>1046</v>
      </c>
    </row>
    <row r="333" spans="1:13">
      <c r="A333">
        <v>1980</v>
      </c>
      <c r="B333">
        <v>4</v>
      </c>
      <c r="C333" t="s">
        <v>1265</v>
      </c>
      <c r="D333" s="82">
        <v>29310</v>
      </c>
      <c r="E333" t="s">
        <v>1342</v>
      </c>
      <c r="F333" t="s">
        <v>2429</v>
      </c>
      <c r="G333">
        <v>33.804200000000002</v>
      </c>
      <c r="H333">
        <v>-118.158</v>
      </c>
      <c r="I333" t="s">
        <v>2060</v>
      </c>
      <c r="J333" t="s">
        <v>1264</v>
      </c>
      <c r="K333" t="s">
        <v>1266</v>
      </c>
      <c r="L333" t="s">
        <v>77</v>
      </c>
      <c r="M333" t="s">
        <v>1010</v>
      </c>
    </row>
    <row r="334" spans="1:13">
      <c r="A334">
        <v>1980</v>
      </c>
      <c r="B334">
        <v>5</v>
      </c>
      <c r="C334" t="s">
        <v>1211</v>
      </c>
      <c r="D334" s="82">
        <v>29345</v>
      </c>
      <c r="E334" t="s">
        <v>1343</v>
      </c>
      <c r="F334" t="s">
        <v>2430</v>
      </c>
      <c r="G334">
        <v>50.989400000000003</v>
      </c>
      <c r="H334">
        <v>5.2569400000000002</v>
      </c>
      <c r="I334" t="s">
        <v>2057</v>
      </c>
      <c r="J334" t="s">
        <v>872</v>
      </c>
      <c r="K334" t="s">
        <v>1212</v>
      </c>
      <c r="L334" t="s">
        <v>1213</v>
      </c>
      <c r="M334" t="s">
        <v>244</v>
      </c>
    </row>
    <row r="335" spans="1:13">
      <c r="A335">
        <v>1980</v>
      </c>
      <c r="B335">
        <v>6</v>
      </c>
      <c r="C335" t="s">
        <v>857</v>
      </c>
      <c r="D335" s="82">
        <v>29359</v>
      </c>
      <c r="E335" t="s">
        <v>1344</v>
      </c>
      <c r="F335" t="s">
        <v>2431</v>
      </c>
      <c r="G335">
        <v>43.734699999999997</v>
      </c>
      <c r="H335">
        <v>7.42056</v>
      </c>
      <c r="I335" t="s">
        <v>2021</v>
      </c>
      <c r="J335" t="s">
        <v>856</v>
      </c>
      <c r="K335" t="s">
        <v>858</v>
      </c>
      <c r="L335" t="s">
        <v>859</v>
      </c>
      <c r="M335" t="s">
        <v>860</v>
      </c>
    </row>
    <row r="336" spans="1:13">
      <c r="A336">
        <v>1980</v>
      </c>
      <c r="B336">
        <v>7</v>
      </c>
      <c r="C336" t="s">
        <v>1178</v>
      </c>
      <c r="D336" s="82">
        <v>29401</v>
      </c>
      <c r="E336" t="s">
        <v>1345</v>
      </c>
      <c r="F336" t="s">
        <v>2432</v>
      </c>
      <c r="G336">
        <v>43.250599999999999</v>
      </c>
      <c r="H336">
        <v>5.7916699999999999</v>
      </c>
      <c r="I336" t="s">
        <v>2054</v>
      </c>
      <c r="J336" t="s">
        <v>877</v>
      </c>
      <c r="K336" t="s">
        <v>1179</v>
      </c>
      <c r="L336" t="s">
        <v>1180</v>
      </c>
      <c r="M336" t="s">
        <v>755</v>
      </c>
    </row>
    <row r="337" spans="1:13">
      <c r="A337">
        <v>1980</v>
      </c>
      <c r="B337">
        <v>8</v>
      </c>
      <c r="C337" t="s">
        <v>1067</v>
      </c>
      <c r="D337" s="82">
        <v>29415</v>
      </c>
      <c r="E337" t="s">
        <v>1346</v>
      </c>
      <c r="F337" t="s">
        <v>2433</v>
      </c>
      <c r="G337">
        <v>51.356900000000003</v>
      </c>
      <c r="H337">
        <v>0.26305600000000001</v>
      </c>
      <c r="I337" t="s">
        <v>2043</v>
      </c>
      <c r="J337" t="s">
        <v>850</v>
      </c>
      <c r="K337" t="s">
        <v>1068</v>
      </c>
      <c r="L337" t="s">
        <v>1069</v>
      </c>
      <c r="M337" t="s">
        <v>854</v>
      </c>
    </row>
    <row r="338" spans="1:13">
      <c r="A338">
        <v>1980</v>
      </c>
      <c r="B338">
        <v>9</v>
      </c>
      <c r="C338" t="s">
        <v>1162</v>
      </c>
      <c r="D338" s="82">
        <v>29443</v>
      </c>
      <c r="E338" t="s">
        <v>1347</v>
      </c>
      <c r="F338" t="s">
        <v>2434</v>
      </c>
      <c r="G338">
        <v>49.327800000000003</v>
      </c>
      <c r="H338">
        <v>8.5658300000000001</v>
      </c>
      <c r="I338" t="s">
        <v>2052</v>
      </c>
      <c r="J338" t="s">
        <v>893</v>
      </c>
      <c r="K338" t="s">
        <v>1163</v>
      </c>
      <c r="L338" t="s">
        <v>1164</v>
      </c>
      <c r="M338" t="s">
        <v>761</v>
      </c>
    </row>
    <row r="339" spans="1:13">
      <c r="A339">
        <v>1980</v>
      </c>
      <c r="B339">
        <v>10</v>
      </c>
      <c r="C339" t="s">
        <v>1166</v>
      </c>
      <c r="D339" s="82">
        <v>29450</v>
      </c>
      <c r="E339" t="s">
        <v>1348</v>
      </c>
      <c r="F339" t="s">
        <v>2435</v>
      </c>
      <c r="G339">
        <v>47.219700000000003</v>
      </c>
      <c r="H339">
        <v>14.764699999999999</v>
      </c>
      <c r="I339" t="s">
        <v>2053</v>
      </c>
      <c r="J339" t="s">
        <v>1072</v>
      </c>
      <c r="K339" t="s">
        <v>1167</v>
      </c>
      <c r="L339" t="s">
        <v>1168</v>
      </c>
      <c r="M339" t="s">
        <v>1076</v>
      </c>
    </row>
    <row r="340" spans="1:13">
      <c r="A340">
        <v>1980</v>
      </c>
      <c r="B340">
        <v>11</v>
      </c>
      <c r="C340" t="s">
        <v>915</v>
      </c>
      <c r="D340" s="82">
        <v>29464</v>
      </c>
      <c r="E340" t="s">
        <v>1349</v>
      </c>
      <c r="F340" t="s">
        <v>2436</v>
      </c>
      <c r="G340">
        <v>52.388800000000003</v>
      </c>
      <c r="H340">
        <v>4.5409199999999998</v>
      </c>
      <c r="I340" t="s">
        <v>2030</v>
      </c>
      <c r="J340" t="s">
        <v>914</v>
      </c>
      <c r="K340" t="s">
        <v>916</v>
      </c>
      <c r="L340" t="s">
        <v>917</v>
      </c>
      <c r="M340" t="s">
        <v>918</v>
      </c>
    </row>
    <row r="341" spans="1:13">
      <c r="A341">
        <v>1980</v>
      </c>
      <c r="B341">
        <v>12</v>
      </c>
      <c r="C341" t="s">
        <v>1350</v>
      </c>
      <c r="D341" s="82">
        <v>29478</v>
      </c>
      <c r="E341" t="s">
        <v>1353</v>
      </c>
      <c r="F341" t="s">
        <v>2437</v>
      </c>
      <c r="G341">
        <v>44.343899999999998</v>
      </c>
      <c r="H341">
        <v>11.716699999999999</v>
      </c>
      <c r="I341" t="s">
        <v>2064</v>
      </c>
      <c r="J341" t="s">
        <v>882</v>
      </c>
      <c r="K341" t="s">
        <v>1351</v>
      </c>
      <c r="L341" t="s">
        <v>1352</v>
      </c>
      <c r="M341" t="s">
        <v>886</v>
      </c>
    </row>
    <row r="342" spans="1:13">
      <c r="A342">
        <v>1980</v>
      </c>
      <c r="B342">
        <v>13</v>
      </c>
      <c r="C342" t="s">
        <v>1320</v>
      </c>
      <c r="D342" s="82">
        <v>29492</v>
      </c>
      <c r="E342" t="s">
        <v>1354</v>
      </c>
      <c r="F342" t="s">
        <v>2438</v>
      </c>
      <c r="G342">
        <v>45.5</v>
      </c>
      <c r="H342">
        <v>-73.522800000000004</v>
      </c>
      <c r="I342" t="s">
        <v>2063</v>
      </c>
      <c r="J342" t="s">
        <v>1115</v>
      </c>
      <c r="K342" t="s">
        <v>1321</v>
      </c>
      <c r="L342" t="s">
        <v>1322</v>
      </c>
      <c r="M342" t="s">
        <v>1119</v>
      </c>
    </row>
    <row r="343" spans="1:13">
      <c r="A343">
        <v>1980</v>
      </c>
      <c r="B343">
        <v>14</v>
      </c>
      <c r="C343" t="s">
        <v>1031</v>
      </c>
      <c r="D343" s="82">
        <v>29499</v>
      </c>
      <c r="E343" t="s">
        <v>1355</v>
      </c>
      <c r="F343" t="s">
        <v>2439</v>
      </c>
      <c r="G343">
        <v>42.3369</v>
      </c>
      <c r="H343">
        <v>-76.927199999999999</v>
      </c>
      <c r="I343" t="s">
        <v>2040</v>
      </c>
      <c r="J343" t="s">
        <v>1006</v>
      </c>
      <c r="K343" t="s">
        <v>1032</v>
      </c>
      <c r="L343" t="s">
        <v>752</v>
      </c>
      <c r="M343" t="s">
        <v>1010</v>
      </c>
    </row>
    <row r="344" spans="1:13">
      <c r="A344">
        <v>1981</v>
      </c>
      <c r="B344">
        <v>1</v>
      </c>
      <c r="C344" t="s">
        <v>1265</v>
      </c>
      <c r="D344" s="82">
        <v>29660</v>
      </c>
      <c r="E344" t="s">
        <v>1356</v>
      </c>
      <c r="F344" t="s">
        <v>2440</v>
      </c>
      <c r="G344">
        <v>33.804200000000002</v>
      </c>
      <c r="H344">
        <v>-118.158</v>
      </c>
      <c r="I344" t="s">
        <v>2060</v>
      </c>
      <c r="J344" t="s">
        <v>1264</v>
      </c>
      <c r="K344" t="s">
        <v>1266</v>
      </c>
      <c r="L344" t="s">
        <v>77</v>
      </c>
      <c r="M344" t="s">
        <v>1010</v>
      </c>
    </row>
    <row r="345" spans="1:13">
      <c r="A345">
        <v>1981</v>
      </c>
      <c r="B345">
        <v>2</v>
      </c>
      <c r="C345" t="s">
        <v>1303</v>
      </c>
      <c r="D345" s="82">
        <v>29674</v>
      </c>
      <c r="E345" t="s">
        <v>1357</v>
      </c>
      <c r="F345" t="s">
        <v>2441</v>
      </c>
      <c r="G345">
        <v>-22.9756</v>
      </c>
      <c r="H345">
        <v>-43.395000000000003</v>
      </c>
      <c r="I345" t="s">
        <v>2062</v>
      </c>
      <c r="J345" t="s">
        <v>1203</v>
      </c>
      <c r="K345" t="s">
        <v>1304</v>
      </c>
      <c r="L345" t="s">
        <v>1305</v>
      </c>
      <c r="M345" t="s">
        <v>1207</v>
      </c>
    </row>
    <row r="346" spans="1:13">
      <c r="A346">
        <v>1981</v>
      </c>
      <c r="B346">
        <v>3</v>
      </c>
      <c r="C346" t="s">
        <v>922</v>
      </c>
      <c r="D346" s="82">
        <v>29688</v>
      </c>
      <c r="E346" t="s">
        <v>1358</v>
      </c>
      <c r="F346" t="s">
        <v>2442</v>
      </c>
      <c r="G346">
        <v>-34.694299999999998</v>
      </c>
      <c r="H346">
        <v>-58.459299999999999</v>
      </c>
      <c r="I346" t="s">
        <v>2031</v>
      </c>
      <c r="J346" t="s">
        <v>921</v>
      </c>
      <c r="K346" t="s">
        <v>923</v>
      </c>
      <c r="L346" t="s">
        <v>253</v>
      </c>
      <c r="M346" t="s">
        <v>252</v>
      </c>
    </row>
    <row r="347" spans="1:13">
      <c r="A347">
        <v>1981</v>
      </c>
      <c r="B347">
        <v>4</v>
      </c>
      <c r="C347" t="s">
        <v>1350</v>
      </c>
      <c r="D347" s="82">
        <v>29709</v>
      </c>
      <c r="E347" t="s">
        <v>1360</v>
      </c>
      <c r="F347" t="s">
        <v>2443</v>
      </c>
      <c r="G347">
        <v>44.343899999999998</v>
      </c>
      <c r="H347">
        <v>11.716699999999999</v>
      </c>
      <c r="I347" t="s">
        <v>2064</v>
      </c>
      <c r="J347" t="s">
        <v>882</v>
      </c>
      <c r="K347" t="s">
        <v>1351</v>
      </c>
      <c r="L347" t="s">
        <v>1352</v>
      </c>
      <c r="M347" t="s">
        <v>886</v>
      </c>
    </row>
    <row r="348" spans="1:13">
      <c r="A348">
        <v>1981</v>
      </c>
      <c r="B348">
        <v>5</v>
      </c>
      <c r="C348" t="s">
        <v>1211</v>
      </c>
      <c r="D348" s="82">
        <v>29723</v>
      </c>
      <c r="E348" t="s">
        <v>1361</v>
      </c>
      <c r="F348" t="s">
        <v>2444</v>
      </c>
      <c r="G348">
        <v>50.989400000000003</v>
      </c>
      <c r="H348">
        <v>5.2569400000000002</v>
      </c>
      <c r="I348" t="s">
        <v>2057</v>
      </c>
      <c r="J348" t="s">
        <v>872</v>
      </c>
      <c r="K348" t="s">
        <v>1212</v>
      </c>
      <c r="L348" t="s">
        <v>1213</v>
      </c>
      <c r="M348" t="s">
        <v>244</v>
      </c>
    </row>
    <row r="349" spans="1:13">
      <c r="A349">
        <v>1981</v>
      </c>
      <c r="B349">
        <v>6</v>
      </c>
      <c r="C349" t="s">
        <v>857</v>
      </c>
      <c r="D349" s="82">
        <v>29737</v>
      </c>
      <c r="E349" t="s">
        <v>1362</v>
      </c>
      <c r="F349" t="s">
        <v>2445</v>
      </c>
      <c r="G349">
        <v>43.734699999999997</v>
      </c>
      <c r="H349">
        <v>7.42056</v>
      </c>
      <c r="I349" t="s">
        <v>2021</v>
      </c>
      <c r="J349" t="s">
        <v>856</v>
      </c>
      <c r="K349" t="s">
        <v>858</v>
      </c>
      <c r="L349" t="s">
        <v>859</v>
      </c>
      <c r="M349" t="s">
        <v>860</v>
      </c>
    </row>
    <row r="350" spans="1:13">
      <c r="A350">
        <v>1981</v>
      </c>
      <c r="B350">
        <v>7</v>
      </c>
      <c r="C350" t="s">
        <v>1125</v>
      </c>
      <c r="D350" s="82">
        <v>29758</v>
      </c>
      <c r="E350" t="s">
        <v>1363</v>
      </c>
      <c r="F350" t="s">
        <v>2446</v>
      </c>
      <c r="G350">
        <v>40.617100000000001</v>
      </c>
      <c r="H350">
        <v>-3.5855800000000002</v>
      </c>
      <c r="I350" t="s">
        <v>2049</v>
      </c>
      <c r="J350" t="s">
        <v>899</v>
      </c>
      <c r="K350" t="s">
        <v>1126</v>
      </c>
      <c r="L350" t="s">
        <v>1127</v>
      </c>
      <c r="M350" t="s">
        <v>903</v>
      </c>
    </row>
    <row r="351" spans="1:13">
      <c r="A351">
        <v>1981</v>
      </c>
      <c r="B351">
        <v>8</v>
      </c>
      <c r="C351" t="s">
        <v>1238</v>
      </c>
      <c r="D351" s="82">
        <v>29772</v>
      </c>
      <c r="E351" t="s">
        <v>1364</v>
      </c>
      <c r="F351" t="s">
        <v>2447</v>
      </c>
      <c r="G351">
        <v>47.362499999999997</v>
      </c>
      <c r="H351">
        <v>47.362499999999997</v>
      </c>
      <c r="I351" t="s">
        <v>2059</v>
      </c>
      <c r="J351" t="s">
        <v>877</v>
      </c>
      <c r="K351" t="s">
        <v>1239</v>
      </c>
      <c r="L351" t="s">
        <v>1240</v>
      </c>
      <c r="M351" t="s">
        <v>755</v>
      </c>
    </row>
    <row r="352" spans="1:13">
      <c r="A352">
        <v>1981</v>
      </c>
      <c r="B352">
        <v>9</v>
      </c>
      <c r="C352" t="s">
        <v>851</v>
      </c>
      <c r="D352" s="82">
        <v>29785</v>
      </c>
      <c r="E352" t="s">
        <v>1365</v>
      </c>
      <c r="F352" t="s">
        <v>2448</v>
      </c>
      <c r="G352">
        <v>52.078600000000002</v>
      </c>
      <c r="H352">
        <v>-1.01694</v>
      </c>
      <c r="I352" t="s">
        <v>2020</v>
      </c>
      <c r="J352" t="s">
        <v>850</v>
      </c>
      <c r="K352" t="s">
        <v>852</v>
      </c>
      <c r="L352" t="s">
        <v>853</v>
      </c>
      <c r="M352" t="s">
        <v>854</v>
      </c>
    </row>
    <row r="353" spans="1:13">
      <c r="A353">
        <v>1981</v>
      </c>
      <c r="B353">
        <v>10</v>
      </c>
      <c r="C353" t="s">
        <v>1162</v>
      </c>
      <c r="D353" s="82">
        <v>29800</v>
      </c>
      <c r="E353" t="s">
        <v>1366</v>
      </c>
      <c r="F353" t="s">
        <v>2449</v>
      </c>
      <c r="G353">
        <v>49.327800000000003</v>
      </c>
      <c r="H353">
        <v>8.5658300000000001</v>
      </c>
      <c r="I353" t="s">
        <v>2052</v>
      </c>
      <c r="J353" t="s">
        <v>893</v>
      </c>
      <c r="K353" t="s">
        <v>1163</v>
      </c>
      <c r="L353" t="s">
        <v>1164</v>
      </c>
      <c r="M353" t="s">
        <v>761</v>
      </c>
    </row>
    <row r="354" spans="1:13">
      <c r="A354">
        <v>1981</v>
      </c>
      <c r="B354">
        <v>11</v>
      </c>
      <c r="C354" t="s">
        <v>1166</v>
      </c>
      <c r="D354" s="82">
        <v>29814</v>
      </c>
      <c r="E354" t="s">
        <v>1367</v>
      </c>
      <c r="F354" t="s">
        <v>2450</v>
      </c>
      <c r="G354">
        <v>47.219700000000003</v>
      </c>
      <c r="H354">
        <v>14.764699999999999</v>
      </c>
      <c r="I354" t="s">
        <v>2053</v>
      </c>
      <c r="J354" t="s">
        <v>1072</v>
      </c>
      <c r="K354" t="s">
        <v>1167</v>
      </c>
      <c r="L354" t="s">
        <v>1168</v>
      </c>
      <c r="M354" t="s">
        <v>1076</v>
      </c>
    </row>
    <row r="355" spans="1:13">
      <c r="A355">
        <v>1981</v>
      </c>
      <c r="B355">
        <v>12</v>
      </c>
      <c r="C355" t="s">
        <v>915</v>
      </c>
      <c r="D355" s="82">
        <v>29828</v>
      </c>
      <c r="E355" t="s">
        <v>1368</v>
      </c>
      <c r="F355" t="s">
        <v>2451</v>
      </c>
      <c r="G355">
        <v>52.388800000000003</v>
      </c>
      <c r="H355">
        <v>4.5409199999999998</v>
      </c>
      <c r="I355" t="s">
        <v>2030</v>
      </c>
      <c r="J355" t="s">
        <v>914</v>
      </c>
      <c r="K355" t="s">
        <v>916</v>
      </c>
      <c r="L355" t="s">
        <v>917</v>
      </c>
      <c r="M355" t="s">
        <v>918</v>
      </c>
    </row>
    <row r="356" spans="1:13">
      <c r="A356">
        <v>1981</v>
      </c>
      <c r="B356">
        <v>13</v>
      </c>
      <c r="C356" t="s">
        <v>883</v>
      </c>
      <c r="D356" s="82">
        <v>29842</v>
      </c>
      <c r="E356" t="s">
        <v>1369</v>
      </c>
      <c r="F356" t="s">
        <v>2452</v>
      </c>
      <c r="G356">
        <v>45.615600000000001</v>
      </c>
      <c r="H356">
        <v>9.28111</v>
      </c>
      <c r="I356" t="s">
        <v>2026</v>
      </c>
      <c r="J356" t="s">
        <v>882</v>
      </c>
      <c r="K356" t="s">
        <v>884</v>
      </c>
      <c r="L356" t="s">
        <v>885</v>
      </c>
      <c r="M356" t="s">
        <v>886</v>
      </c>
    </row>
    <row r="357" spans="1:13">
      <c r="A357">
        <v>1981</v>
      </c>
      <c r="B357">
        <v>14</v>
      </c>
      <c r="C357" t="s">
        <v>1320</v>
      </c>
      <c r="D357" s="82">
        <v>29856</v>
      </c>
      <c r="E357" t="s">
        <v>1370</v>
      </c>
      <c r="F357" t="s">
        <v>2453</v>
      </c>
      <c r="G357">
        <v>45.5</v>
      </c>
      <c r="H357">
        <v>-73.522800000000004</v>
      </c>
      <c r="I357" t="s">
        <v>2063</v>
      </c>
      <c r="J357" t="s">
        <v>1115</v>
      </c>
      <c r="K357" t="s">
        <v>1321</v>
      </c>
      <c r="L357" t="s">
        <v>1322</v>
      </c>
      <c r="M357" t="s">
        <v>1119</v>
      </c>
    </row>
    <row r="358" spans="1:13">
      <c r="A358">
        <v>1981</v>
      </c>
      <c r="B358">
        <v>15</v>
      </c>
      <c r="C358" t="s">
        <v>1372</v>
      </c>
      <c r="D358" s="82">
        <v>29876</v>
      </c>
      <c r="E358" t="s">
        <v>1375</v>
      </c>
      <c r="F358" t="s">
        <v>2454</v>
      </c>
      <c r="G358">
        <v>36.176000000000002</v>
      </c>
      <c r="H358">
        <v>-115.137</v>
      </c>
      <c r="I358" t="s">
        <v>2065</v>
      </c>
      <c r="J358" t="s">
        <v>1371</v>
      </c>
      <c r="K358" t="s">
        <v>1373</v>
      </c>
      <c r="L358" t="s">
        <v>1374</v>
      </c>
      <c r="M358" t="s">
        <v>1010</v>
      </c>
    </row>
    <row r="359" spans="1:13">
      <c r="A359">
        <v>1982</v>
      </c>
      <c r="B359">
        <v>1</v>
      </c>
      <c r="C359" t="s">
        <v>1103</v>
      </c>
      <c r="D359" s="82">
        <v>29974</v>
      </c>
      <c r="E359" t="s">
        <v>1376</v>
      </c>
      <c r="F359" t="s">
        <v>2455</v>
      </c>
      <c r="G359">
        <v>-25.9894</v>
      </c>
      <c r="H359">
        <v>28.076699999999999</v>
      </c>
      <c r="I359" t="s">
        <v>2046</v>
      </c>
      <c r="J359" t="s">
        <v>1042</v>
      </c>
      <c r="K359" t="s">
        <v>1104</v>
      </c>
      <c r="L359" t="s">
        <v>1105</v>
      </c>
      <c r="M359" t="s">
        <v>1046</v>
      </c>
    </row>
    <row r="360" spans="1:13">
      <c r="A360">
        <v>1982</v>
      </c>
      <c r="B360">
        <v>2</v>
      </c>
      <c r="C360" t="s">
        <v>1303</v>
      </c>
      <c r="D360" s="82">
        <v>30031</v>
      </c>
      <c r="E360" t="s">
        <v>1377</v>
      </c>
      <c r="F360" t="s">
        <v>2456</v>
      </c>
      <c r="G360">
        <v>-22.9756</v>
      </c>
      <c r="H360">
        <v>-43.395000000000003</v>
      </c>
      <c r="I360" t="s">
        <v>2062</v>
      </c>
      <c r="J360" t="s">
        <v>1203</v>
      </c>
      <c r="K360" t="s">
        <v>1304</v>
      </c>
      <c r="L360" t="s">
        <v>1305</v>
      </c>
      <c r="M360" t="s">
        <v>1207</v>
      </c>
    </row>
    <row r="361" spans="1:13">
      <c r="A361">
        <v>1982</v>
      </c>
      <c r="B361">
        <v>3</v>
      </c>
      <c r="C361" t="s">
        <v>1265</v>
      </c>
      <c r="D361" s="82">
        <v>30045</v>
      </c>
      <c r="E361" t="s">
        <v>1378</v>
      </c>
      <c r="F361" t="s">
        <v>2457</v>
      </c>
      <c r="G361">
        <v>33.804200000000002</v>
      </c>
      <c r="H361">
        <v>-118.158</v>
      </c>
      <c r="I361" t="s">
        <v>2060</v>
      </c>
      <c r="J361" t="s">
        <v>1264</v>
      </c>
      <c r="K361" t="s">
        <v>1266</v>
      </c>
      <c r="L361" t="s">
        <v>77</v>
      </c>
      <c r="M361" t="s">
        <v>1010</v>
      </c>
    </row>
    <row r="362" spans="1:13">
      <c r="A362">
        <v>1982</v>
      </c>
      <c r="B362">
        <v>4</v>
      </c>
      <c r="C362" t="s">
        <v>1350</v>
      </c>
      <c r="D362" s="82">
        <v>30066</v>
      </c>
      <c r="E362" t="s">
        <v>1379</v>
      </c>
      <c r="F362" t="s">
        <v>2458</v>
      </c>
      <c r="G362">
        <v>44.343899999999998</v>
      </c>
      <c r="H362">
        <v>11.716699999999999</v>
      </c>
      <c r="I362" t="s">
        <v>2064</v>
      </c>
      <c r="J362" t="s">
        <v>882</v>
      </c>
      <c r="K362" t="s">
        <v>1351</v>
      </c>
      <c r="L362" t="s">
        <v>1352</v>
      </c>
      <c r="M362" t="s">
        <v>886</v>
      </c>
    </row>
    <row r="363" spans="1:13">
      <c r="A363">
        <v>1982</v>
      </c>
      <c r="B363">
        <v>5</v>
      </c>
      <c r="C363" t="s">
        <v>1211</v>
      </c>
      <c r="D363" s="82">
        <v>30080</v>
      </c>
      <c r="E363" t="s">
        <v>1380</v>
      </c>
      <c r="F363" t="s">
        <v>2459</v>
      </c>
      <c r="G363">
        <v>50.989400000000003</v>
      </c>
      <c r="H363">
        <v>5.2569400000000002</v>
      </c>
      <c r="I363" t="s">
        <v>2057</v>
      </c>
      <c r="J363" t="s">
        <v>872</v>
      </c>
      <c r="K363" t="s">
        <v>1212</v>
      </c>
      <c r="L363" t="s">
        <v>1213</v>
      </c>
      <c r="M363" t="s">
        <v>244</v>
      </c>
    </row>
    <row r="364" spans="1:13">
      <c r="A364">
        <v>1982</v>
      </c>
      <c r="B364">
        <v>6</v>
      </c>
      <c r="C364" t="s">
        <v>857</v>
      </c>
      <c r="D364" s="82">
        <v>30094</v>
      </c>
      <c r="E364" t="s">
        <v>1381</v>
      </c>
      <c r="F364" t="s">
        <v>2460</v>
      </c>
      <c r="G364">
        <v>43.734699999999997</v>
      </c>
      <c r="H364">
        <v>7.42056</v>
      </c>
      <c r="I364" t="s">
        <v>2021</v>
      </c>
      <c r="J364" t="s">
        <v>856</v>
      </c>
      <c r="K364" t="s">
        <v>858</v>
      </c>
      <c r="L364" t="s">
        <v>859</v>
      </c>
      <c r="M364" t="s">
        <v>860</v>
      </c>
    </row>
    <row r="365" spans="1:13">
      <c r="A365">
        <v>1982</v>
      </c>
      <c r="B365">
        <v>7</v>
      </c>
      <c r="C365" t="s">
        <v>1383</v>
      </c>
      <c r="D365" s="82">
        <v>30108</v>
      </c>
      <c r="E365" t="s">
        <v>1386</v>
      </c>
      <c r="F365" t="s">
        <v>2461</v>
      </c>
      <c r="G365">
        <v>42.329799999999999</v>
      </c>
      <c r="H365">
        <v>-83.040099999999995</v>
      </c>
      <c r="I365" t="s">
        <v>2066</v>
      </c>
      <c r="J365" t="s">
        <v>1382</v>
      </c>
      <c r="K365" t="s">
        <v>1384</v>
      </c>
      <c r="L365" t="s">
        <v>1385</v>
      </c>
      <c r="M365" t="s">
        <v>1010</v>
      </c>
    </row>
    <row r="366" spans="1:13">
      <c r="A366">
        <v>1982</v>
      </c>
      <c r="B366">
        <v>8</v>
      </c>
      <c r="C366" t="s">
        <v>1320</v>
      </c>
      <c r="D366" s="82">
        <v>30115</v>
      </c>
      <c r="E366" t="s">
        <v>1387</v>
      </c>
      <c r="F366" t="s">
        <v>2462</v>
      </c>
      <c r="G366">
        <v>45.5</v>
      </c>
      <c r="H366">
        <v>-73.522800000000004</v>
      </c>
      <c r="I366" t="s">
        <v>2063</v>
      </c>
      <c r="J366" t="s">
        <v>1115</v>
      </c>
      <c r="K366" t="s">
        <v>1321</v>
      </c>
      <c r="L366" t="s">
        <v>1322</v>
      </c>
      <c r="M366" t="s">
        <v>1119</v>
      </c>
    </row>
    <row r="367" spans="1:13">
      <c r="A367">
        <v>1982</v>
      </c>
      <c r="B367">
        <v>9</v>
      </c>
      <c r="C367" t="s">
        <v>915</v>
      </c>
      <c r="D367" s="82">
        <v>30135</v>
      </c>
      <c r="E367" t="s">
        <v>1388</v>
      </c>
      <c r="F367" t="s">
        <v>2463</v>
      </c>
      <c r="G367">
        <v>52.388800000000003</v>
      </c>
      <c r="H367">
        <v>4.5409199999999998</v>
      </c>
      <c r="I367" t="s">
        <v>2030</v>
      </c>
      <c r="J367" t="s">
        <v>914</v>
      </c>
      <c r="K367" t="s">
        <v>916</v>
      </c>
      <c r="L367" t="s">
        <v>917</v>
      </c>
      <c r="M367" t="s">
        <v>918</v>
      </c>
    </row>
    <row r="368" spans="1:13">
      <c r="A368">
        <v>1982</v>
      </c>
      <c r="B368">
        <v>10</v>
      </c>
      <c r="C368" t="s">
        <v>1067</v>
      </c>
      <c r="D368" s="82">
        <v>30150</v>
      </c>
      <c r="E368" t="s">
        <v>1389</v>
      </c>
      <c r="F368" t="s">
        <v>2464</v>
      </c>
      <c r="G368">
        <v>51.356900000000003</v>
      </c>
      <c r="H368">
        <v>0.26305600000000001</v>
      </c>
      <c r="I368" t="s">
        <v>2043</v>
      </c>
      <c r="J368" t="s">
        <v>850</v>
      </c>
      <c r="K368" t="s">
        <v>1068</v>
      </c>
      <c r="L368" t="s">
        <v>1069</v>
      </c>
      <c r="M368" t="s">
        <v>854</v>
      </c>
    </row>
    <row r="369" spans="1:13">
      <c r="A369">
        <v>1982</v>
      </c>
      <c r="B369">
        <v>11</v>
      </c>
      <c r="C369" t="s">
        <v>1178</v>
      </c>
      <c r="D369" s="82">
        <v>30157</v>
      </c>
      <c r="E369" t="s">
        <v>1390</v>
      </c>
      <c r="F369" t="s">
        <v>2465</v>
      </c>
      <c r="G369">
        <v>43.250599999999999</v>
      </c>
      <c r="H369">
        <v>5.7916699999999999</v>
      </c>
      <c r="I369" t="s">
        <v>2054</v>
      </c>
      <c r="J369" t="s">
        <v>877</v>
      </c>
      <c r="K369" t="s">
        <v>1179</v>
      </c>
      <c r="L369" t="s">
        <v>1180</v>
      </c>
      <c r="M369" t="s">
        <v>755</v>
      </c>
    </row>
    <row r="370" spans="1:13">
      <c r="A370">
        <v>1982</v>
      </c>
      <c r="B370">
        <v>12</v>
      </c>
      <c r="C370" t="s">
        <v>1162</v>
      </c>
      <c r="D370" s="82">
        <v>30171</v>
      </c>
      <c r="E370" t="s">
        <v>1391</v>
      </c>
      <c r="F370" t="s">
        <v>2466</v>
      </c>
      <c r="G370">
        <v>49.327800000000003</v>
      </c>
      <c r="H370">
        <v>8.5658300000000001</v>
      </c>
      <c r="I370" t="s">
        <v>2052</v>
      </c>
      <c r="J370" t="s">
        <v>893</v>
      </c>
      <c r="K370" t="s">
        <v>1163</v>
      </c>
      <c r="L370" t="s">
        <v>1164</v>
      </c>
      <c r="M370" t="s">
        <v>761</v>
      </c>
    </row>
    <row r="371" spans="1:13">
      <c r="A371">
        <v>1982</v>
      </c>
      <c r="B371">
        <v>13</v>
      </c>
      <c r="C371" t="s">
        <v>1166</v>
      </c>
      <c r="D371" s="82">
        <v>30178</v>
      </c>
      <c r="E371" t="s">
        <v>1392</v>
      </c>
      <c r="F371" t="s">
        <v>2467</v>
      </c>
      <c r="G371">
        <v>47.219700000000003</v>
      </c>
      <c r="H371">
        <v>14.764699999999999</v>
      </c>
      <c r="I371" t="s">
        <v>2053</v>
      </c>
      <c r="J371" t="s">
        <v>1072</v>
      </c>
      <c r="K371" t="s">
        <v>1167</v>
      </c>
      <c r="L371" t="s">
        <v>1168</v>
      </c>
      <c r="M371" t="s">
        <v>1076</v>
      </c>
    </row>
    <row r="372" spans="1:13">
      <c r="A372">
        <v>1982</v>
      </c>
      <c r="B372">
        <v>14</v>
      </c>
      <c r="C372" t="s">
        <v>1238</v>
      </c>
      <c r="D372" s="82">
        <v>30192</v>
      </c>
      <c r="E372" t="s">
        <v>1393</v>
      </c>
      <c r="F372" t="s">
        <v>2468</v>
      </c>
      <c r="G372">
        <v>47.362499999999997</v>
      </c>
      <c r="H372">
        <v>47.362499999999997</v>
      </c>
      <c r="I372" t="s">
        <v>2059</v>
      </c>
      <c r="J372" t="s">
        <v>877</v>
      </c>
      <c r="K372" t="s">
        <v>1239</v>
      </c>
      <c r="L372" t="s">
        <v>1240</v>
      </c>
      <c r="M372" t="s">
        <v>755</v>
      </c>
    </row>
    <row r="373" spans="1:13">
      <c r="A373">
        <v>1982</v>
      </c>
      <c r="B373">
        <v>15</v>
      </c>
      <c r="C373" t="s">
        <v>883</v>
      </c>
      <c r="D373" s="82">
        <v>30206</v>
      </c>
      <c r="E373" t="s">
        <v>1394</v>
      </c>
      <c r="F373" t="s">
        <v>2469</v>
      </c>
      <c r="G373">
        <v>45.615600000000001</v>
      </c>
      <c r="H373">
        <v>9.28111</v>
      </c>
      <c r="I373" t="s">
        <v>2026</v>
      </c>
      <c r="J373" t="s">
        <v>882</v>
      </c>
      <c r="K373" t="s">
        <v>884</v>
      </c>
      <c r="L373" t="s">
        <v>885</v>
      </c>
      <c r="M373" t="s">
        <v>886</v>
      </c>
    </row>
    <row r="374" spans="1:13">
      <c r="A374">
        <v>1982</v>
      </c>
      <c r="B374">
        <v>16</v>
      </c>
      <c r="C374" t="s">
        <v>1372</v>
      </c>
      <c r="D374" s="82">
        <v>30219</v>
      </c>
      <c r="E374" t="s">
        <v>1395</v>
      </c>
      <c r="F374" t="s">
        <v>2470</v>
      </c>
      <c r="G374">
        <v>36.176000000000002</v>
      </c>
      <c r="H374">
        <v>-115.137</v>
      </c>
      <c r="I374" t="s">
        <v>2065</v>
      </c>
      <c r="J374" t="s">
        <v>1371</v>
      </c>
      <c r="K374" t="s">
        <v>1373</v>
      </c>
      <c r="L374" t="s">
        <v>1374</v>
      </c>
      <c r="M374" t="s">
        <v>1010</v>
      </c>
    </row>
    <row r="375" spans="1:13">
      <c r="A375">
        <v>1983</v>
      </c>
      <c r="B375">
        <v>1</v>
      </c>
      <c r="C375" t="s">
        <v>1303</v>
      </c>
      <c r="D375" s="82">
        <v>30388</v>
      </c>
      <c r="E375" t="s">
        <v>1396</v>
      </c>
      <c r="F375" t="s">
        <v>2471</v>
      </c>
      <c r="G375">
        <v>-22.9756</v>
      </c>
      <c r="H375">
        <v>-43.395000000000003</v>
      </c>
      <c r="I375" t="s">
        <v>2062</v>
      </c>
      <c r="J375" t="s">
        <v>1203</v>
      </c>
      <c r="K375" t="s">
        <v>1304</v>
      </c>
      <c r="L375" t="s">
        <v>1305</v>
      </c>
      <c r="M375" t="s">
        <v>1207</v>
      </c>
    </row>
    <row r="376" spans="1:13">
      <c r="A376">
        <v>1983</v>
      </c>
      <c r="B376">
        <v>2</v>
      </c>
      <c r="C376" t="s">
        <v>1265</v>
      </c>
      <c r="D376" s="82">
        <v>30402</v>
      </c>
      <c r="E376" t="s">
        <v>1397</v>
      </c>
      <c r="F376" t="s">
        <v>2472</v>
      </c>
      <c r="G376">
        <v>33.804200000000002</v>
      </c>
      <c r="H376">
        <v>-118.158</v>
      </c>
      <c r="I376" t="s">
        <v>2060</v>
      </c>
      <c r="J376" t="s">
        <v>1264</v>
      </c>
      <c r="K376" t="s">
        <v>1266</v>
      </c>
      <c r="L376" t="s">
        <v>77</v>
      </c>
      <c r="M376" t="s">
        <v>1010</v>
      </c>
    </row>
    <row r="377" spans="1:13">
      <c r="A377">
        <v>1983</v>
      </c>
      <c r="B377">
        <v>3</v>
      </c>
      <c r="C377" t="s">
        <v>1178</v>
      </c>
      <c r="D377" s="82">
        <v>30423</v>
      </c>
      <c r="E377" t="s">
        <v>1398</v>
      </c>
      <c r="F377" t="s">
        <v>2473</v>
      </c>
      <c r="G377">
        <v>43.250599999999999</v>
      </c>
      <c r="H377">
        <v>5.7916699999999999</v>
      </c>
      <c r="I377" t="s">
        <v>2054</v>
      </c>
      <c r="J377" t="s">
        <v>877</v>
      </c>
      <c r="K377" t="s">
        <v>1179</v>
      </c>
      <c r="L377" t="s">
        <v>1180</v>
      </c>
      <c r="M377" t="s">
        <v>755</v>
      </c>
    </row>
    <row r="378" spans="1:13">
      <c r="A378">
        <v>1983</v>
      </c>
      <c r="B378">
        <v>4</v>
      </c>
      <c r="C378" t="s">
        <v>1350</v>
      </c>
      <c r="D378" s="82">
        <v>30437</v>
      </c>
      <c r="E378" t="s">
        <v>1399</v>
      </c>
      <c r="F378" t="s">
        <v>2474</v>
      </c>
      <c r="G378">
        <v>44.343899999999998</v>
      </c>
      <c r="H378">
        <v>11.716699999999999</v>
      </c>
      <c r="I378" t="s">
        <v>2064</v>
      </c>
      <c r="J378" t="s">
        <v>882</v>
      </c>
      <c r="K378" t="s">
        <v>1351</v>
      </c>
      <c r="L378" t="s">
        <v>1352</v>
      </c>
      <c r="M378" t="s">
        <v>886</v>
      </c>
    </row>
    <row r="379" spans="1:13">
      <c r="A379">
        <v>1983</v>
      </c>
      <c r="B379">
        <v>5</v>
      </c>
      <c r="C379" t="s">
        <v>857</v>
      </c>
      <c r="D379" s="82">
        <v>30451</v>
      </c>
      <c r="E379" t="s">
        <v>1400</v>
      </c>
      <c r="F379" t="s">
        <v>2475</v>
      </c>
      <c r="G379">
        <v>43.734699999999997</v>
      </c>
      <c r="H379">
        <v>7.42056</v>
      </c>
      <c r="I379" t="s">
        <v>2021</v>
      </c>
      <c r="J379" t="s">
        <v>856</v>
      </c>
      <c r="K379" t="s">
        <v>858</v>
      </c>
      <c r="L379" t="s">
        <v>859</v>
      </c>
      <c r="M379" t="s">
        <v>860</v>
      </c>
    </row>
    <row r="380" spans="1:13">
      <c r="A380">
        <v>1983</v>
      </c>
      <c r="B380">
        <v>6</v>
      </c>
      <c r="C380" t="s">
        <v>873</v>
      </c>
      <c r="D380" s="82">
        <v>30458</v>
      </c>
      <c r="E380" t="s">
        <v>1401</v>
      </c>
      <c r="F380" t="s">
        <v>2476</v>
      </c>
      <c r="G380">
        <v>50.437199999999997</v>
      </c>
      <c r="H380">
        <v>5.9713900000000004</v>
      </c>
      <c r="I380" t="s">
        <v>2024</v>
      </c>
      <c r="J380" t="s">
        <v>872</v>
      </c>
      <c r="K380" t="s">
        <v>874</v>
      </c>
      <c r="L380" t="s">
        <v>875</v>
      </c>
      <c r="M380" t="s">
        <v>244</v>
      </c>
    </row>
    <row r="381" spans="1:13">
      <c r="A381">
        <v>1983</v>
      </c>
      <c r="B381">
        <v>7</v>
      </c>
      <c r="C381" t="s">
        <v>1383</v>
      </c>
      <c r="D381" s="82">
        <v>30472</v>
      </c>
      <c r="E381" t="s">
        <v>1402</v>
      </c>
      <c r="F381" t="s">
        <v>2477</v>
      </c>
      <c r="G381">
        <v>42.329799999999999</v>
      </c>
      <c r="H381">
        <v>-83.040099999999995</v>
      </c>
      <c r="I381" t="s">
        <v>2066</v>
      </c>
      <c r="J381" t="s">
        <v>1382</v>
      </c>
      <c r="K381" t="s">
        <v>1384</v>
      </c>
      <c r="L381" t="s">
        <v>1385</v>
      </c>
      <c r="M381" t="s">
        <v>1010</v>
      </c>
    </row>
    <row r="382" spans="1:13">
      <c r="A382">
        <v>1983</v>
      </c>
      <c r="B382">
        <v>8</v>
      </c>
      <c r="C382" t="s">
        <v>1320</v>
      </c>
      <c r="D382" s="82">
        <v>30479</v>
      </c>
      <c r="E382" t="s">
        <v>1403</v>
      </c>
      <c r="F382" t="s">
        <v>2478</v>
      </c>
      <c r="G382">
        <v>45.5</v>
      </c>
      <c r="H382">
        <v>-73.522800000000004</v>
      </c>
      <c r="I382" t="s">
        <v>2063</v>
      </c>
      <c r="J382" t="s">
        <v>1115</v>
      </c>
      <c r="K382" t="s">
        <v>1321</v>
      </c>
      <c r="L382" t="s">
        <v>1322</v>
      </c>
      <c r="M382" t="s">
        <v>1119</v>
      </c>
    </row>
    <row r="383" spans="1:13">
      <c r="A383">
        <v>1983</v>
      </c>
      <c r="B383">
        <v>9</v>
      </c>
      <c r="C383" t="s">
        <v>851</v>
      </c>
      <c r="D383" s="82">
        <v>30513</v>
      </c>
      <c r="E383" t="s">
        <v>1404</v>
      </c>
      <c r="F383" t="s">
        <v>2479</v>
      </c>
      <c r="G383">
        <v>52.078600000000002</v>
      </c>
      <c r="H383">
        <v>-1.01694</v>
      </c>
      <c r="I383" t="s">
        <v>2020</v>
      </c>
      <c r="J383" t="s">
        <v>850</v>
      </c>
      <c r="K383" t="s">
        <v>852</v>
      </c>
      <c r="L383" t="s">
        <v>853</v>
      </c>
      <c r="M383" t="s">
        <v>854</v>
      </c>
    </row>
    <row r="384" spans="1:13">
      <c r="A384">
        <v>1983</v>
      </c>
      <c r="B384">
        <v>10</v>
      </c>
      <c r="C384" t="s">
        <v>1162</v>
      </c>
      <c r="D384" s="82">
        <v>30535</v>
      </c>
      <c r="E384" t="s">
        <v>1405</v>
      </c>
      <c r="F384" t="s">
        <v>2480</v>
      </c>
      <c r="G384">
        <v>49.327800000000003</v>
      </c>
      <c r="H384">
        <v>8.5658300000000001</v>
      </c>
      <c r="I384" t="s">
        <v>2052</v>
      </c>
      <c r="J384" t="s">
        <v>893</v>
      </c>
      <c r="K384" t="s">
        <v>1163</v>
      </c>
      <c r="L384" t="s">
        <v>1164</v>
      </c>
      <c r="M384" t="s">
        <v>761</v>
      </c>
    </row>
    <row r="385" spans="1:13">
      <c r="A385">
        <v>1983</v>
      </c>
      <c r="B385">
        <v>11</v>
      </c>
      <c r="C385" t="s">
        <v>1166</v>
      </c>
      <c r="D385" s="82">
        <v>30542</v>
      </c>
      <c r="E385" t="s">
        <v>1406</v>
      </c>
      <c r="F385" t="s">
        <v>2481</v>
      </c>
      <c r="G385">
        <v>47.219700000000003</v>
      </c>
      <c r="H385">
        <v>14.764699999999999</v>
      </c>
      <c r="I385" t="s">
        <v>2053</v>
      </c>
      <c r="J385" t="s">
        <v>1072</v>
      </c>
      <c r="K385" t="s">
        <v>1167</v>
      </c>
      <c r="L385" t="s">
        <v>1168</v>
      </c>
      <c r="M385" t="s">
        <v>1076</v>
      </c>
    </row>
    <row r="386" spans="1:13">
      <c r="A386">
        <v>1983</v>
      </c>
      <c r="B386">
        <v>12</v>
      </c>
      <c r="C386" t="s">
        <v>915</v>
      </c>
      <c r="D386" s="82">
        <v>30556</v>
      </c>
      <c r="E386" t="s">
        <v>1407</v>
      </c>
      <c r="F386" t="s">
        <v>2482</v>
      </c>
      <c r="G386">
        <v>52.388800000000003</v>
      </c>
      <c r="H386">
        <v>4.5409199999999998</v>
      </c>
      <c r="I386" t="s">
        <v>2030</v>
      </c>
      <c r="J386" t="s">
        <v>914</v>
      </c>
      <c r="K386" t="s">
        <v>916</v>
      </c>
      <c r="L386" t="s">
        <v>917</v>
      </c>
      <c r="M386" t="s">
        <v>918</v>
      </c>
    </row>
    <row r="387" spans="1:13">
      <c r="A387">
        <v>1983</v>
      </c>
      <c r="B387">
        <v>13</v>
      </c>
      <c r="C387" t="s">
        <v>883</v>
      </c>
      <c r="D387" s="82">
        <v>30570</v>
      </c>
      <c r="E387" t="s">
        <v>1408</v>
      </c>
      <c r="F387" t="s">
        <v>2483</v>
      </c>
      <c r="G387">
        <v>45.615600000000001</v>
      </c>
      <c r="H387">
        <v>9.28111</v>
      </c>
      <c r="I387" t="s">
        <v>2026</v>
      </c>
      <c r="J387" t="s">
        <v>882</v>
      </c>
      <c r="K387" t="s">
        <v>884</v>
      </c>
      <c r="L387" t="s">
        <v>885</v>
      </c>
      <c r="M387" t="s">
        <v>886</v>
      </c>
    </row>
    <row r="388" spans="1:13">
      <c r="A388">
        <v>1983</v>
      </c>
      <c r="B388">
        <v>14</v>
      </c>
      <c r="C388" t="s">
        <v>1067</v>
      </c>
      <c r="D388" s="82">
        <v>30584</v>
      </c>
      <c r="E388" t="s">
        <v>1410</v>
      </c>
      <c r="F388" t="s">
        <v>2484</v>
      </c>
      <c r="G388">
        <v>51.356900000000003</v>
      </c>
      <c r="H388">
        <v>0.26305600000000001</v>
      </c>
      <c r="I388" t="s">
        <v>2043</v>
      </c>
      <c r="J388" t="s">
        <v>850</v>
      </c>
      <c r="K388" t="s">
        <v>1068</v>
      </c>
      <c r="L388" t="s">
        <v>1069</v>
      </c>
      <c r="M388" t="s">
        <v>854</v>
      </c>
    </row>
    <row r="389" spans="1:13">
      <c r="A389">
        <v>1983</v>
      </c>
      <c r="B389">
        <v>15</v>
      </c>
      <c r="C389" t="s">
        <v>1103</v>
      </c>
      <c r="D389" s="82">
        <v>30604</v>
      </c>
      <c r="E389" t="s">
        <v>1411</v>
      </c>
      <c r="F389" t="s">
        <v>2485</v>
      </c>
      <c r="G389">
        <v>-25.9894</v>
      </c>
      <c r="H389">
        <v>28.076699999999999</v>
      </c>
      <c r="I389" t="s">
        <v>2046</v>
      </c>
      <c r="J389" t="s">
        <v>1042</v>
      </c>
      <c r="K389" t="s">
        <v>1104</v>
      </c>
      <c r="L389" t="s">
        <v>1105</v>
      </c>
      <c r="M389" t="s">
        <v>1046</v>
      </c>
    </row>
    <row r="390" spans="1:13">
      <c r="A390">
        <v>1984</v>
      </c>
      <c r="B390">
        <v>1</v>
      </c>
      <c r="C390" t="s">
        <v>1303</v>
      </c>
      <c r="D390" s="82">
        <v>30766</v>
      </c>
      <c r="E390" t="s">
        <v>1412</v>
      </c>
      <c r="F390" t="s">
        <v>2486</v>
      </c>
      <c r="G390">
        <v>-22.9756</v>
      </c>
      <c r="H390">
        <v>-43.395000000000003</v>
      </c>
      <c r="I390" t="s">
        <v>2062</v>
      </c>
      <c r="J390" t="s">
        <v>1203</v>
      </c>
      <c r="K390" t="s">
        <v>1304</v>
      </c>
      <c r="L390" t="s">
        <v>1305</v>
      </c>
      <c r="M390" t="s">
        <v>1207</v>
      </c>
    </row>
    <row r="391" spans="1:13">
      <c r="A391">
        <v>1984</v>
      </c>
      <c r="B391">
        <v>2</v>
      </c>
      <c r="C391" t="s">
        <v>1103</v>
      </c>
      <c r="D391" s="82">
        <v>30779</v>
      </c>
      <c r="E391" t="s">
        <v>1413</v>
      </c>
      <c r="F391" t="s">
        <v>2487</v>
      </c>
      <c r="G391">
        <v>-25.9894</v>
      </c>
      <c r="H391">
        <v>28.076699999999999</v>
      </c>
      <c r="I391" t="s">
        <v>2046</v>
      </c>
      <c r="J391" t="s">
        <v>1042</v>
      </c>
      <c r="K391" t="s">
        <v>1104</v>
      </c>
      <c r="L391" t="s">
        <v>1105</v>
      </c>
      <c r="M391" t="s">
        <v>1046</v>
      </c>
    </row>
    <row r="392" spans="1:13">
      <c r="A392">
        <v>1984</v>
      </c>
      <c r="B392">
        <v>3</v>
      </c>
      <c r="C392" t="s">
        <v>1211</v>
      </c>
      <c r="D392" s="82">
        <v>30801</v>
      </c>
      <c r="E392" t="s">
        <v>1414</v>
      </c>
      <c r="F392" t="s">
        <v>2488</v>
      </c>
      <c r="G392">
        <v>50.989400000000003</v>
      </c>
      <c r="H392">
        <v>5.2569400000000002</v>
      </c>
      <c r="I392" t="s">
        <v>2057</v>
      </c>
      <c r="J392" t="s">
        <v>872</v>
      </c>
      <c r="K392" t="s">
        <v>1212</v>
      </c>
      <c r="L392" t="s">
        <v>1213</v>
      </c>
      <c r="M392" t="s">
        <v>244</v>
      </c>
    </row>
    <row r="393" spans="1:13">
      <c r="A393">
        <v>1984</v>
      </c>
      <c r="B393">
        <v>4</v>
      </c>
      <c r="C393" t="s">
        <v>1350</v>
      </c>
      <c r="D393" s="82">
        <v>30808</v>
      </c>
      <c r="E393" t="s">
        <v>1415</v>
      </c>
      <c r="F393" t="s">
        <v>2489</v>
      </c>
      <c r="G393">
        <v>44.343899999999998</v>
      </c>
      <c r="H393">
        <v>11.716699999999999</v>
      </c>
      <c r="I393" t="s">
        <v>2064</v>
      </c>
      <c r="J393" t="s">
        <v>882</v>
      </c>
      <c r="K393" t="s">
        <v>1351</v>
      </c>
      <c r="L393" t="s">
        <v>1352</v>
      </c>
      <c r="M393" t="s">
        <v>886</v>
      </c>
    </row>
    <row r="394" spans="1:13">
      <c r="A394">
        <v>1984</v>
      </c>
      <c r="B394">
        <v>5</v>
      </c>
      <c r="C394" t="s">
        <v>1238</v>
      </c>
      <c r="D394" s="82">
        <v>30822</v>
      </c>
      <c r="E394" t="s">
        <v>1416</v>
      </c>
      <c r="F394" t="s">
        <v>2490</v>
      </c>
      <c r="G394">
        <v>47.362499999999997</v>
      </c>
      <c r="H394">
        <v>47.362499999999997</v>
      </c>
      <c r="I394" t="s">
        <v>2059</v>
      </c>
      <c r="J394" t="s">
        <v>877</v>
      </c>
      <c r="K394" t="s">
        <v>1239</v>
      </c>
      <c r="L394" t="s">
        <v>1240</v>
      </c>
      <c r="M394" t="s">
        <v>755</v>
      </c>
    </row>
    <row r="395" spans="1:13">
      <c r="A395">
        <v>1984</v>
      </c>
      <c r="B395">
        <v>6</v>
      </c>
      <c r="C395" t="s">
        <v>857</v>
      </c>
      <c r="D395" s="82">
        <v>30836</v>
      </c>
      <c r="E395" t="s">
        <v>1417</v>
      </c>
      <c r="F395" t="s">
        <v>2491</v>
      </c>
      <c r="G395">
        <v>43.734699999999997</v>
      </c>
      <c r="H395">
        <v>7.42056</v>
      </c>
      <c r="I395" t="s">
        <v>2021</v>
      </c>
      <c r="J395" t="s">
        <v>856</v>
      </c>
      <c r="K395" t="s">
        <v>858</v>
      </c>
      <c r="L395" t="s">
        <v>859</v>
      </c>
      <c r="M395" t="s">
        <v>860</v>
      </c>
    </row>
    <row r="396" spans="1:13">
      <c r="A396">
        <v>1984</v>
      </c>
      <c r="B396">
        <v>7</v>
      </c>
      <c r="C396" t="s">
        <v>1320</v>
      </c>
      <c r="D396" s="82">
        <v>30850</v>
      </c>
      <c r="E396" t="s">
        <v>1418</v>
      </c>
      <c r="F396" t="s">
        <v>2492</v>
      </c>
      <c r="G396">
        <v>45.5</v>
      </c>
      <c r="H396">
        <v>-73.522800000000004</v>
      </c>
      <c r="I396" t="s">
        <v>2063</v>
      </c>
      <c r="J396" t="s">
        <v>1115</v>
      </c>
      <c r="K396" t="s">
        <v>1321</v>
      </c>
      <c r="L396" t="s">
        <v>1322</v>
      </c>
      <c r="M396" t="s">
        <v>1119</v>
      </c>
    </row>
    <row r="397" spans="1:13">
      <c r="A397">
        <v>1984</v>
      </c>
      <c r="B397">
        <v>8</v>
      </c>
      <c r="C397" t="s">
        <v>1383</v>
      </c>
      <c r="D397" s="82">
        <v>30857</v>
      </c>
      <c r="E397" t="s">
        <v>1419</v>
      </c>
      <c r="F397" t="s">
        <v>2493</v>
      </c>
      <c r="G397">
        <v>42.329799999999999</v>
      </c>
      <c r="H397">
        <v>-83.040099999999995</v>
      </c>
      <c r="I397" t="s">
        <v>2066</v>
      </c>
      <c r="J397" t="s">
        <v>1382</v>
      </c>
      <c r="K397" t="s">
        <v>1384</v>
      </c>
      <c r="L397" t="s">
        <v>1385</v>
      </c>
      <c r="M397" t="s">
        <v>1010</v>
      </c>
    </row>
    <row r="398" spans="1:13">
      <c r="A398">
        <v>1984</v>
      </c>
      <c r="B398">
        <v>9</v>
      </c>
      <c r="C398" t="s">
        <v>1421</v>
      </c>
      <c r="D398" s="82">
        <v>30871</v>
      </c>
      <c r="E398" t="s">
        <v>1424</v>
      </c>
      <c r="F398" t="s">
        <v>2494</v>
      </c>
      <c r="G398">
        <v>32.7774</v>
      </c>
      <c r="H398">
        <v>-96.758700000000005</v>
      </c>
      <c r="I398" t="s">
        <v>2067</v>
      </c>
      <c r="J398" t="s">
        <v>1420</v>
      </c>
      <c r="K398" t="s">
        <v>1422</v>
      </c>
      <c r="L398" t="s">
        <v>1423</v>
      </c>
      <c r="M398" t="s">
        <v>1010</v>
      </c>
    </row>
    <row r="399" spans="1:13">
      <c r="A399">
        <v>1984</v>
      </c>
      <c r="B399">
        <v>10</v>
      </c>
      <c r="C399" t="s">
        <v>1067</v>
      </c>
      <c r="D399" s="82">
        <v>30885</v>
      </c>
      <c r="E399" t="s">
        <v>1425</v>
      </c>
      <c r="F399" t="s">
        <v>2495</v>
      </c>
      <c r="G399">
        <v>51.356900000000003</v>
      </c>
      <c r="H399">
        <v>0.26305600000000001</v>
      </c>
      <c r="I399" t="s">
        <v>2043</v>
      </c>
      <c r="J399" t="s">
        <v>850</v>
      </c>
      <c r="K399" t="s">
        <v>1068</v>
      </c>
      <c r="L399" t="s">
        <v>1069</v>
      </c>
      <c r="M399" t="s">
        <v>854</v>
      </c>
    </row>
    <row r="400" spans="1:13">
      <c r="A400">
        <v>1984</v>
      </c>
      <c r="B400">
        <v>11</v>
      </c>
      <c r="C400" t="s">
        <v>1162</v>
      </c>
      <c r="D400" s="82">
        <v>30899</v>
      </c>
      <c r="E400" t="s">
        <v>1426</v>
      </c>
      <c r="F400" t="s">
        <v>2496</v>
      </c>
      <c r="G400">
        <v>49.327800000000003</v>
      </c>
      <c r="H400">
        <v>8.5658300000000001</v>
      </c>
      <c r="I400" t="s">
        <v>2052</v>
      </c>
      <c r="J400" t="s">
        <v>893</v>
      </c>
      <c r="K400" t="s">
        <v>1163</v>
      </c>
      <c r="L400" t="s">
        <v>1164</v>
      </c>
      <c r="M400" t="s">
        <v>761</v>
      </c>
    </row>
    <row r="401" spans="1:13">
      <c r="A401">
        <v>1984</v>
      </c>
      <c r="B401">
        <v>12</v>
      </c>
      <c r="C401" t="s">
        <v>1166</v>
      </c>
      <c r="D401" s="82">
        <v>30913</v>
      </c>
      <c r="E401" t="s">
        <v>1427</v>
      </c>
      <c r="F401" t="s">
        <v>2497</v>
      </c>
      <c r="G401">
        <v>47.219700000000003</v>
      </c>
      <c r="H401">
        <v>14.764699999999999</v>
      </c>
      <c r="I401" t="s">
        <v>2053</v>
      </c>
      <c r="J401" t="s">
        <v>1072</v>
      </c>
      <c r="K401" t="s">
        <v>1167</v>
      </c>
      <c r="L401" t="s">
        <v>1168</v>
      </c>
      <c r="M401" t="s">
        <v>1076</v>
      </c>
    </row>
    <row r="402" spans="1:13">
      <c r="A402">
        <v>1984</v>
      </c>
      <c r="B402">
        <v>13</v>
      </c>
      <c r="C402" t="s">
        <v>915</v>
      </c>
      <c r="D402" s="82">
        <v>30920</v>
      </c>
      <c r="E402" t="s">
        <v>1428</v>
      </c>
      <c r="F402" t="s">
        <v>2498</v>
      </c>
      <c r="G402">
        <v>52.388800000000003</v>
      </c>
      <c r="H402">
        <v>4.5409199999999998</v>
      </c>
      <c r="I402" t="s">
        <v>2030</v>
      </c>
      <c r="J402" t="s">
        <v>914</v>
      </c>
      <c r="K402" t="s">
        <v>916</v>
      </c>
      <c r="L402" t="s">
        <v>917</v>
      </c>
      <c r="M402" t="s">
        <v>918</v>
      </c>
    </row>
    <row r="403" spans="1:13">
      <c r="A403">
        <v>1984</v>
      </c>
      <c r="B403">
        <v>14</v>
      </c>
      <c r="C403" t="s">
        <v>883</v>
      </c>
      <c r="D403" s="82">
        <v>30934</v>
      </c>
      <c r="E403" t="s">
        <v>1429</v>
      </c>
      <c r="F403" t="s">
        <v>2499</v>
      </c>
      <c r="G403">
        <v>45.615600000000001</v>
      </c>
      <c r="H403">
        <v>9.28111</v>
      </c>
      <c r="I403" t="s">
        <v>2026</v>
      </c>
      <c r="J403" t="s">
        <v>882</v>
      </c>
      <c r="K403" t="s">
        <v>884</v>
      </c>
      <c r="L403" t="s">
        <v>885</v>
      </c>
      <c r="M403" t="s">
        <v>886</v>
      </c>
    </row>
    <row r="404" spans="1:13">
      <c r="A404">
        <v>1984</v>
      </c>
      <c r="B404">
        <v>15</v>
      </c>
      <c r="C404" t="s">
        <v>894</v>
      </c>
      <c r="D404" s="82">
        <v>30962</v>
      </c>
      <c r="E404" t="s">
        <v>1430</v>
      </c>
      <c r="F404" t="s">
        <v>2500</v>
      </c>
      <c r="G404">
        <v>50.335599999999999</v>
      </c>
      <c r="H404">
        <v>6.9474999999999998</v>
      </c>
      <c r="I404" t="s">
        <v>2027</v>
      </c>
      <c r="J404" t="s">
        <v>893</v>
      </c>
      <c r="K404" t="s">
        <v>895</v>
      </c>
      <c r="L404" t="s">
        <v>896</v>
      </c>
      <c r="M404" t="s">
        <v>761</v>
      </c>
    </row>
    <row r="405" spans="1:13">
      <c r="A405">
        <v>1984</v>
      </c>
      <c r="B405">
        <v>16</v>
      </c>
      <c r="C405" t="s">
        <v>1431</v>
      </c>
      <c r="D405" s="82">
        <v>30976</v>
      </c>
      <c r="E405" t="s">
        <v>1434</v>
      </c>
      <c r="F405" t="s">
        <v>2501</v>
      </c>
      <c r="G405">
        <v>38.750599999999999</v>
      </c>
      <c r="H405">
        <v>-9.3941700000000008</v>
      </c>
      <c r="I405" t="s">
        <v>2068</v>
      </c>
      <c r="J405" t="s">
        <v>980</v>
      </c>
      <c r="K405" t="s">
        <v>1432</v>
      </c>
      <c r="L405" t="s">
        <v>1433</v>
      </c>
      <c r="M405" t="s">
        <v>984</v>
      </c>
    </row>
    <row r="406" spans="1:13">
      <c r="A406">
        <v>1985</v>
      </c>
      <c r="B406">
        <v>1</v>
      </c>
      <c r="C406" t="s">
        <v>1303</v>
      </c>
      <c r="D406" s="82">
        <v>31144</v>
      </c>
      <c r="E406" t="s">
        <v>1435</v>
      </c>
      <c r="F406" t="s">
        <v>2502</v>
      </c>
      <c r="G406">
        <v>-22.9756</v>
      </c>
      <c r="H406">
        <v>-43.395000000000003</v>
      </c>
      <c r="I406" t="s">
        <v>2062</v>
      </c>
      <c r="J406" t="s">
        <v>1203</v>
      </c>
      <c r="K406" t="s">
        <v>1304</v>
      </c>
      <c r="L406" t="s">
        <v>1305</v>
      </c>
      <c r="M406" t="s">
        <v>1207</v>
      </c>
    </row>
    <row r="407" spans="1:13">
      <c r="A407">
        <v>1985</v>
      </c>
      <c r="B407">
        <v>2</v>
      </c>
      <c r="C407" t="s">
        <v>1431</v>
      </c>
      <c r="D407" s="82">
        <v>31158</v>
      </c>
      <c r="E407" t="s">
        <v>1436</v>
      </c>
      <c r="F407" t="s">
        <v>2503</v>
      </c>
      <c r="G407">
        <v>38.750599999999999</v>
      </c>
      <c r="H407">
        <v>-9.3941700000000008</v>
      </c>
      <c r="I407" t="s">
        <v>2068</v>
      </c>
      <c r="J407" t="s">
        <v>980</v>
      </c>
      <c r="K407" t="s">
        <v>1432</v>
      </c>
      <c r="L407" t="s">
        <v>1433</v>
      </c>
      <c r="M407" t="s">
        <v>984</v>
      </c>
    </row>
    <row r="408" spans="1:13">
      <c r="A408">
        <v>1985</v>
      </c>
      <c r="B408">
        <v>3</v>
      </c>
      <c r="C408" t="s">
        <v>1350</v>
      </c>
      <c r="D408" s="82">
        <v>31172</v>
      </c>
      <c r="E408" t="s">
        <v>1437</v>
      </c>
      <c r="F408" t="s">
        <v>2504</v>
      </c>
      <c r="G408">
        <v>44.343899999999998</v>
      </c>
      <c r="H408">
        <v>11.716699999999999</v>
      </c>
      <c r="I408" t="s">
        <v>2064</v>
      </c>
      <c r="J408" t="s">
        <v>882</v>
      </c>
      <c r="K408" t="s">
        <v>1351</v>
      </c>
      <c r="L408" t="s">
        <v>1352</v>
      </c>
      <c r="M408" t="s">
        <v>886</v>
      </c>
    </row>
    <row r="409" spans="1:13">
      <c r="A409">
        <v>1985</v>
      </c>
      <c r="B409">
        <v>4</v>
      </c>
      <c r="C409" t="s">
        <v>857</v>
      </c>
      <c r="D409" s="82">
        <v>31186</v>
      </c>
      <c r="E409" t="s">
        <v>1438</v>
      </c>
      <c r="F409" t="s">
        <v>2505</v>
      </c>
      <c r="G409">
        <v>43.734699999999997</v>
      </c>
      <c r="H409">
        <v>7.42056</v>
      </c>
      <c r="I409" t="s">
        <v>2021</v>
      </c>
      <c r="J409" t="s">
        <v>856</v>
      </c>
      <c r="K409" t="s">
        <v>858</v>
      </c>
      <c r="L409" t="s">
        <v>859</v>
      </c>
      <c r="M409" t="s">
        <v>860</v>
      </c>
    </row>
    <row r="410" spans="1:13">
      <c r="A410">
        <v>1985</v>
      </c>
      <c r="B410">
        <v>5</v>
      </c>
      <c r="C410" t="s">
        <v>1320</v>
      </c>
      <c r="D410" s="82">
        <v>31214</v>
      </c>
      <c r="E410" t="s">
        <v>1439</v>
      </c>
      <c r="F410" t="s">
        <v>2506</v>
      </c>
      <c r="G410">
        <v>45.5</v>
      </c>
      <c r="H410">
        <v>-73.522800000000004</v>
      </c>
      <c r="I410" t="s">
        <v>2063</v>
      </c>
      <c r="J410" t="s">
        <v>1115</v>
      </c>
      <c r="K410" t="s">
        <v>1321</v>
      </c>
      <c r="L410" t="s">
        <v>1322</v>
      </c>
      <c r="M410" t="s">
        <v>1119</v>
      </c>
    </row>
    <row r="411" spans="1:13">
      <c r="A411">
        <v>1985</v>
      </c>
      <c r="B411">
        <v>6</v>
      </c>
      <c r="C411" t="s">
        <v>1383</v>
      </c>
      <c r="D411" s="82">
        <v>31221</v>
      </c>
      <c r="E411" t="s">
        <v>1440</v>
      </c>
      <c r="F411" t="s">
        <v>2507</v>
      </c>
      <c r="G411">
        <v>42.329799999999999</v>
      </c>
      <c r="H411">
        <v>-83.040099999999995</v>
      </c>
      <c r="I411" t="s">
        <v>2066</v>
      </c>
      <c r="J411" t="s">
        <v>1382</v>
      </c>
      <c r="K411" t="s">
        <v>1384</v>
      </c>
      <c r="L411" t="s">
        <v>1385</v>
      </c>
      <c r="M411" t="s">
        <v>1010</v>
      </c>
    </row>
    <row r="412" spans="1:13">
      <c r="A412">
        <v>1985</v>
      </c>
      <c r="B412">
        <v>7</v>
      </c>
      <c r="C412" t="s">
        <v>1178</v>
      </c>
      <c r="D412" s="82">
        <v>31235</v>
      </c>
      <c r="E412" t="s">
        <v>1441</v>
      </c>
      <c r="F412" t="s">
        <v>2508</v>
      </c>
      <c r="G412">
        <v>43.250599999999999</v>
      </c>
      <c r="H412">
        <v>5.7916699999999999</v>
      </c>
      <c r="I412" t="s">
        <v>2054</v>
      </c>
      <c r="J412" t="s">
        <v>877</v>
      </c>
      <c r="K412" t="s">
        <v>1179</v>
      </c>
      <c r="L412" t="s">
        <v>1180</v>
      </c>
      <c r="M412" t="s">
        <v>755</v>
      </c>
    </row>
    <row r="413" spans="1:13">
      <c r="A413">
        <v>1985</v>
      </c>
      <c r="B413">
        <v>8</v>
      </c>
      <c r="C413" t="s">
        <v>851</v>
      </c>
      <c r="D413" s="82">
        <v>31249</v>
      </c>
      <c r="E413" t="s">
        <v>1442</v>
      </c>
      <c r="F413" t="s">
        <v>2509</v>
      </c>
      <c r="G413">
        <v>52.078600000000002</v>
      </c>
      <c r="H413">
        <v>-1.01694</v>
      </c>
      <c r="I413" t="s">
        <v>2020</v>
      </c>
      <c r="J413" t="s">
        <v>850</v>
      </c>
      <c r="K413" t="s">
        <v>852</v>
      </c>
      <c r="L413" t="s">
        <v>853</v>
      </c>
      <c r="M413" t="s">
        <v>854</v>
      </c>
    </row>
    <row r="414" spans="1:13">
      <c r="A414">
        <v>1985</v>
      </c>
      <c r="B414">
        <v>9</v>
      </c>
      <c r="C414" t="s">
        <v>894</v>
      </c>
      <c r="D414" s="82">
        <v>31263</v>
      </c>
      <c r="E414" t="s">
        <v>1443</v>
      </c>
      <c r="F414" t="s">
        <v>2510</v>
      </c>
      <c r="G414">
        <v>50.335599999999999</v>
      </c>
      <c r="H414">
        <v>6.9474999999999998</v>
      </c>
      <c r="I414" t="s">
        <v>2027</v>
      </c>
      <c r="J414" t="s">
        <v>893</v>
      </c>
      <c r="K414" t="s">
        <v>895</v>
      </c>
      <c r="L414" t="s">
        <v>896</v>
      </c>
      <c r="M414" t="s">
        <v>761</v>
      </c>
    </row>
    <row r="415" spans="1:13">
      <c r="A415">
        <v>1985</v>
      </c>
      <c r="B415">
        <v>10</v>
      </c>
      <c r="C415" t="s">
        <v>1166</v>
      </c>
      <c r="D415" s="82">
        <v>31277</v>
      </c>
      <c r="E415" t="s">
        <v>1444</v>
      </c>
      <c r="F415" t="s">
        <v>2511</v>
      </c>
      <c r="G415">
        <v>47.219700000000003</v>
      </c>
      <c r="H415">
        <v>14.764699999999999</v>
      </c>
      <c r="I415" t="s">
        <v>2053</v>
      </c>
      <c r="J415" t="s">
        <v>1072</v>
      </c>
      <c r="K415" t="s">
        <v>1167</v>
      </c>
      <c r="L415" t="s">
        <v>1168</v>
      </c>
      <c r="M415" t="s">
        <v>1076</v>
      </c>
    </row>
    <row r="416" spans="1:13">
      <c r="A416">
        <v>1985</v>
      </c>
      <c r="B416">
        <v>11</v>
      </c>
      <c r="C416" t="s">
        <v>915</v>
      </c>
      <c r="D416" s="82">
        <v>31284</v>
      </c>
      <c r="E416" t="s">
        <v>1445</v>
      </c>
      <c r="F416" t="s">
        <v>2512</v>
      </c>
      <c r="G416">
        <v>52.388800000000003</v>
      </c>
      <c r="H416">
        <v>4.5409199999999998</v>
      </c>
      <c r="I416" t="s">
        <v>2030</v>
      </c>
      <c r="J416" t="s">
        <v>914</v>
      </c>
      <c r="K416" t="s">
        <v>916</v>
      </c>
      <c r="L416" t="s">
        <v>917</v>
      </c>
      <c r="M416" t="s">
        <v>918</v>
      </c>
    </row>
    <row r="417" spans="1:13">
      <c r="A417">
        <v>1985</v>
      </c>
      <c r="B417">
        <v>12</v>
      </c>
      <c r="C417" t="s">
        <v>883</v>
      </c>
      <c r="D417" s="82">
        <v>31298</v>
      </c>
      <c r="E417" t="s">
        <v>1446</v>
      </c>
      <c r="F417" t="s">
        <v>2513</v>
      </c>
      <c r="G417">
        <v>45.615600000000001</v>
      </c>
      <c r="H417">
        <v>9.28111</v>
      </c>
      <c r="I417" t="s">
        <v>2026</v>
      </c>
      <c r="J417" t="s">
        <v>882</v>
      </c>
      <c r="K417" t="s">
        <v>884</v>
      </c>
      <c r="L417" t="s">
        <v>885</v>
      </c>
      <c r="M417" t="s">
        <v>886</v>
      </c>
    </row>
    <row r="418" spans="1:13">
      <c r="A418">
        <v>1985</v>
      </c>
      <c r="B418">
        <v>13</v>
      </c>
      <c r="C418" t="s">
        <v>873</v>
      </c>
      <c r="D418" s="82">
        <v>31305</v>
      </c>
      <c r="E418" t="s">
        <v>1447</v>
      </c>
      <c r="F418" t="s">
        <v>2514</v>
      </c>
      <c r="G418">
        <v>50.437199999999997</v>
      </c>
      <c r="H418">
        <v>5.9713900000000004</v>
      </c>
      <c r="I418" t="s">
        <v>2024</v>
      </c>
      <c r="J418" t="s">
        <v>872</v>
      </c>
      <c r="K418" t="s">
        <v>874</v>
      </c>
      <c r="L418" t="s">
        <v>875</v>
      </c>
      <c r="M418" t="s">
        <v>244</v>
      </c>
    </row>
    <row r="419" spans="1:13">
      <c r="A419">
        <v>1985</v>
      </c>
      <c r="B419">
        <v>14</v>
      </c>
      <c r="C419" t="s">
        <v>1067</v>
      </c>
      <c r="D419" s="82">
        <v>31326</v>
      </c>
      <c r="E419" t="s">
        <v>1448</v>
      </c>
      <c r="F419" t="s">
        <v>2515</v>
      </c>
      <c r="G419">
        <v>51.356900000000003</v>
      </c>
      <c r="H419">
        <v>0.26305600000000001</v>
      </c>
      <c r="I419" t="s">
        <v>2043</v>
      </c>
      <c r="J419" t="s">
        <v>850</v>
      </c>
      <c r="K419" t="s">
        <v>1068</v>
      </c>
      <c r="L419" t="s">
        <v>1069</v>
      </c>
      <c r="M419" t="s">
        <v>854</v>
      </c>
    </row>
    <row r="420" spans="1:13">
      <c r="A420">
        <v>1985</v>
      </c>
      <c r="B420">
        <v>15</v>
      </c>
      <c r="C420" t="s">
        <v>1103</v>
      </c>
      <c r="D420" s="82">
        <v>31339</v>
      </c>
      <c r="E420" t="s">
        <v>1449</v>
      </c>
      <c r="F420" t="s">
        <v>2516</v>
      </c>
      <c r="G420">
        <v>-25.9894</v>
      </c>
      <c r="H420">
        <v>28.076699999999999</v>
      </c>
      <c r="I420" t="s">
        <v>2046</v>
      </c>
      <c r="J420" t="s">
        <v>1042</v>
      </c>
      <c r="K420" t="s">
        <v>1104</v>
      </c>
      <c r="L420" t="s">
        <v>1105</v>
      </c>
      <c r="M420" t="s">
        <v>1046</v>
      </c>
    </row>
    <row r="421" spans="1:13">
      <c r="A421">
        <v>1985</v>
      </c>
      <c r="B421">
        <v>16</v>
      </c>
      <c r="C421" t="s">
        <v>1451</v>
      </c>
      <c r="D421" s="82">
        <v>31354</v>
      </c>
      <c r="E421" t="s">
        <v>1455</v>
      </c>
      <c r="F421" t="s">
        <v>2517</v>
      </c>
      <c r="G421">
        <v>-34.927199999999999</v>
      </c>
      <c r="H421">
        <v>138.61699999999999</v>
      </c>
      <c r="I421" t="s">
        <v>2069</v>
      </c>
      <c r="J421" t="s">
        <v>1450</v>
      </c>
      <c r="K421" t="s">
        <v>1452</v>
      </c>
      <c r="L421" t="s">
        <v>1453</v>
      </c>
      <c r="M421" t="s">
        <v>1454</v>
      </c>
    </row>
    <row r="422" spans="1:13">
      <c r="A422">
        <v>1986</v>
      </c>
      <c r="B422">
        <v>1</v>
      </c>
      <c r="C422" t="s">
        <v>1303</v>
      </c>
      <c r="D422" s="82">
        <v>31494</v>
      </c>
      <c r="E422" t="s">
        <v>1456</v>
      </c>
      <c r="F422" t="s">
        <v>2518</v>
      </c>
      <c r="G422">
        <v>-22.9756</v>
      </c>
      <c r="H422">
        <v>-43.395000000000003</v>
      </c>
      <c r="I422" t="s">
        <v>2062</v>
      </c>
      <c r="J422" t="s">
        <v>1203</v>
      </c>
      <c r="K422" t="s">
        <v>1304</v>
      </c>
      <c r="L422" t="s">
        <v>1305</v>
      </c>
      <c r="M422" t="s">
        <v>1207</v>
      </c>
    </row>
    <row r="423" spans="1:13">
      <c r="A423">
        <v>1986</v>
      </c>
      <c r="B423">
        <v>2</v>
      </c>
      <c r="C423" t="s">
        <v>1457</v>
      </c>
      <c r="D423" s="82">
        <v>31515</v>
      </c>
      <c r="E423" t="s">
        <v>1460</v>
      </c>
      <c r="F423" t="s">
        <v>2519</v>
      </c>
      <c r="G423">
        <v>36.708300000000001</v>
      </c>
      <c r="H423">
        <v>-6.0341699999999996</v>
      </c>
      <c r="I423" t="s">
        <v>2070</v>
      </c>
      <c r="J423" t="s">
        <v>899</v>
      </c>
      <c r="K423" t="s">
        <v>1458</v>
      </c>
      <c r="L423" t="s">
        <v>1459</v>
      </c>
      <c r="M423" t="s">
        <v>903</v>
      </c>
    </row>
    <row r="424" spans="1:13">
      <c r="A424">
        <v>1986</v>
      </c>
      <c r="B424">
        <v>3</v>
      </c>
      <c r="C424" t="s">
        <v>1350</v>
      </c>
      <c r="D424" s="82">
        <v>31529</v>
      </c>
      <c r="E424" t="s">
        <v>1461</v>
      </c>
      <c r="F424" t="s">
        <v>2520</v>
      </c>
      <c r="G424">
        <v>44.343899999999998</v>
      </c>
      <c r="H424">
        <v>11.716699999999999</v>
      </c>
      <c r="I424" t="s">
        <v>2064</v>
      </c>
      <c r="J424" t="s">
        <v>882</v>
      </c>
      <c r="K424" t="s">
        <v>1351</v>
      </c>
      <c r="L424" t="s">
        <v>1352</v>
      </c>
      <c r="M424" t="s">
        <v>886</v>
      </c>
    </row>
    <row r="425" spans="1:13">
      <c r="A425">
        <v>1986</v>
      </c>
      <c r="B425">
        <v>4</v>
      </c>
      <c r="C425" t="s">
        <v>857</v>
      </c>
      <c r="D425" s="82">
        <v>31543</v>
      </c>
      <c r="E425" t="s">
        <v>1462</v>
      </c>
      <c r="F425" t="s">
        <v>2521</v>
      </c>
      <c r="G425">
        <v>43.734699999999997</v>
      </c>
      <c r="H425">
        <v>7.42056</v>
      </c>
      <c r="I425" t="s">
        <v>2021</v>
      </c>
      <c r="J425" t="s">
        <v>856</v>
      </c>
      <c r="K425" t="s">
        <v>858</v>
      </c>
      <c r="L425" t="s">
        <v>859</v>
      </c>
      <c r="M425" t="s">
        <v>860</v>
      </c>
    </row>
    <row r="426" spans="1:13">
      <c r="A426">
        <v>1986</v>
      </c>
      <c r="B426">
        <v>5</v>
      </c>
      <c r="C426" t="s">
        <v>873</v>
      </c>
      <c r="D426" s="82">
        <v>31557</v>
      </c>
      <c r="E426" t="s">
        <v>1463</v>
      </c>
      <c r="F426" t="s">
        <v>2522</v>
      </c>
      <c r="G426">
        <v>50.437199999999997</v>
      </c>
      <c r="H426">
        <v>5.9713900000000004</v>
      </c>
      <c r="I426" t="s">
        <v>2024</v>
      </c>
      <c r="J426" t="s">
        <v>872</v>
      </c>
      <c r="K426" t="s">
        <v>874</v>
      </c>
      <c r="L426" t="s">
        <v>875</v>
      </c>
      <c r="M426" t="s">
        <v>244</v>
      </c>
    </row>
    <row r="427" spans="1:13">
      <c r="A427">
        <v>1986</v>
      </c>
      <c r="B427">
        <v>6</v>
      </c>
      <c r="C427" t="s">
        <v>1320</v>
      </c>
      <c r="D427" s="82">
        <v>31578</v>
      </c>
      <c r="E427" t="s">
        <v>1464</v>
      </c>
      <c r="F427" t="s">
        <v>2523</v>
      </c>
      <c r="G427">
        <v>45.5</v>
      </c>
      <c r="H427">
        <v>-73.522800000000004</v>
      </c>
      <c r="I427" t="s">
        <v>2063</v>
      </c>
      <c r="J427" t="s">
        <v>1115</v>
      </c>
      <c r="K427" t="s">
        <v>1321</v>
      </c>
      <c r="L427" t="s">
        <v>1322</v>
      </c>
      <c r="M427" t="s">
        <v>1119</v>
      </c>
    </row>
    <row r="428" spans="1:13">
      <c r="A428">
        <v>1986</v>
      </c>
      <c r="B428">
        <v>7</v>
      </c>
      <c r="C428" t="s">
        <v>1383</v>
      </c>
      <c r="D428" s="82">
        <v>31585</v>
      </c>
      <c r="E428" t="s">
        <v>1465</v>
      </c>
      <c r="F428" t="s">
        <v>2524</v>
      </c>
      <c r="G428">
        <v>42.329799999999999</v>
      </c>
      <c r="H428">
        <v>-83.040099999999995</v>
      </c>
      <c r="I428" t="s">
        <v>2066</v>
      </c>
      <c r="J428" t="s">
        <v>1382</v>
      </c>
      <c r="K428" t="s">
        <v>1384</v>
      </c>
      <c r="L428" t="s">
        <v>1385</v>
      </c>
      <c r="M428" t="s">
        <v>1010</v>
      </c>
    </row>
    <row r="429" spans="1:13">
      <c r="A429">
        <v>1986</v>
      </c>
      <c r="B429">
        <v>8</v>
      </c>
      <c r="C429" t="s">
        <v>1178</v>
      </c>
      <c r="D429" s="82">
        <v>31599</v>
      </c>
      <c r="E429" t="s">
        <v>1466</v>
      </c>
      <c r="F429" t="s">
        <v>2525</v>
      </c>
      <c r="G429">
        <v>43.250599999999999</v>
      </c>
      <c r="H429">
        <v>5.7916699999999999</v>
      </c>
      <c r="I429" t="s">
        <v>2054</v>
      </c>
      <c r="J429" t="s">
        <v>877</v>
      </c>
      <c r="K429" t="s">
        <v>1179</v>
      </c>
      <c r="L429" t="s">
        <v>1180</v>
      </c>
      <c r="M429" t="s">
        <v>755</v>
      </c>
    </row>
    <row r="430" spans="1:13">
      <c r="A430">
        <v>1986</v>
      </c>
      <c r="B430">
        <v>9</v>
      </c>
      <c r="C430" t="s">
        <v>1067</v>
      </c>
      <c r="D430" s="82">
        <v>31606</v>
      </c>
      <c r="E430" t="s">
        <v>1467</v>
      </c>
      <c r="F430" t="s">
        <v>2526</v>
      </c>
      <c r="G430">
        <v>51.356900000000003</v>
      </c>
      <c r="H430">
        <v>0.26305600000000001</v>
      </c>
      <c r="I430" t="s">
        <v>2043</v>
      </c>
      <c r="J430" t="s">
        <v>850</v>
      </c>
      <c r="K430" t="s">
        <v>1068</v>
      </c>
      <c r="L430" t="s">
        <v>1069</v>
      </c>
      <c r="M430" t="s">
        <v>854</v>
      </c>
    </row>
    <row r="431" spans="1:13">
      <c r="A431">
        <v>1986</v>
      </c>
      <c r="B431">
        <v>10</v>
      </c>
      <c r="C431" t="s">
        <v>1162</v>
      </c>
      <c r="D431" s="82">
        <v>31620</v>
      </c>
      <c r="E431" t="s">
        <v>1468</v>
      </c>
      <c r="F431" t="s">
        <v>2527</v>
      </c>
      <c r="G431">
        <v>49.327800000000003</v>
      </c>
      <c r="H431">
        <v>8.5658300000000001</v>
      </c>
      <c r="I431" t="s">
        <v>2052</v>
      </c>
      <c r="J431" t="s">
        <v>893</v>
      </c>
      <c r="K431" t="s">
        <v>1163</v>
      </c>
      <c r="L431" t="s">
        <v>1164</v>
      </c>
      <c r="M431" t="s">
        <v>761</v>
      </c>
    </row>
    <row r="432" spans="1:13">
      <c r="A432">
        <v>1986</v>
      </c>
      <c r="B432">
        <v>11</v>
      </c>
      <c r="C432" t="s">
        <v>1470</v>
      </c>
      <c r="D432" s="82">
        <v>31634</v>
      </c>
      <c r="E432" t="s">
        <v>1474</v>
      </c>
      <c r="F432" t="s">
        <v>2528</v>
      </c>
      <c r="G432">
        <v>47.578899999999997</v>
      </c>
      <c r="H432">
        <v>19.2486</v>
      </c>
      <c r="I432" t="s">
        <v>2071</v>
      </c>
      <c r="J432" t="s">
        <v>1469</v>
      </c>
      <c r="K432" t="s">
        <v>1471</v>
      </c>
      <c r="L432" t="s">
        <v>1472</v>
      </c>
      <c r="M432" t="s">
        <v>1473</v>
      </c>
    </row>
    <row r="433" spans="1:13">
      <c r="A433">
        <v>1986</v>
      </c>
      <c r="B433">
        <v>12</v>
      </c>
      <c r="C433" t="s">
        <v>1166</v>
      </c>
      <c r="D433" s="82">
        <v>31641</v>
      </c>
      <c r="E433" t="s">
        <v>1475</v>
      </c>
      <c r="F433" t="s">
        <v>2529</v>
      </c>
      <c r="G433">
        <v>47.219700000000003</v>
      </c>
      <c r="H433">
        <v>14.764699999999999</v>
      </c>
      <c r="I433" t="s">
        <v>2053</v>
      </c>
      <c r="J433" t="s">
        <v>1072</v>
      </c>
      <c r="K433" t="s">
        <v>1167</v>
      </c>
      <c r="L433" t="s">
        <v>1168</v>
      </c>
      <c r="M433" t="s">
        <v>1076</v>
      </c>
    </row>
    <row r="434" spans="1:13">
      <c r="A434">
        <v>1986</v>
      </c>
      <c r="B434">
        <v>13</v>
      </c>
      <c r="C434" t="s">
        <v>883</v>
      </c>
      <c r="D434" s="82">
        <v>31662</v>
      </c>
      <c r="E434" t="s">
        <v>1476</v>
      </c>
      <c r="F434" t="s">
        <v>2530</v>
      </c>
      <c r="G434">
        <v>45.615600000000001</v>
      </c>
      <c r="H434">
        <v>9.28111</v>
      </c>
      <c r="I434" t="s">
        <v>2026</v>
      </c>
      <c r="J434" t="s">
        <v>882</v>
      </c>
      <c r="K434" t="s">
        <v>884</v>
      </c>
      <c r="L434" t="s">
        <v>885</v>
      </c>
      <c r="M434" t="s">
        <v>886</v>
      </c>
    </row>
    <row r="435" spans="1:13">
      <c r="A435">
        <v>1986</v>
      </c>
      <c r="B435">
        <v>14</v>
      </c>
      <c r="C435" t="s">
        <v>1431</v>
      </c>
      <c r="D435" s="82">
        <v>31676</v>
      </c>
      <c r="E435" t="s">
        <v>1477</v>
      </c>
      <c r="F435" t="s">
        <v>2531</v>
      </c>
      <c r="G435">
        <v>38.750599999999999</v>
      </c>
      <c r="H435">
        <v>-9.3941700000000008</v>
      </c>
      <c r="I435" t="s">
        <v>2068</v>
      </c>
      <c r="J435" t="s">
        <v>980</v>
      </c>
      <c r="K435" t="s">
        <v>1432</v>
      </c>
      <c r="L435" t="s">
        <v>1433</v>
      </c>
      <c r="M435" t="s">
        <v>984</v>
      </c>
    </row>
    <row r="436" spans="1:13">
      <c r="A436">
        <v>1986</v>
      </c>
      <c r="B436">
        <v>15</v>
      </c>
      <c r="C436" t="s">
        <v>1057</v>
      </c>
      <c r="D436" s="82">
        <v>31697</v>
      </c>
      <c r="E436" t="s">
        <v>1478</v>
      </c>
      <c r="F436" t="s">
        <v>2532</v>
      </c>
      <c r="G436">
        <v>19.432700000000001</v>
      </c>
      <c r="H436">
        <v>-99.133300000000006</v>
      </c>
      <c r="I436" t="s">
        <v>2042</v>
      </c>
      <c r="J436" t="s">
        <v>1056</v>
      </c>
      <c r="K436" t="s">
        <v>1058</v>
      </c>
      <c r="L436" t="s">
        <v>1059</v>
      </c>
      <c r="M436" t="s">
        <v>1060</v>
      </c>
    </row>
    <row r="437" spans="1:13">
      <c r="A437">
        <v>1986</v>
      </c>
      <c r="B437">
        <v>16</v>
      </c>
      <c r="C437" t="s">
        <v>1451</v>
      </c>
      <c r="D437" s="82">
        <v>31711</v>
      </c>
      <c r="E437" t="s">
        <v>1479</v>
      </c>
      <c r="F437" t="s">
        <v>2533</v>
      </c>
      <c r="G437">
        <v>-34.927199999999999</v>
      </c>
      <c r="H437">
        <v>138.61699999999999</v>
      </c>
      <c r="I437" t="s">
        <v>2069</v>
      </c>
      <c r="J437" t="s">
        <v>1450</v>
      </c>
      <c r="K437" t="s">
        <v>1452</v>
      </c>
      <c r="L437" t="s">
        <v>1453</v>
      </c>
      <c r="M437" t="s">
        <v>1454</v>
      </c>
    </row>
    <row r="438" spans="1:13">
      <c r="A438">
        <v>1987</v>
      </c>
      <c r="B438">
        <v>1</v>
      </c>
      <c r="C438" t="s">
        <v>1303</v>
      </c>
      <c r="D438" s="82">
        <v>31879</v>
      </c>
      <c r="E438" t="s">
        <v>1480</v>
      </c>
      <c r="F438" t="s">
        <v>2534</v>
      </c>
      <c r="G438">
        <v>-22.9756</v>
      </c>
      <c r="H438">
        <v>-43.395000000000003</v>
      </c>
      <c r="I438" t="s">
        <v>2062</v>
      </c>
      <c r="J438" t="s">
        <v>1203</v>
      </c>
      <c r="K438" t="s">
        <v>1304</v>
      </c>
      <c r="L438" t="s">
        <v>1305</v>
      </c>
      <c r="M438" t="s">
        <v>1207</v>
      </c>
    </row>
    <row r="439" spans="1:13">
      <c r="A439">
        <v>1987</v>
      </c>
      <c r="B439">
        <v>2</v>
      </c>
      <c r="C439" t="s">
        <v>1350</v>
      </c>
      <c r="D439" s="82">
        <v>31900</v>
      </c>
      <c r="E439" t="s">
        <v>1481</v>
      </c>
      <c r="F439" t="s">
        <v>2535</v>
      </c>
      <c r="G439">
        <v>44.343899999999998</v>
      </c>
      <c r="H439">
        <v>11.716699999999999</v>
      </c>
      <c r="I439" t="s">
        <v>2064</v>
      </c>
      <c r="J439" t="s">
        <v>882</v>
      </c>
      <c r="K439" t="s">
        <v>1351</v>
      </c>
      <c r="L439" t="s">
        <v>1352</v>
      </c>
      <c r="M439" t="s">
        <v>886</v>
      </c>
    </row>
    <row r="440" spans="1:13">
      <c r="A440">
        <v>1987</v>
      </c>
      <c r="B440">
        <v>3</v>
      </c>
      <c r="C440" t="s">
        <v>873</v>
      </c>
      <c r="D440" s="82">
        <v>31914</v>
      </c>
      <c r="E440" t="s">
        <v>1482</v>
      </c>
      <c r="F440" t="s">
        <v>2536</v>
      </c>
      <c r="G440">
        <v>50.437199999999997</v>
      </c>
      <c r="H440">
        <v>5.9713900000000004</v>
      </c>
      <c r="I440" t="s">
        <v>2024</v>
      </c>
      <c r="J440" t="s">
        <v>872</v>
      </c>
      <c r="K440" t="s">
        <v>874</v>
      </c>
      <c r="L440" t="s">
        <v>875</v>
      </c>
      <c r="M440" t="s">
        <v>244</v>
      </c>
    </row>
    <row r="441" spans="1:13">
      <c r="A441">
        <v>1987</v>
      </c>
      <c r="B441">
        <v>4</v>
      </c>
      <c r="C441" t="s">
        <v>857</v>
      </c>
      <c r="D441" s="82">
        <v>31928</v>
      </c>
      <c r="E441" t="s">
        <v>1483</v>
      </c>
      <c r="F441" t="s">
        <v>2537</v>
      </c>
      <c r="G441">
        <v>43.734699999999997</v>
      </c>
      <c r="H441">
        <v>7.42056</v>
      </c>
      <c r="I441" t="s">
        <v>2021</v>
      </c>
      <c r="J441" t="s">
        <v>856</v>
      </c>
      <c r="K441" t="s">
        <v>858</v>
      </c>
      <c r="L441" t="s">
        <v>859</v>
      </c>
      <c r="M441" t="s">
        <v>860</v>
      </c>
    </row>
    <row r="442" spans="1:13">
      <c r="A442">
        <v>1987</v>
      </c>
      <c r="B442">
        <v>5</v>
      </c>
      <c r="C442" t="s">
        <v>1383</v>
      </c>
      <c r="D442" s="82">
        <v>31949</v>
      </c>
      <c r="E442" t="s">
        <v>1484</v>
      </c>
      <c r="F442" t="s">
        <v>2538</v>
      </c>
      <c r="G442">
        <v>42.329799999999999</v>
      </c>
      <c r="H442">
        <v>-83.040099999999995</v>
      </c>
      <c r="I442" t="s">
        <v>2066</v>
      </c>
      <c r="J442" t="s">
        <v>1382</v>
      </c>
      <c r="K442" t="s">
        <v>1384</v>
      </c>
      <c r="L442" t="s">
        <v>1385</v>
      </c>
      <c r="M442" t="s">
        <v>1010</v>
      </c>
    </row>
    <row r="443" spans="1:13">
      <c r="A443">
        <v>1987</v>
      </c>
      <c r="B443">
        <v>6</v>
      </c>
      <c r="C443" t="s">
        <v>1178</v>
      </c>
      <c r="D443" s="82">
        <v>31963</v>
      </c>
      <c r="E443" t="s">
        <v>1485</v>
      </c>
      <c r="F443" t="s">
        <v>2539</v>
      </c>
      <c r="G443">
        <v>43.250599999999999</v>
      </c>
      <c r="H443">
        <v>5.7916699999999999</v>
      </c>
      <c r="I443" t="s">
        <v>2054</v>
      </c>
      <c r="J443" t="s">
        <v>877</v>
      </c>
      <c r="K443" t="s">
        <v>1179</v>
      </c>
      <c r="L443" t="s">
        <v>1180</v>
      </c>
      <c r="M443" t="s">
        <v>755</v>
      </c>
    </row>
    <row r="444" spans="1:13">
      <c r="A444">
        <v>1987</v>
      </c>
      <c r="B444">
        <v>7</v>
      </c>
      <c r="C444" t="s">
        <v>851</v>
      </c>
      <c r="D444" s="82">
        <v>31970</v>
      </c>
      <c r="E444" t="s">
        <v>1486</v>
      </c>
      <c r="F444" t="s">
        <v>2540</v>
      </c>
      <c r="G444">
        <v>52.078600000000002</v>
      </c>
      <c r="H444">
        <v>-1.01694</v>
      </c>
      <c r="I444" t="s">
        <v>2020</v>
      </c>
      <c r="J444" t="s">
        <v>850</v>
      </c>
      <c r="K444" t="s">
        <v>852</v>
      </c>
      <c r="L444" t="s">
        <v>853</v>
      </c>
      <c r="M444" t="s">
        <v>854</v>
      </c>
    </row>
    <row r="445" spans="1:13">
      <c r="A445">
        <v>1987</v>
      </c>
      <c r="B445">
        <v>8</v>
      </c>
      <c r="C445" t="s">
        <v>1162</v>
      </c>
      <c r="D445" s="82">
        <v>31984</v>
      </c>
      <c r="E445" t="s">
        <v>1487</v>
      </c>
      <c r="F445" t="s">
        <v>2541</v>
      </c>
      <c r="G445">
        <v>49.327800000000003</v>
      </c>
      <c r="H445">
        <v>8.5658300000000001</v>
      </c>
      <c r="I445" t="s">
        <v>2052</v>
      </c>
      <c r="J445" t="s">
        <v>893</v>
      </c>
      <c r="K445" t="s">
        <v>1163</v>
      </c>
      <c r="L445" t="s">
        <v>1164</v>
      </c>
      <c r="M445" t="s">
        <v>761</v>
      </c>
    </row>
    <row r="446" spans="1:13">
      <c r="A446">
        <v>1987</v>
      </c>
      <c r="B446">
        <v>9</v>
      </c>
      <c r="C446" t="s">
        <v>1470</v>
      </c>
      <c r="D446" s="82">
        <v>31998</v>
      </c>
      <c r="E446" t="s">
        <v>1488</v>
      </c>
      <c r="F446" t="s">
        <v>2542</v>
      </c>
      <c r="G446">
        <v>47.578899999999997</v>
      </c>
      <c r="H446">
        <v>19.2486</v>
      </c>
      <c r="I446" t="s">
        <v>2071</v>
      </c>
      <c r="J446" t="s">
        <v>1469</v>
      </c>
      <c r="K446" t="s">
        <v>1471</v>
      </c>
      <c r="L446" t="s">
        <v>1472</v>
      </c>
      <c r="M446" t="s">
        <v>1473</v>
      </c>
    </row>
    <row r="447" spans="1:13">
      <c r="A447">
        <v>1987</v>
      </c>
      <c r="B447">
        <v>10</v>
      </c>
      <c r="C447" t="s">
        <v>1166</v>
      </c>
      <c r="D447" s="82">
        <v>31946</v>
      </c>
      <c r="E447" t="s">
        <v>1489</v>
      </c>
      <c r="F447" t="s">
        <v>2543</v>
      </c>
      <c r="G447">
        <v>47.219700000000003</v>
      </c>
      <c r="H447">
        <v>14.764699999999999</v>
      </c>
      <c r="I447" t="s">
        <v>2053</v>
      </c>
      <c r="J447" t="s">
        <v>1072</v>
      </c>
      <c r="K447" t="s">
        <v>1167</v>
      </c>
      <c r="L447" t="s">
        <v>1168</v>
      </c>
      <c r="M447" t="s">
        <v>1076</v>
      </c>
    </row>
    <row r="448" spans="1:13">
      <c r="A448">
        <v>1987</v>
      </c>
      <c r="B448">
        <v>11</v>
      </c>
      <c r="C448" t="s">
        <v>883</v>
      </c>
      <c r="D448" s="82">
        <v>32026</v>
      </c>
      <c r="E448" t="s">
        <v>1490</v>
      </c>
      <c r="F448" t="s">
        <v>2544</v>
      </c>
      <c r="G448">
        <v>45.615600000000001</v>
      </c>
      <c r="H448">
        <v>9.28111</v>
      </c>
      <c r="I448" t="s">
        <v>2026</v>
      </c>
      <c r="J448" t="s">
        <v>882</v>
      </c>
      <c r="K448" t="s">
        <v>884</v>
      </c>
      <c r="L448" t="s">
        <v>885</v>
      </c>
      <c r="M448" t="s">
        <v>886</v>
      </c>
    </row>
    <row r="449" spans="1:13">
      <c r="A449">
        <v>1987</v>
      </c>
      <c r="B449">
        <v>12</v>
      </c>
      <c r="C449" t="s">
        <v>1431</v>
      </c>
      <c r="D449" s="82">
        <v>32040</v>
      </c>
      <c r="E449" t="s">
        <v>1491</v>
      </c>
      <c r="F449" t="s">
        <v>2545</v>
      </c>
      <c r="G449">
        <v>38.750599999999999</v>
      </c>
      <c r="H449">
        <v>-9.3941700000000008</v>
      </c>
      <c r="I449" t="s">
        <v>2068</v>
      </c>
      <c r="J449" t="s">
        <v>980</v>
      </c>
      <c r="K449" t="s">
        <v>1432</v>
      </c>
      <c r="L449" t="s">
        <v>1433</v>
      </c>
      <c r="M449" t="s">
        <v>984</v>
      </c>
    </row>
    <row r="450" spans="1:13">
      <c r="A450">
        <v>1987</v>
      </c>
      <c r="B450">
        <v>13</v>
      </c>
      <c r="C450" t="s">
        <v>1457</v>
      </c>
      <c r="D450" s="82">
        <v>32047</v>
      </c>
      <c r="E450" t="s">
        <v>1492</v>
      </c>
      <c r="F450" t="s">
        <v>2546</v>
      </c>
      <c r="G450">
        <v>36.708300000000001</v>
      </c>
      <c r="H450">
        <v>-6.0341699999999996</v>
      </c>
      <c r="I450" t="s">
        <v>2070</v>
      </c>
      <c r="J450" t="s">
        <v>899</v>
      </c>
      <c r="K450" t="s">
        <v>1458</v>
      </c>
      <c r="L450" t="s">
        <v>1459</v>
      </c>
      <c r="M450" t="s">
        <v>903</v>
      </c>
    </row>
    <row r="451" spans="1:13">
      <c r="A451">
        <v>1987</v>
      </c>
      <c r="B451">
        <v>14</v>
      </c>
      <c r="C451" t="s">
        <v>1057</v>
      </c>
      <c r="D451" s="82">
        <v>32068</v>
      </c>
      <c r="E451" t="s">
        <v>1493</v>
      </c>
      <c r="F451" t="s">
        <v>2547</v>
      </c>
      <c r="G451">
        <v>19.432700000000001</v>
      </c>
      <c r="H451">
        <v>-99.133300000000006</v>
      </c>
      <c r="I451" t="s">
        <v>2042</v>
      </c>
      <c r="J451" t="s">
        <v>1056</v>
      </c>
      <c r="K451" t="s">
        <v>1058</v>
      </c>
      <c r="L451" t="s">
        <v>1059</v>
      </c>
      <c r="M451" t="s">
        <v>1060</v>
      </c>
    </row>
    <row r="452" spans="1:13">
      <c r="A452">
        <v>1987</v>
      </c>
      <c r="B452">
        <v>15</v>
      </c>
      <c r="C452" t="s">
        <v>1494</v>
      </c>
      <c r="D452" s="82">
        <v>32082</v>
      </c>
      <c r="E452" t="s">
        <v>1497</v>
      </c>
      <c r="F452" t="s">
        <v>2548</v>
      </c>
      <c r="G452">
        <v>34.8431</v>
      </c>
      <c r="H452">
        <v>136.541</v>
      </c>
      <c r="I452" t="s">
        <v>2072</v>
      </c>
      <c r="J452" t="s">
        <v>1280</v>
      </c>
      <c r="K452" t="s">
        <v>1495</v>
      </c>
      <c r="L452" t="s">
        <v>1496</v>
      </c>
      <c r="M452" t="s">
        <v>375</v>
      </c>
    </row>
    <row r="453" spans="1:13">
      <c r="A453">
        <v>1987</v>
      </c>
      <c r="B453">
        <v>16</v>
      </c>
      <c r="C453" t="s">
        <v>1451</v>
      </c>
      <c r="D453" s="82">
        <v>32096</v>
      </c>
      <c r="E453" t="s">
        <v>1498</v>
      </c>
      <c r="F453" t="s">
        <v>2549</v>
      </c>
      <c r="G453">
        <v>-34.927199999999999</v>
      </c>
      <c r="H453">
        <v>138.61699999999999</v>
      </c>
      <c r="I453" t="s">
        <v>2069</v>
      </c>
      <c r="J453" t="s">
        <v>1450</v>
      </c>
      <c r="K453" t="s">
        <v>1452</v>
      </c>
      <c r="L453" t="s">
        <v>1453</v>
      </c>
      <c r="M453" t="s">
        <v>1454</v>
      </c>
    </row>
    <row r="454" spans="1:13">
      <c r="A454">
        <v>1988</v>
      </c>
      <c r="B454">
        <v>1</v>
      </c>
      <c r="C454" t="s">
        <v>1303</v>
      </c>
      <c r="D454" s="82">
        <v>32236</v>
      </c>
      <c r="E454" t="s">
        <v>1499</v>
      </c>
      <c r="F454" t="s">
        <v>2550</v>
      </c>
      <c r="G454">
        <v>-22.9756</v>
      </c>
      <c r="H454">
        <v>-43.395000000000003</v>
      </c>
      <c r="I454" t="s">
        <v>2062</v>
      </c>
      <c r="J454" t="s">
        <v>1203</v>
      </c>
      <c r="K454" t="s">
        <v>1304</v>
      </c>
      <c r="L454" t="s">
        <v>1305</v>
      </c>
      <c r="M454" t="s">
        <v>1207</v>
      </c>
    </row>
    <row r="455" spans="1:13">
      <c r="A455">
        <v>1988</v>
      </c>
      <c r="B455">
        <v>2</v>
      </c>
      <c r="C455" t="s">
        <v>1350</v>
      </c>
      <c r="D455" s="82">
        <v>32264</v>
      </c>
      <c r="E455" t="s">
        <v>1500</v>
      </c>
      <c r="F455" t="s">
        <v>2551</v>
      </c>
      <c r="G455">
        <v>44.343899999999998</v>
      </c>
      <c r="H455">
        <v>11.716699999999999</v>
      </c>
      <c r="I455" t="s">
        <v>2064</v>
      </c>
      <c r="J455" t="s">
        <v>882</v>
      </c>
      <c r="K455" t="s">
        <v>1351</v>
      </c>
      <c r="L455" t="s">
        <v>1352</v>
      </c>
      <c r="M455" t="s">
        <v>886</v>
      </c>
    </row>
    <row r="456" spans="1:13">
      <c r="A456">
        <v>1988</v>
      </c>
      <c r="B456">
        <v>3</v>
      </c>
      <c r="C456" t="s">
        <v>857</v>
      </c>
      <c r="D456" s="82">
        <v>32278</v>
      </c>
      <c r="E456" t="s">
        <v>1501</v>
      </c>
      <c r="F456" t="s">
        <v>2552</v>
      </c>
      <c r="G456">
        <v>43.734699999999997</v>
      </c>
      <c r="H456">
        <v>7.42056</v>
      </c>
      <c r="I456" t="s">
        <v>2021</v>
      </c>
      <c r="J456" t="s">
        <v>856</v>
      </c>
      <c r="K456" t="s">
        <v>858</v>
      </c>
      <c r="L456" t="s">
        <v>859</v>
      </c>
      <c r="M456" t="s">
        <v>860</v>
      </c>
    </row>
    <row r="457" spans="1:13">
      <c r="A457">
        <v>1988</v>
      </c>
      <c r="B457">
        <v>4</v>
      </c>
      <c r="C457" t="s">
        <v>1057</v>
      </c>
      <c r="D457" s="82">
        <v>32292</v>
      </c>
      <c r="E457" t="s">
        <v>1502</v>
      </c>
      <c r="F457" t="s">
        <v>2553</v>
      </c>
      <c r="G457">
        <v>19.432700000000001</v>
      </c>
      <c r="H457">
        <v>-99.133300000000006</v>
      </c>
      <c r="I457" t="s">
        <v>2042</v>
      </c>
      <c r="J457" t="s">
        <v>1056</v>
      </c>
      <c r="K457" t="s">
        <v>1058</v>
      </c>
      <c r="L457" t="s">
        <v>1059</v>
      </c>
      <c r="M457" t="s">
        <v>1060</v>
      </c>
    </row>
    <row r="458" spans="1:13">
      <c r="A458">
        <v>1988</v>
      </c>
      <c r="B458">
        <v>5</v>
      </c>
      <c r="C458" t="s">
        <v>1320</v>
      </c>
      <c r="D458" s="82">
        <v>32306</v>
      </c>
      <c r="E458" t="s">
        <v>1503</v>
      </c>
      <c r="F458" t="s">
        <v>2554</v>
      </c>
      <c r="G458">
        <v>45.5</v>
      </c>
      <c r="H458">
        <v>-73.522800000000004</v>
      </c>
      <c r="I458" t="s">
        <v>2063</v>
      </c>
      <c r="J458" t="s">
        <v>1115</v>
      </c>
      <c r="K458" t="s">
        <v>1321</v>
      </c>
      <c r="L458" t="s">
        <v>1322</v>
      </c>
      <c r="M458" t="s">
        <v>1119</v>
      </c>
    </row>
    <row r="459" spans="1:13">
      <c r="A459">
        <v>1988</v>
      </c>
      <c r="B459">
        <v>6</v>
      </c>
      <c r="C459" t="s">
        <v>1383</v>
      </c>
      <c r="D459" s="82">
        <v>32313</v>
      </c>
      <c r="E459" t="s">
        <v>1504</v>
      </c>
      <c r="F459" t="s">
        <v>2555</v>
      </c>
      <c r="G459">
        <v>42.329799999999999</v>
      </c>
      <c r="H459">
        <v>-83.040099999999995</v>
      </c>
      <c r="I459" t="s">
        <v>2066</v>
      </c>
      <c r="J459" t="s">
        <v>1382</v>
      </c>
      <c r="K459" t="s">
        <v>1384</v>
      </c>
      <c r="L459" t="s">
        <v>1385</v>
      </c>
      <c r="M459" t="s">
        <v>1010</v>
      </c>
    </row>
    <row r="460" spans="1:13">
      <c r="A460">
        <v>1988</v>
      </c>
      <c r="B460">
        <v>7</v>
      </c>
      <c r="C460" t="s">
        <v>1178</v>
      </c>
      <c r="D460" s="82">
        <v>32327</v>
      </c>
      <c r="E460" t="s">
        <v>1505</v>
      </c>
      <c r="F460" t="s">
        <v>2556</v>
      </c>
      <c r="G460">
        <v>43.250599999999999</v>
      </c>
      <c r="H460">
        <v>5.7916699999999999</v>
      </c>
      <c r="I460" t="s">
        <v>2054</v>
      </c>
      <c r="J460" t="s">
        <v>877</v>
      </c>
      <c r="K460" t="s">
        <v>1179</v>
      </c>
      <c r="L460" t="s">
        <v>1180</v>
      </c>
      <c r="M460" t="s">
        <v>755</v>
      </c>
    </row>
    <row r="461" spans="1:13">
      <c r="A461">
        <v>1988</v>
      </c>
      <c r="B461">
        <v>8</v>
      </c>
      <c r="C461" t="s">
        <v>851</v>
      </c>
      <c r="D461" s="82">
        <v>32334</v>
      </c>
      <c r="E461" t="s">
        <v>1506</v>
      </c>
      <c r="F461" t="s">
        <v>2557</v>
      </c>
      <c r="G461">
        <v>52.078600000000002</v>
      </c>
      <c r="H461">
        <v>-1.01694</v>
      </c>
      <c r="I461" t="s">
        <v>2020</v>
      </c>
      <c r="J461" t="s">
        <v>850</v>
      </c>
      <c r="K461" t="s">
        <v>852</v>
      </c>
      <c r="L461" t="s">
        <v>853</v>
      </c>
      <c r="M461" t="s">
        <v>854</v>
      </c>
    </row>
    <row r="462" spans="1:13">
      <c r="A462">
        <v>1988</v>
      </c>
      <c r="B462">
        <v>9</v>
      </c>
      <c r="C462" t="s">
        <v>1162</v>
      </c>
      <c r="D462" s="82">
        <v>32348</v>
      </c>
      <c r="E462" t="s">
        <v>1507</v>
      </c>
      <c r="F462" t="s">
        <v>2558</v>
      </c>
      <c r="G462">
        <v>49.327800000000003</v>
      </c>
      <c r="H462">
        <v>8.5658300000000001</v>
      </c>
      <c r="I462" t="s">
        <v>2052</v>
      </c>
      <c r="J462" t="s">
        <v>893</v>
      </c>
      <c r="K462" t="s">
        <v>1163</v>
      </c>
      <c r="L462" t="s">
        <v>1164</v>
      </c>
      <c r="M462" t="s">
        <v>761</v>
      </c>
    </row>
    <row r="463" spans="1:13">
      <c r="A463">
        <v>1988</v>
      </c>
      <c r="B463">
        <v>10</v>
      </c>
      <c r="C463" t="s">
        <v>1470</v>
      </c>
      <c r="D463" s="82">
        <v>32362</v>
      </c>
      <c r="E463" t="s">
        <v>1508</v>
      </c>
      <c r="F463" t="s">
        <v>2559</v>
      </c>
      <c r="G463">
        <v>47.578899999999997</v>
      </c>
      <c r="H463">
        <v>19.2486</v>
      </c>
      <c r="I463" t="s">
        <v>2071</v>
      </c>
      <c r="J463" t="s">
        <v>1469</v>
      </c>
      <c r="K463" t="s">
        <v>1471</v>
      </c>
      <c r="L463" t="s">
        <v>1472</v>
      </c>
      <c r="M463" t="s">
        <v>1473</v>
      </c>
    </row>
    <row r="464" spans="1:13">
      <c r="A464">
        <v>1988</v>
      </c>
      <c r="B464">
        <v>11</v>
      </c>
      <c r="C464" t="s">
        <v>873</v>
      </c>
      <c r="D464" s="82">
        <v>32383</v>
      </c>
      <c r="E464" t="s">
        <v>1509</v>
      </c>
      <c r="F464" t="s">
        <v>2560</v>
      </c>
      <c r="G464">
        <v>50.437199999999997</v>
      </c>
      <c r="H464">
        <v>5.9713900000000004</v>
      </c>
      <c r="I464" t="s">
        <v>2024</v>
      </c>
      <c r="J464" t="s">
        <v>872</v>
      </c>
      <c r="K464" t="s">
        <v>874</v>
      </c>
      <c r="L464" t="s">
        <v>875</v>
      </c>
      <c r="M464" t="s">
        <v>244</v>
      </c>
    </row>
    <row r="465" spans="1:13">
      <c r="A465">
        <v>1988</v>
      </c>
      <c r="B465">
        <v>12</v>
      </c>
      <c r="C465" t="s">
        <v>883</v>
      </c>
      <c r="D465" s="82">
        <v>32397</v>
      </c>
      <c r="E465" t="s">
        <v>1510</v>
      </c>
      <c r="F465" t="s">
        <v>2561</v>
      </c>
      <c r="G465">
        <v>45.615600000000001</v>
      </c>
      <c r="H465">
        <v>9.28111</v>
      </c>
      <c r="I465" t="s">
        <v>2026</v>
      </c>
      <c r="J465" t="s">
        <v>882</v>
      </c>
      <c r="K465" t="s">
        <v>884</v>
      </c>
      <c r="L465" t="s">
        <v>885</v>
      </c>
      <c r="M465" t="s">
        <v>886</v>
      </c>
    </row>
    <row r="466" spans="1:13">
      <c r="A466">
        <v>1988</v>
      </c>
      <c r="B466">
        <v>13</v>
      </c>
      <c r="C466" t="s">
        <v>1431</v>
      </c>
      <c r="D466" s="82">
        <v>32411</v>
      </c>
      <c r="E466" t="s">
        <v>1511</v>
      </c>
      <c r="F466" t="s">
        <v>2562</v>
      </c>
      <c r="G466">
        <v>38.750599999999999</v>
      </c>
      <c r="H466">
        <v>-9.3941700000000008</v>
      </c>
      <c r="I466" t="s">
        <v>2068</v>
      </c>
      <c r="J466" t="s">
        <v>980</v>
      </c>
      <c r="K466" t="s">
        <v>1432</v>
      </c>
      <c r="L466" t="s">
        <v>1433</v>
      </c>
      <c r="M466" t="s">
        <v>984</v>
      </c>
    </row>
    <row r="467" spans="1:13">
      <c r="A467">
        <v>1988</v>
      </c>
      <c r="B467">
        <v>14</v>
      </c>
      <c r="C467" t="s">
        <v>1457</v>
      </c>
      <c r="D467" s="82">
        <v>32418</v>
      </c>
      <c r="E467" t="s">
        <v>1512</v>
      </c>
      <c r="F467" t="s">
        <v>2563</v>
      </c>
      <c r="G467">
        <v>36.708300000000001</v>
      </c>
      <c r="H467">
        <v>-6.0341699999999996</v>
      </c>
      <c r="I467" t="s">
        <v>2070</v>
      </c>
      <c r="J467" t="s">
        <v>899</v>
      </c>
      <c r="K467" t="s">
        <v>1458</v>
      </c>
      <c r="L467" t="s">
        <v>1459</v>
      </c>
      <c r="M467" t="s">
        <v>903</v>
      </c>
    </row>
    <row r="468" spans="1:13">
      <c r="A468">
        <v>1988</v>
      </c>
      <c r="B468">
        <v>15</v>
      </c>
      <c r="C468" t="s">
        <v>1494</v>
      </c>
      <c r="D468" s="82">
        <v>32446</v>
      </c>
      <c r="E468" t="s">
        <v>1513</v>
      </c>
      <c r="F468" t="s">
        <v>2564</v>
      </c>
      <c r="G468">
        <v>34.8431</v>
      </c>
      <c r="H468">
        <v>136.541</v>
      </c>
      <c r="I468" t="s">
        <v>2072</v>
      </c>
      <c r="J468" t="s">
        <v>1280</v>
      </c>
      <c r="K468" t="s">
        <v>1495</v>
      </c>
      <c r="L468" t="s">
        <v>1496</v>
      </c>
      <c r="M468" t="s">
        <v>375</v>
      </c>
    </row>
    <row r="469" spans="1:13">
      <c r="A469">
        <v>1988</v>
      </c>
      <c r="B469">
        <v>16</v>
      </c>
      <c r="C469" t="s">
        <v>1451</v>
      </c>
      <c r="D469" s="82">
        <v>32460</v>
      </c>
      <c r="E469" t="s">
        <v>1514</v>
      </c>
      <c r="F469" t="s">
        <v>2565</v>
      </c>
      <c r="G469">
        <v>-34.927199999999999</v>
      </c>
      <c r="H469">
        <v>138.61699999999999</v>
      </c>
      <c r="I469" t="s">
        <v>2069</v>
      </c>
      <c r="J469" t="s">
        <v>1450</v>
      </c>
      <c r="K469" t="s">
        <v>1452</v>
      </c>
      <c r="L469" t="s">
        <v>1453</v>
      </c>
      <c r="M469" t="s">
        <v>1454</v>
      </c>
    </row>
    <row r="470" spans="1:13">
      <c r="A470">
        <v>1989</v>
      </c>
      <c r="B470">
        <v>1</v>
      </c>
      <c r="C470" t="s">
        <v>1303</v>
      </c>
      <c r="D470" s="82">
        <v>32593</v>
      </c>
      <c r="E470" t="s">
        <v>1515</v>
      </c>
      <c r="F470" t="s">
        <v>2566</v>
      </c>
      <c r="G470">
        <v>-22.9756</v>
      </c>
      <c r="H470">
        <v>-43.395000000000003</v>
      </c>
      <c r="I470" t="s">
        <v>2062</v>
      </c>
      <c r="J470" t="s">
        <v>1203</v>
      </c>
      <c r="K470" t="s">
        <v>1304</v>
      </c>
      <c r="L470" t="s">
        <v>1305</v>
      </c>
      <c r="M470" t="s">
        <v>1207</v>
      </c>
    </row>
    <row r="471" spans="1:13">
      <c r="A471">
        <v>1989</v>
      </c>
      <c r="B471">
        <v>2</v>
      </c>
      <c r="C471" t="s">
        <v>1350</v>
      </c>
      <c r="D471" s="82">
        <v>32621</v>
      </c>
      <c r="E471" t="s">
        <v>1516</v>
      </c>
      <c r="F471" t="s">
        <v>2567</v>
      </c>
      <c r="G471">
        <v>44.343899999999998</v>
      </c>
      <c r="H471">
        <v>11.716699999999999</v>
      </c>
      <c r="I471" t="s">
        <v>2064</v>
      </c>
      <c r="J471" t="s">
        <v>882</v>
      </c>
      <c r="K471" t="s">
        <v>1351</v>
      </c>
      <c r="L471" t="s">
        <v>1352</v>
      </c>
      <c r="M471" t="s">
        <v>886</v>
      </c>
    </row>
    <row r="472" spans="1:13">
      <c r="A472">
        <v>1989</v>
      </c>
      <c r="B472">
        <v>3</v>
      </c>
      <c r="C472" t="s">
        <v>857</v>
      </c>
      <c r="D472" s="82">
        <v>32635</v>
      </c>
      <c r="E472" t="s">
        <v>1517</v>
      </c>
      <c r="F472" t="s">
        <v>2568</v>
      </c>
      <c r="G472">
        <v>43.734699999999997</v>
      </c>
      <c r="H472">
        <v>7.42056</v>
      </c>
      <c r="I472" t="s">
        <v>2021</v>
      </c>
      <c r="J472" t="s">
        <v>856</v>
      </c>
      <c r="K472" t="s">
        <v>858</v>
      </c>
      <c r="L472" t="s">
        <v>859</v>
      </c>
      <c r="M472" t="s">
        <v>860</v>
      </c>
    </row>
    <row r="473" spans="1:13">
      <c r="A473">
        <v>1989</v>
      </c>
      <c r="B473">
        <v>4</v>
      </c>
      <c r="C473" t="s">
        <v>1057</v>
      </c>
      <c r="D473" s="82">
        <v>32656</v>
      </c>
      <c r="E473" t="s">
        <v>1518</v>
      </c>
      <c r="F473" t="s">
        <v>2569</v>
      </c>
      <c r="G473">
        <v>19.432700000000001</v>
      </c>
      <c r="H473">
        <v>-99.133300000000006</v>
      </c>
      <c r="I473" t="s">
        <v>2042</v>
      </c>
      <c r="J473" t="s">
        <v>1056</v>
      </c>
      <c r="K473" t="s">
        <v>1058</v>
      </c>
      <c r="L473" t="s">
        <v>1059</v>
      </c>
      <c r="M473" t="s">
        <v>1060</v>
      </c>
    </row>
    <row r="474" spans="1:13">
      <c r="A474">
        <v>1989</v>
      </c>
      <c r="B474">
        <v>5</v>
      </c>
      <c r="C474" t="s">
        <v>1519</v>
      </c>
      <c r="D474" s="82">
        <v>32663</v>
      </c>
      <c r="E474" t="s">
        <v>1522</v>
      </c>
      <c r="F474" t="s">
        <v>2570</v>
      </c>
      <c r="G474">
        <v>33.447899999999997</v>
      </c>
      <c r="H474">
        <v>-112.075</v>
      </c>
      <c r="I474" t="s">
        <v>2073</v>
      </c>
      <c r="J474" t="s">
        <v>1006</v>
      </c>
      <c r="K474" t="s">
        <v>1520</v>
      </c>
      <c r="L474" t="s">
        <v>1521</v>
      </c>
      <c r="M474" t="s">
        <v>1010</v>
      </c>
    </row>
    <row r="475" spans="1:13">
      <c r="A475">
        <v>1989</v>
      </c>
      <c r="B475">
        <v>6</v>
      </c>
      <c r="C475" t="s">
        <v>1320</v>
      </c>
      <c r="D475" s="82">
        <v>32677</v>
      </c>
      <c r="E475" t="s">
        <v>1523</v>
      </c>
      <c r="F475" t="s">
        <v>2571</v>
      </c>
      <c r="G475">
        <v>45.5</v>
      </c>
      <c r="H475">
        <v>-73.522800000000004</v>
      </c>
      <c r="I475" t="s">
        <v>2063</v>
      </c>
      <c r="J475" t="s">
        <v>1115</v>
      </c>
      <c r="K475" t="s">
        <v>1321</v>
      </c>
      <c r="L475" t="s">
        <v>1322</v>
      </c>
      <c r="M475" t="s">
        <v>1119</v>
      </c>
    </row>
    <row r="476" spans="1:13">
      <c r="A476">
        <v>1989</v>
      </c>
      <c r="B476">
        <v>7</v>
      </c>
      <c r="C476" t="s">
        <v>1178</v>
      </c>
      <c r="D476" s="82">
        <v>32698</v>
      </c>
      <c r="E476" t="s">
        <v>1524</v>
      </c>
      <c r="F476" t="s">
        <v>2572</v>
      </c>
      <c r="G476">
        <v>43.250599999999999</v>
      </c>
      <c r="H476">
        <v>5.7916699999999999</v>
      </c>
      <c r="I476" t="s">
        <v>2054</v>
      </c>
      <c r="J476" t="s">
        <v>877</v>
      </c>
      <c r="K476" t="s">
        <v>1179</v>
      </c>
      <c r="L476" t="s">
        <v>1180</v>
      </c>
      <c r="M476" t="s">
        <v>755</v>
      </c>
    </row>
    <row r="477" spans="1:13">
      <c r="A477">
        <v>1989</v>
      </c>
      <c r="B477">
        <v>8</v>
      </c>
      <c r="C477" t="s">
        <v>851</v>
      </c>
      <c r="D477" s="82">
        <v>32705</v>
      </c>
      <c r="E477" t="s">
        <v>1525</v>
      </c>
      <c r="F477" t="s">
        <v>2573</v>
      </c>
      <c r="G477">
        <v>52.078600000000002</v>
      </c>
      <c r="H477">
        <v>-1.01694</v>
      </c>
      <c r="I477" t="s">
        <v>2020</v>
      </c>
      <c r="J477" t="s">
        <v>850</v>
      </c>
      <c r="K477" t="s">
        <v>852</v>
      </c>
      <c r="L477" t="s">
        <v>853</v>
      </c>
      <c r="M477" t="s">
        <v>854</v>
      </c>
    </row>
    <row r="478" spans="1:13">
      <c r="A478">
        <v>1989</v>
      </c>
      <c r="B478">
        <v>9</v>
      </c>
      <c r="C478" t="s">
        <v>1162</v>
      </c>
      <c r="D478" s="82">
        <v>32719</v>
      </c>
      <c r="E478" t="s">
        <v>1526</v>
      </c>
      <c r="F478" t="s">
        <v>2574</v>
      </c>
      <c r="G478">
        <v>49.327800000000003</v>
      </c>
      <c r="H478">
        <v>8.5658300000000001</v>
      </c>
      <c r="I478" t="s">
        <v>2052</v>
      </c>
      <c r="J478" t="s">
        <v>893</v>
      </c>
      <c r="K478" t="s">
        <v>1163</v>
      </c>
      <c r="L478" t="s">
        <v>1164</v>
      </c>
      <c r="M478" t="s">
        <v>761</v>
      </c>
    </row>
    <row r="479" spans="1:13">
      <c r="A479">
        <v>1989</v>
      </c>
      <c r="B479">
        <v>10</v>
      </c>
      <c r="C479" t="s">
        <v>1470</v>
      </c>
      <c r="D479" s="82">
        <v>32733</v>
      </c>
      <c r="E479" t="s">
        <v>1527</v>
      </c>
      <c r="F479" t="s">
        <v>2575</v>
      </c>
      <c r="G479">
        <v>47.578899999999997</v>
      </c>
      <c r="H479">
        <v>19.2486</v>
      </c>
      <c r="I479" t="s">
        <v>2071</v>
      </c>
      <c r="J479" t="s">
        <v>1469</v>
      </c>
      <c r="K479" t="s">
        <v>1471</v>
      </c>
      <c r="L479" t="s">
        <v>1472</v>
      </c>
      <c r="M479" t="s">
        <v>1473</v>
      </c>
    </row>
    <row r="480" spans="1:13">
      <c r="A480">
        <v>1989</v>
      </c>
      <c r="B480">
        <v>11</v>
      </c>
      <c r="C480" t="s">
        <v>873</v>
      </c>
      <c r="D480" s="82">
        <v>32747</v>
      </c>
      <c r="E480" t="s">
        <v>1528</v>
      </c>
      <c r="F480" t="s">
        <v>2576</v>
      </c>
      <c r="G480">
        <v>50.437199999999997</v>
      </c>
      <c r="H480">
        <v>5.9713900000000004</v>
      </c>
      <c r="I480" t="s">
        <v>2024</v>
      </c>
      <c r="J480" t="s">
        <v>872</v>
      </c>
      <c r="K480" t="s">
        <v>874</v>
      </c>
      <c r="L480" t="s">
        <v>875</v>
      </c>
      <c r="M480" t="s">
        <v>244</v>
      </c>
    </row>
    <row r="481" spans="1:13">
      <c r="A481">
        <v>1989</v>
      </c>
      <c r="B481">
        <v>12</v>
      </c>
      <c r="C481" t="s">
        <v>883</v>
      </c>
      <c r="D481" s="82">
        <v>32761</v>
      </c>
      <c r="E481" t="s">
        <v>1529</v>
      </c>
      <c r="F481" t="s">
        <v>2577</v>
      </c>
      <c r="G481">
        <v>45.615600000000001</v>
      </c>
      <c r="H481">
        <v>9.28111</v>
      </c>
      <c r="I481" t="s">
        <v>2026</v>
      </c>
      <c r="J481" t="s">
        <v>882</v>
      </c>
      <c r="K481" t="s">
        <v>884</v>
      </c>
      <c r="L481" t="s">
        <v>885</v>
      </c>
      <c r="M481" t="s">
        <v>886</v>
      </c>
    </row>
    <row r="482" spans="1:13">
      <c r="A482">
        <v>1989</v>
      </c>
      <c r="B482">
        <v>13</v>
      </c>
      <c r="C482" t="s">
        <v>1431</v>
      </c>
      <c r="D482" s="82">
        <v>32775</v>
      </c>
      <c r="E482" t="s">
        <v>1530</v>
      </c>
      <c r="F482" t="s">
        <v>2578</v>
      </c>
      <c r="G482">
        <v>38.750599999999999</v>
      </c>
      <c r="H482">
        <v>-9.3941700000000008</v>
      </c>
      <c r="I482" t="s">
        <v>2068</v>
      </c>
      <c r="J482" t="s">
        <v>980</v>
      </c>
      <c r="K482" t="s">
        <v>1432</v>
      </c>
      <c r="L482" t="s">
        <v>1433</v>
      </c>
      <c r="M482" t="s">
        <v>984</v>
      </c>
    </row>
    <row r="483" spans="1:13">
      <c r="A483">
        <v>1989</v>
      </c>
      <c r="B483">
        <v>14</v>
      </c>
      <c r="C483" t="s">
        <v>1457</v>
      </c>
      <c r="D483" s="82">
        <v>32782</v>
      </c>
      <c r="E483" t="s">
        <v>1531</v>
      </c>
      <c r="F483" t="s">
        <v>2579</v>
      </c>
      <c r="G483">
        <v>36.708300000000001</v>
      </c>
      <c r="H483">
        <v>-6.0341699999999996</v>
      </c>
      <c r="I483" t="s">
        <v>2070</v>
      </c>
      <c r="J483" t="s">
        <v>899</v>
      </c>
      <c r="K483" t="s">
        <v>1458</v>
      </c>
      <c r="L483" t="s">
        <v>1459</v>
      </c>
      <c r="M483" t="s">
        <v>903</v>
      </c>
    </row>
    <row r="484" spans="1:13">
      <c r="A484">
        <v>1989</v>
      </c>
      <c r="B484">
        <v>15</v>
      </c>
      <c r="C484" t="s">
        <v>1494</v>
      </c>
      <c r="D484" s="82">
        <v>32803</v>
      </c>
      <c r="E484" t="s">
        <v>1532</v>
      </c>
      <c r="F484" t="s">
        <v>2580</v>
      </c>
      <c r="G484">
        <v>34.8431</v>
      </c>
      <c r="H484">
        <v>136.541</v>
      </c>
      <c r="I484" t="s">
        <v>2072</v>
      </c>
      <c r="J484" t="s">
        <v>1280</v>
      </c>
      <c r="K484" t="s">
        <v>1495</v>
      </c>
      <c r="L484" t="s">
        <v>1496</v>
      </c>
      <c r="M484" t="s">
        <v>375</v>
      </c>
    </row>
    <row r="485" spans="1:13">
      <c r="A485">
        <v>1989</v>
      </c>
      <c r="B485">
        <v>16</v>
      </c>
      <c r="C485" t="s">
        <v>1451</v>
      </c>
      <c r="D485" s="82">
        <v>32817</v>
      </c>
      <c r="E485" t="s">
        <v>1533</v>
      </c>
      <c r="F485" t="s">
        <v>2581</v>
      </c>
      <c r="G485">
        <v>-34.927199999999999</v>
      </c>
      <c r="H485">
        <v>138.61699999999999</v>
      </c>
      <c r="I485" t="s">
        <v>2069</v>
      </c>
      <c r="J485" t="s">
        <v>1450</v>
      </c>
      <c r="K485" t="s">
        <v>1452</v>
      </c>
      <c r="L485" t="s">
        <v>1453</v>
      </c>
      <c r="M485" t="s">
        <v>1454</v>
      </c>
    </row>
    <row r="486" spans="1:13">
      <c r="A486">
        <v>1990</v>
      </c>
      <c r="B486">
        <v>1</v>
      </c>
      <c r="C486" t="s">
        <v>1519</v>
      </c>
      <c r="D486" s="82">
        <v>32943</v>
      </c>
      <c r="E486" t="s">
        <v>1534</v>
      </c>
      <c r="F486" t="s">
        <v>2582</v>
      </c>
      <c r="G486">
        <v>33.447899999999997</v>
      </c>
      <c r="H486">
        <v>-112.075</v>
      </c>
      <c r="I486" t="s">
        <v>2073</v>
      </c>
      <c r="J486" t="s">
        <v>1006</v>
      </c>
      <c r="K486" t="s">
        <v>1520</v>
      </c>
      <c r="L486" t="s">
        <v>1521</v>
      </c>
      <c r="M486" t="s">
        <v>1010</v>
      </c>
    </row>
    <row r="487" spans="1:13">
      <c r="A487">
        <v>1990</v>
      </c>
      <c r="B487">
        <v>2</v>
      </c>
      <c r="C487" t="s">
        <v>1204</v>
      </c>
      <c r="D487" s="82">
        <v>32957</v>
      </c>
      <c r="E487" t="s">
        <v>1535</v>
      </c>
      <c r="F487" t="s">
        <v>2583</v>
      </c>
      <c r="G487">
        <v>-23.703600000000002</v>
      </c>
      <c r="H487">
        <v>-46.6997</v>
      </c>
      <c r="I487" t="s">
        <v>2056</v>
      </c>
      <c r="J487" t="s">
        <v>1203</v>
      </c>
      <c r="K487" t="s">
        <v>1205</v>
      </c>
      <c r="L487" t="s">
        <v>1206</v>
      </c>
      <c r="M487" t="s">
        <v>1207</v>
      </c>
    </row>
    <row r="488" spans="1:13">
      <c r="A488">
        <v>1990</v>
      </c>
      <c r="B488">
        <v>3</v>
      </c>
      <c r="C488" t="s">
        <v>1350</v>
      </c>
      <c r="D488" s="82">
        <v>33006</v>
      </c>
      <c r="E488" t="s">
        <v>1536</v>
      </c>
      <c r="F488" t="s">
        <v>2584</v>
      </c>
      <c r="G488">
        <v>44.343899999999998</v>
      </c>
      <c r="H488">
        <v>11.716699999999999</v>
      </c>
      <c r="I488" t="s">
        <v>2064</v>
      </c>
      <c r="J488" t="s">
        <v>882</v>
      </c>
      <c r="K488" t="s">
        <v>1351</v>
      </c>
      <c r="L488" t="s">
        <v>1352</v>
      </c>
      <c r="M488" t="s">
        <v>886</v>
      </c>
    </row>
    <row r="489" spans="1:13">
      <c r="A489">
        <v>1990</v>
      </c>
      <c r="B489">
        <v>4</v>
      </c>
      <c r="C489" t="s">
        <v>857</v>
      </c>
      <c r="D489" s="82">
        <v>33020</v>
      </c>
      <c r="E489" t="s">
        <v>1537</v>
      </c>
      <c r="F489" t="s">
        <v>2585</v>
      </c>
      <c r="G489">
        <v>43.734699999999997</v>
      </c>
      <c r="H489">
        <v>7.42056</v>
      </c>
      <c r="I489" t="s">
        <v>2021</v>
      </c>
      <c r="J489" t="s">
        <v>856</v>
      </c>
      <c r="K489" t="s">
        <v>858</v>
      </c>
      <c r="L489" t="s">
        <v>859</v>
      </c>
      <c r="M489" t="s">
        <v>860</v>
      </c>
    </row>
    <row r="490" spans="1:13">
      <c r="A490">
        <v>1990</v>
      </c>
      <c r="B490">
        <v>5</v>
      </c>
      <c r="C490" t="s">
        <v>1320</v>
      </c>
      <c r="D490" s="82">
        <v>33034</v>
      </c>
      <c r="E490" t="s">
        <v>1538</v>
      </c>
      <c r="F490" t="s">
        <v>2586</v>
      </c>
      <c r="G490">
        <v>45.5</v>
      </c>
      <c r="H490">
        <v>-73.522800000000004</v>
      </c>
      <c r="I490" t="s">
        <v>2063</v>
      </c>
      <c r="J490" t="s">
        <v>1115</v>
      </c>
      <c r="K490" t="s">
        <v>1321</v>
      </c>
      <c r="L490" t="s">
        <v>1322</v>
      </c>
      <c r="M490" t="s">
        <v>1119</v>
      </c>
    </row>
    <row r="491" spans="1:13">
      <c r="A491">
        <v>1990</v>
      </c>
      <c r="B491">
        <v>6</v>
      </c>
      <c r="C491" t="s">
        <v>1057</v>
      </c>
      <c r="D491" s="82">
        <v>33048</v>
      </c>
      <c r="E491" t="s">
        <v>1539</v>
      </c>
      <c r="F491" t="s">
        <v>2587</v>
      </c>
      <c r="G491">
        <v>19.432700000000001</v>
      </c>
      <c r="H491">
        <v>-99.133300000000006</v>
      </c>
      <c r="I491" t="s">
        <v>2042</v>
      </c>
      <c r="J491" t="s">
        <v>1056</v>
      </c>
      <c r="K491" t="s">
        <v>1058</v>
      </c>
      <c r="L491" t="s">
        <v>1059</v>
      </c>
      <c r="M491" t="s">
        <v>1060</v>
      </c>
    </row>
    <row r="492" spans="1:13">
      <c r="A492">
        <v>1990</v>
      </c>
      <c r="B492">
        <v>7</v>
      </c>
      <c r="C492" t="s">
        <v>1178</v>
      </c>
      <c r="D492" s="82">
        <v>33062</v>
      </c>
      <c r="E492" t="s">
        <v>1540</v>
      </c>
      <c r="F492" t="s">
        <v>2588</v>
      </c>
      <c r="G492">
        <v>43.250599999999999</v>
      </c>
      <c r="H492">
        <v>5.7916699999999999</v>
      </c>
      <c r="I492" t="s">
        <v>2054</v>
      </c>
      <c r="J492" t="s">
        <v>877</v>
      </c>
      <c r="K492" t="s">
        <v>1179</v>
      </c>
      <c r="L492" t="s">
        <v>1180</v>
      </c>
      <c r="M492" t="s">
        <v>755</v>
      </c>
    </row>
    <row r="493" spans="1:13">
      <c r="A493">
        <v>1990</v>
      </c>
      <c r="B493">
        <v>8</v>
      </c>
      <c r="C493" t="s">
        <v>851</v>
      </c>
      <c r="D493" s="82">
        <v>33069</v>
      </c>
      <c r="E493" t="s">
        <v>1541</v>
      </c>
      <c r="F493" t="s">
        <v>2589</v>
      </c>
      <c r="G493">
        <v>52.078600000000002</v>
      </c>
      <c r="H493">
        <v>-1.01694</v>
      </c>
      <c r="I493" t="s">
        <v>2020</v>
      </c>
      <c r="J493" t="s">
        <v>850</v>
      </c>
      <c r="K493" t="s">
        <v>852</v>
      </c>
      <c r="L493" t="s">
        <v>853</v>
      </c>
      <c r="M493" t="s">
        <v>854</v>
      </c>
    </row>
    <row r="494" spans="1:13">
      <c r="A494">
        <v>1990</v>
      </c>
      <c r="B494">
        <v>9</v>
      </c>
      <c r="C494" t="s">
        <v>1162</v>
      </c>
      <c r="D494" s="82">
        <v>33083</v>
      </c>
      <c r="E494" t="s">
        <v>1542</v>
      </c>
      <c r="F494" t="s">
        <v>2590</v>
      </c>
      <c r="G494">
        <v>49.327800000000003</v>
      </c>
      <c r="H494">
        <v>8.5658300000000001</v>
      </c>
      <c r="I494" t="s">
        <v>2052</v>
      </c>
      <c r="J494" t="s">
        <v>893</v>
      </c>
      <c r="K494" t="s">
        <v>1163</v>
      </c>
      <c r="L494" t="s">
        <v>1164</v>
      </c>
      <c r="M494" t="s">
        <v>761</v>
      </c>
    </row>
    <row r="495" spans="1:13">
      <c r="A495">
        <v>1990</v>
      </c>
      <c r="B495">
        <v>10</v>
      </c>
      <c r="C495" t="s">
        <v>1470</v>
      </c>
      <c r="D495" s="82">
        <v>33097</v>
      </c>
      <c r="E495" t="s">
        <v>1543</v>
      </c>
      <c r="F495" t="s">
        <v>2591</v>
      </c>
      <c r="G495">
        <v>47.578899999999997</v>
      </c>
      <c r="H495">
        <v>19.2486</v>
      </c>
      <c r="I495" t="s">
        <v>2071</v>
      </c>
      <c r="J495" t="s">
        <v>1469</v>
      </c>
      <c r="K495" t="s">
        <v>1471</v>
      </c>
      <c r="L495" t="s">
        <v>1472</v>
      </c>
      <c r="M495" t="s">
        <v>1473</v>
      </c>
    </row>
    <row r="496" spans="1:13">
      <c r="A496">
        <v>1990</v>
      </c>
      <c r="B496">
        <v>11</v>
      </c>
      <c r="C496" t="s">
        <v>873</v>
      </c>
      <c r="D496" s="82">
        <v>33111</v>
      </c>
      <c r="E496" t="s">
        <v>1544</v>
      </c>
      <c r="F496" t="s">
        <v>2592</v>
      </c>
      <c r="G496">
        <v>50.437199999999997</v>
      </c>
      <c r="H496">
        <v>5.9713900000000004</v>
      </c>
      <c r="I496" t="s">
        <v>2024</v>
      </c>
      <c r="J496" t="s">
        <v>872</v>
      </c>
      <c r="K496" t="s">
        <v>874</v>
      </c>
      <c r="L496" t="s">
        <v>875</v>
      </c>
      <c r="M496" t="s">
        <v>244</v>
      </c>
    </row>
    <row r="497" spans="1:13">
      <c r="A497">
        <v>1990</v>
      </c>
      <c r="B497">
        <v>12</v>
      </c>
      <c r="C497" t="s">
        <v>883</v>
      </c>
      <c r="D497" s="82">
        <v>33125</v>
      </c>
      <c r="E497" t="s">
        <v>1545</v>
      </c>
      <c r="F497" t="s">
        <v>2593</v>
      </c>
      <c r="G497">
        <v>45.615600000000001</v>
      </c>
      <c r="H497">
        <v>9.28111</v>
      </c>
      <c r="I497" t="s">
        <v>2026</v>
      </c>
      <c r="J497" t="s">
        <v>882</v>
      </c>
      <c r="K497" t="s">
        <v>884</v>
      </c>
      <c r="L497" t="s">
        <v>885</v>
      </c>
      <c r="M497" t="s">
        <v>886</v>
      </c>
    </row>
    <row r="498" spans="1:13">
      <c r="A498">
        <v>1990</v>
      </c>
      <c r="B498">
        <v>13</v>
      </c>
      <c r="C498" t="s">
        <v>1431</v>
      </c>
      <c r="D498" s="82">
        <v>33139</v>
      </c>
      <c r="E498" t="s">
        <v>1546</v>
      </c>
      <c r="F498" t="s">
        <v>2594</v>
      </c>
      <c r="G498">
        <v>38.750599999999999</v>
      </c>
      <c r="H498">
        <v>-9.3941700000000008</v>
      </c>
      <c r="I498" t="s">
        <v>2068</v>
      </c>
      <c r="J498" t="s">
        <v>980</v>
      </c>
      <c r="K498" t="s">
        <v>1432</v>
      </c>
      <c r="L498" t="s">
        <v>1433</v>
      </c>
      <c r="M498" t="s">
        <v>984</v>
      </c>
    </row>
    <row r="499" spans="1:13">
      <c r="A499">
        <v>1990</v>
      </c>
      <c r="B499">
        <v>14</v>
      </c>
      <c r="C499" t="s">
        <v>1457</v>
      </c>
      <c r="D499" s="82">
        <v>33146</v>
      </c>
      <c r="E499" t="s">
        <v>1547</v>
      </c>
      <c r="F499" t="s">
        <v>2595</v>
      </c>
      <c r="G499">
        <v>36.708300000000001</v>
      </c>
      <c r="H499">
        <v>-6.0341699999999996</v>
      </c>
      <c r="I499" t="s">
        <v>2070</v>
      </c>
      <c r="J499" t="s">
        <v>899</v>
      </c>
      <c r="K499" t="s">
        <v>1458</v>
      </c>
      <c r="L499" t="s">
        <v>1459</v>
      </c>
      <c r="M499" t="s">
        <v>903</v>
      </c>
    </row>
    <row r="500" spans="1:13">
      <c r="A500">
        <v>1990</v>
      </c>
      <c r="B500">
        <v>15</v>
      </c>
      <c r="C500" t="s">
        <v>1494</v>
      </c>
      <c r="D500" s="82">
        <v>33167</v>
      </c>
      <c r="E500" t="s">
        <v>1548</v>
      </c>
      <c r="F500" t="s">
        <v>2596</v>
      </c>
      <c r="G500">
        <v>34.8431</v>
      </c>
      <c r="H500">
        <v>136.541</v>
      </c>
      <c r="I500" t="s">
        <v>2072</v>
      </c>
      <c r="J500" t="s">
        <v>1280</v>
      </c>
      <c r="K500" t="s">
        <v>1495</v>
      </c>
      <c r="L500" t="s">
        <v>1496</v>
      </c>
      <c r="M500" t="s">
        <v>375</v>
      </c>
    </row>
    <row r="501" spans="1:13">
      <c r="A501">
        <v>1990</v>
      </c>
      <c r="B501">
        <v>16</v>
      </c>
      <c r="C501" t="s">
        <v>1451</v>
      </c>
      <c r="D501" s="82">
        <v>33181</v>
      </c>
      <c r="E501" t="s">
        <v>1549</v>
      </c>
      <c r="F501" t="s">
        <v>2597</v>
      </c>
      <c r="G501">
        <v>-34.927199999999999</v>
      </c>
      <c r="H501">
        <v>138.61699999999999</v>
      </c>
      <c r="I501" t="s">
        <v>2069</v>
      </c>
      <c r="J501" t="s">
        <v>1450</v>
      </c>
      <c r="K501" t="s">
        <v>1452</v>
      </c>
      <c r="L501" t="s">
        <v>1453</v>
      </c>
      <c r="M501" t="s">
        <v>1454</v>
      </c>
    </row>
    <row r="502" spans="1:13">
      <c r="A502">
        <v>1991</v>
      </c>
      <c r="B502">
        <v>1</v>
      </c>
      <c r="C502" t="s">
        <v>1519</v>
      </c>
      <c r="D502" s="82">
        <v>33307</v>
      </c>
      <c r="E502" t="s">
        <v>1550</v>
      </c>
      <c r="F502" t="s">
        <v>2598</v>
      </c>
      <c r="G502">
        <v>33.447899999999997</v>
      </c>
      <c r="H502">
        <v>-112.075</v>
      </c>
      <c r="I502" t="s">
        <v>2073</v>
      </c>
      <c r="J502" t="s">
        <v>1006</v>
      </c>
      <c r="K502" t="s">
        <v>1520</v>
      </c>
      <c r="L502" t="s">
        <v>1521</v>
      </c>
      <c r="M502" t="s">
        <v>1010</v>
      </c>
    </row>
    <row r="503" spans="1:13">
      <c r="A503">
        <v>1991</v>
      </c>
      <c r="B503">
        <v>2</v>
      </c>
      <c r="C503" t="s">
        <v>1204</v>
      </c>
      <c r="D503" s="82">
        <v>33321</v>
      </c>
      <c r="E503" t="s">
        <v>1551</v>
      </c>
      <c r="F503" t="s">
        <v>2599</v>
      </c>
      <c r="G503">
        <v>-23.703600000000002</v>
      </c>
      <c r="H503">
        <v>-46.6997</v>
      </c>
      <c r="I503" t="s">
        <v>2056</v>
      </c>
      <c r="J503" t="s">
        <v>1203</v>
      </c>
      <c r="K503" t="s">
        <v>1205</v>
      </c>
      <c r="L503" t="s">
        <v>1206</v>
      </c>
      <c r="M503" t="s">
        <v>1207</v>
      </c>
    </row>
    <row r="504" spans="1:13">
      <c r="A504">
        <v>1991</v>
      </c>
      <c r="B504">
        <v>3</v>
      </c>
      <c r="C504" t="s">
        <v>1350</v>
      </c>
      <c r="D504" s="82">
        <v>33356</v>
      </c>
      <c r="E504" t="s">
        <v>1552</v>
      </c>
      <c r="F504" t="s">
        <v>2600</v>
      </c>
      <c r="G504">
        <v>44.343899999999998</v>
      </c>
      <c r="H504">
        <v>11.716699999999999</v>
      </c>
      <c r="I504" t="s">
        <v>2064</v>
      </c>
      <c r="J504" t="s">
        <v>882</v>
      </c>
      <c r="K504" t="s">
        <v>1351</v>
      </c>
      <c r="L504" t="s">
        <v>1352</v>
      </c>
      <c r="M504" t="s">
        <v>886</v>
      </c>
    </row>
    <row r="505" spans="1:13">
      <c r="A505">
        <v>1991</v>
      </c>
      <c r="B505">
        <v>4</v>
      </c>
      <c r="C505" t="s">
        <v>857</v>
      </c>
      <c r="D505" s="82">
        <v>33370</v>
      </c>
      <c r="E505" t="s">
        <v>1553</v>
      </c>
      <c r="F505" t="s">
        <v>2601</v>
      </c>
      <c r="G505">
        <v>43.734699999999997</v>
      </c>
      <c r="H505">
        <v>7.42056</v>
      </c>
      <c r="I505" t="s">
        <v>2021</v>
      </c>
      <c r="J505" t="s">
        <v>856</v>
      </c>
      <c r="K505" t="s">
        <v>858</v>
      </c>
      <c r="L505" t="s">
        <v>859</v>
      </c>
      <c r="M505" t="s">
        <v>860</v>
      </c>
    </row>
    <row r="506" spans="1:13">
      <c r="A506">
        <v>1991</v>
      </c>
      <c r="B506">
        <v>5</v>
      </c>
      <c r="C506" t="s">
        <v>1320</v>
      </c>
      <c r="D506" s="82">
        <v>33391</v>
      </c>
      <c r="E506" t="s">
        <v>1554</v>
      </c>
      <c r="F506" t="s">
        <v>2602</v>
      </c>
      <c r="G506">
        <v>45.5</v>
      </c>
      <c r="H506">
        <v>-73.522800000000004</v>
      </c>
      <c r="I506" t="s">
        <v>2063</v>
      </c>
      <c r="J506" t="s">
        <v>1115</v>
      </c>
      <c r="K506" t="s">
        <v>1321</v>
      </c>
      <c r="L506" t="s">
        <v>1322</v>
      </c>
      <c r="M506" t="s">
        <v>1119</v>
      </c>
    </row>
    <row r="507" spans="1:13">
      <c r="A507">
        <v>1991</v>
      </c>
      <c r="B507">
        <v>6</v>
      </c>
      <c r="C507" t="s">
        <v>1057</v>
      </c>
      <c r="D507" s="82">
        <v>33405</v>
      </c>
      <c r="E507" t="s">
        <v>1555</v>
      </c>
      <c r="F507" t="s">
        <v>2603</v>
      </c>
      <c r="G507">
        <v>19.432700000000001</v>
      </c>
      <c r="H507">
        <v>-99.133300000000006</v>
      </c>
      <c r="I507" t="s">
        <v>2042</v>
      </c>
      <c r="J507" t="s">
        <v>1056</v>
      </c>
      <c r="K507" t="s">
        <v>1058</v>
      </c>
      <c r="L507" t="s">
        <v>1059</v>
      </c>
      <c r="M507" t="s">
        <v>1060</v>
      </c>
    </row>
    <row r="508" spans="1:13">
      <c r="A508">
        <v>1991</v>
      </c>
      <c r="B508">
        <v>7</v>
      </c>
      <c r="C508" t="s">
        <v>1556</v>
      </c>
      <c r="D508" s="82">
        <v>33426</v>
      </c>
      <c r="E508" t="s">
        <v>1559</v>
      </c>
      <c r="F508" t="s">
        <v>2604</v>
      </c>
      <c r="G508">
        <v>46.864199999999997</v>
      </c>
      <c r="H508">
        <v>3.1636099999999998</v>
      </c>
      <c r="I508" t="s">
        <v>2074</v>
      </c>
      <c r="J508" t="s">
        <v>877</v>
      </c>
      <c r="K508" t="s">
        <v>1557</v>
      </c>
      <c r="L508" t="s">
        <v>1558</v>
      </c>
      <c r="M508" t="s">
        <v>755</v>
      </c>
    </row>
    <row r="509" spans="1:13">
      <c r="A509">
        <v>1991</v>
      </c>
      <c r="B509">
        <v>8</v>
      </c>
      <c r="C509" t="s">
        <v>851</v>
      </c>
      <c r="D509" s="82">
        <v>33433</v>
      </c>
      <c r="E509" t="s">
        <v>1560</v>
      </c>
      <c r="F509" t="s">
        <v>2605</v>
      </c>
      <c r="G509">
        <v>52.078600000000002</v>
      </c>
      <c r="H509">
        <v>-1.01694</v>
      </c>
      <c r="I509" t="s">
        <v>2020</v>
      </c>
      <c r="J509" t="s">
        <v>850</v>
      </c>
      <c r="K509" t="s">
        <v>852</v>
      </c>
      <c r="L509" t="s">
        <v>853</v>
      </c>
      <c r="M509" t="s">
        <v>854</v>
      </c>
    </row>
    <row r="510" spans="1:13">
      <c r="A510">
        <v>1991</v>
      </c>
      <c r="B510">
        <v>9</v>
      </c>
      <c r="C510" t="s">
        <v>1162</v>
      </c>
      <c r="D510" s="82">
        <v>33447</v>
      </c>
      <c r="E510" t="s">
        <v>1561</v>
      </c>
      <c r="F510" t="s">
        <v>2606</v>
      </c>
      <c r="G510">
        <v>49.327800000000003</v>
      </c>
      <c r="H510">
        <v>8.5658300000000001</v>
      </c>
      <c r="I510" t="s">
        <v>2052</v>
      </c>
      <c r="J510" t="s">
        <v>893</v>
      </c>
      <c r="K510" t="s">
        <v>1163</v>
      </c>
      <c r="L510" t="s">
        <v>1164</v>
      </c>
      <c r="M510" t="s">
        <v>761</v>
      </c>
    </row>
    <row r="511" spans="1:13">
      <c r="A511">
        <v>1991</v>
      </c>
      <c r="B511">
        <v>10</v>
      </c>
      <c r="C511" t="s">
        <v>1470</v>
      </c>
      <c r="D511" s="82">
        <v>33461</v>
      </c>
      <c r="E511" t="s">
        <v>1562</v>
      </c>
      <c r="F511" t="s">
        <v>2607</v>
      </c>
      <c r="G511">
        <v>47.578899999999997</v>
      </c>
      <c r="H511">
        <v>19.2486</v>
      </c>
      <c r="I511" t="s">
        <v>2071</v>
      </c>
      <c r="J511" t="s">
        <v>1469</v>
      </c>
      <c r="K511" t="s">
        <v>1471</v>
      </c>
      <c r="L511" t="s">
        <v>1472</v>
      </c>
      <c r="M511" t="s">
        <v>1473</v>
      </c>
    </row>
    <row r="512" spans="1:13">
      <c r="A512">
        <v>1991</v>
      </c>
      <c r="B512">
        <v>11</v>
      </c>
      <c r="C512" t="s">
        <v>873</v>
      </c>
      <c r="D512" s="82">
        <v>33475</v>
      </c>
      <c r="E512" t="s">
        <v>1563</v>
      </c>
      <c r="F512" t="s">
        <v>2608</v>
      </c>
      <c r="G512">
        <v>50.437199999999997</v>
      </c>
      <c r="H512">
        <v>5.9713900000000004</v>
      </c>
      <c r="I512" t="s">
        <v>2024</v>
      </c>
      <c r="J512" t="s">
        <v>872</v>
      </c>
      <c r="K512" t="s">
        <v>874</v>
      </c>
      <c r="L512" t="s">
        <v>875</v>
      </c>
      <c r="M512" t="s">
        <v>244</v>
      </c>
    </row>
    <row r="513" spans="1:13">
      <c r="A513">
        <v>1991</v>
      </c>
      <c r="B513">
        <v>12</v>
      </c>
      <c r="C513" t="s">
        <v>883</v>
      </c>
      <c r="D513" s="82">
        <v>33489</v>
      </c>
      <c r="E513" t="s">
        <v>1564</v>
      </c>
      <c r="F513" t="s">
        <v>2609</v>
      </c>
      <c r="G513">
        <v>45.615600000000001</v>
      </c>
      <c r="H513">
        <v>9.28111</v>
      </c>
      <c r="I513" t="s">
        <v>2026</v>
      </c>
      <c r="J513" t="s">
        <v>882</v>
      </c>
      <c r="K513" t="s">
        <v>884</v>
      </c>
      <c r="L513" t="s">
        <v>885</v>
      </c>
      <c r="M513" t="s">
        <v>886</v>
      </c>
    </row>
    <row r="514" spans="1:13">
      <c r="A514">
        <v>1991</v>
      </c>
      <c r="B514">
        <v>13</v>
      </c>
      <c r="C514" t="s">
        <v>1431</v>
      </c>
      <c r="D514" s="82">
        <v>33503</v>
      </c>
      <c r="E514" t="s">
        <v>1565</v>
      </c>
      <c r="F514" t="s">
        <v>2610</v>
      </c>
      <c r="G514">
        <v>38.750599999999999</v>
      </c>
      <c r="H514">
        <v>-9.3941700000000008</v>
      </c>
      <c r="I514" t="s">
        <v>2068</v>
      </c>
      <c r="J514" t="s">
        <v>980</v>
      </c>
      <c r="K514" t="s">
        <v>1432</v>
      </c>
      <c r="L514" t="s">
        <v>1433</v>
      </c>
      <c r="M514" t="s">
        <v>984</v>
      </c>
    </row>
    <row r="515" spans="1:13">
      <c r="A515">
        <v>1991</v>
      </c>
      <c r="B515">
        <v>14</v>
      </c>
      <c r="C515" t="s">
        <v>1566</v>
      </c>
      <c r="D515" s="82">
        <v>33510</v>
      </c>
      <c r="E515" t="s">
        <v>1569</v>
      </c>
      <c r="F515" t="s">
        <v>2611</v>
      </c>
      <c r="G515">
        <v>41.57</v>
      </c>
      <c r="H515">
        <v>2.26111</v>
      </c>
      <c r="I515" t="s">
        <v>2075</v>
      </c>
      <c r="J515" t="s">
        <v>899</v>
      </c>
      <c r="K515" t="s">
        <v>1567</v>
      </c>
      <c r="L515" t="s">
        <v>1568</v>
      </c>
      <c r="M515" t="s">
        <v>903</v>
      </c>
    </row>
    <row r="516" spans="1:13">
      <c r="A516">
        <v>1991</v>
      </c>
      <c r="B516">
        <v>15</v>
      </c>
      <c r="C516" t="s">
        <v>1494</v>
      </c>
      <c r="D516" s="82">
        <v>33531</v>
      </c>
      <c r="E516" t="s">
        <v>1570</v>
      </c>
      <c r="F516" t="s">
        <v>2612</v>
      </c>
      <c r="G516">
        <v>34.8431</v>
      </c>
      <c r="H516">
        <v>136.541</v>
      </c>
      <c r="I516" t="s">
        <v>2072</v>
      </c>
      <c r="J516" t="s">
        <v>1280</v>
      </c>
      <c r="K516" t="s">
        <v>1495</v>
      </c>
      <c r="L516" t="s">
        <v>1496</v>
      </c>
      <c r="M516" t="s">
        <v>375</v>
      </c>
    </row>
    <row r="517" spans="1:13">
      <c r="A517">
        <v>1991</v>
      </c>
      <c r="B517">
        <v>16</v>
      </c>
      <c r="C517" t="s">
        <v>1451</v>
      </c>
      <c r="D517" s="82">
        <v>33545</v>
      </c>
      <c r="E517" t="s">
        <v>1571</v>
      </c>
      <c r="F517" t="s">
        <v>2613</v>
      </c>
      <c r="G517">
        <v>-34.927199999999999</v>
      </c>
      <c r="H517">
        <v>138.61699999999999</v>
      </c>
      <c r="I517" t="s">
        <v>2069</v>
      </c>
      <c r="J517" t="s">
        <v>1450</v>
      </c>
      <c r="K517" t="s">
        <v>1452</v>
      </c>
      <c r="L517" t="s">
        <v>1453</v>
      </c>
      <c r="M517" t="s">
        <v>1454</v>
      </c>
    </row>
    <row r="518" spans="1:13">
      <c r="A518">
        <v>1992</v>
      </c>
      <c r="B518">
        <v>1</v>
      </c>
      <c r="C518" t="s">
        <v>1103</v>
      </c>
      <c r="D518" s="82">
        <v>33664</v>
      </c>
      <c r="E518" t="s">
        <v>1572</v>
      </c>
      <c r="F518" t="s">
        <v>2614</v>
      </c>
      <c r="G518">
        <v>-25.9894</v>
      </c>
      <c r="H518">
        <v>28.076699999999999</v>
      </c>
      <c r="I518" t="s">
        <v>2046</v>
      </c>
      <c r="J518" t="s">
        <v>1042</v>
      </c>
      <c r="K518" t="s">
        <v>1104</v>
      </c>
      <c r="L518" t="s">
        <v>1105</v>
      </c>
      <c r="M518" t="s">
        <v>1046</v>
      </c>
    </row>
    <row r="519" spans="1:13">
      <c r="A519">
        <v>1992</v>
      </c>
      <c r="B519">
        <v>2</v>
      </c>
      <c r="C519" t="s">
        <v>1057</v>
      </c>
      <c r="D519" s="82">
        <v>33685</v>
      </c>
      <c r="E519" t="s">
        <v>1573</v>
      </c>
      <c r="F519" t="s">
        <v>2615</v>
      </c>
      <c r="G519">
        <v>19.432700000000001</v>
      </c>
      <c r="H519">
        <v>-99.133300000000006</v>
      </c>
      <c r="I519" t="s">
        <v>2042</v>
      </c>
      <c r="J519" t="s">
        <v>1056</v>
      </c>
      <c r="K519" t="s">
        <v>1058</v>
      </c>
      <c r="L519" t="s">
        <v>1059</v>
      </c>
      <c r="M519" t="s">
        <v>1060</v>
      </c>
    </row>
    <row r="520" spans="1:13">
      <c r="A520">
        <v>1992</v>
      </c>
      <c r="B520">
        <v>3</v>
      </c>
      <c r="C520" t="s">
        <v>1204</v>
      </c>
      <c r="D520" s="82">
        <v>33699</v>
      </c>
      <c r="E520" t="s">
        <v>1574</v>
      </c>
      <c r="F520" t="s">
        <v>2616</v>
      </c>
      <c r="G520">
        <v>-23.703600000000002</v>
      </c>
      <c r="H520">
        <v>-46.6997</v>
      </c>
      <c r="I520" t="s">
        <v>2056</v>
      </c>
      <c r="J520" t="s">
        <v>1203</v>
      </c>
      <c r="K520" t="s">
        <v>1205</v>
      </c>
      <c r="L520" t="s">
        <v>1206</v>
      </c>
      <c r="M520" t="s">
        <v>1207</v>
      </c>
    </row>
    <row r="521" spans="1:13">
      <c r="A521">
        <v>1992</v>
      </c>
      <c r="B521">
        <v>4</v>
      </c>
      <c r="C521" t="s">
        <v>1566</v>
      </c>
      <c r="D521" s="82">
        <v>33727</v>
      </c>
      <c r="E521" t="s">
        <v>1575</v>
      </c>
      <c r="F521" t="s">
        <v>2617</v>
      </c>
      <c r="G521">
        <v>41.57</v>
      </c>
      <c r="H521">
        <v>2.26111</v>
      </c>
      <c r="I521" t="s">
        <v>2075</v>
      </c>
      <c r="J521" t="s">
        <v>899</v>
      </c>
      <c r="K521" t="s">
        <v>1567</v>
      </c>
      <c r="L521" t="s">
        <v>1568</v>
      </c>
      <c r="M521" t="s">
        <v>903</v>
      </c>
    </row>
    <row r="522" spans="1:13">
      <c r="A522">
        <v>1992</v>
      </c>
      <c r="B522">
        <v>5</v>
      </c>
      <c r="C522" t="s">
        <v>1350</v>
      </c>
      <c r="D522" s="82">
        <v>33741</v>
      </c>
      <c r="E522" t="s">
        <v>1576</v>
      </c>
      <c r="F522" t="s">
        <v>2618</v>
      </c>
      <c r="G522">
        <v>44.343899999999998</v>
      </c>
      <c r="H522">
        <v>11.716699999999999</v>
      </c>
      <c r="I522" t="s">
        <v>2064</v>
      </c>
      <c r="J522" t="s">
        <v>882</v>
      </c>
      <c r="K522" t="s">
        <v>1351</v>
      </c>
      <c r="L522" t="s">
        <v>1352</v>
      </c>
      <c r="M522" t="s">
        <v>886</v>
      </c>
    </row>
    <row r="523" spans="1:13">
      <c r="A523">
        <v>1992</v>
      </c>
      <c r="B523">
        <v>6</v>
      </c>
      <c r="C523" t="s">
        <v>857</v>
      </c>
      <c r="D523" s="82">
        <v>33755</v>
      </c>
      <c r="E523" t="s">
        <v>1577</v>
      </c>
      <c r="F523" t="s">
        <v>2619</v>
      </c>
      <c r="G523">
        <v>43.734699999999997</v>
      </c>
      <c r="H523">
        <v>7.42056</v>
      </c>
      <c r="I523" t="s">
        <v>2021</v>
      </c>
      <c r="J523" t="s">
        <v>856</v>
      </c>
      <c r="K523" t="s">
        <v>858</v>
      </c>
      <c r="L523" t="s">
        <v>859</v>
      </c>
      <c r="M523" t="s">
        <v>860</v>
      </c>
    </row>
    <row r="524" spans="1:13">
      <c r="A524">
        <v>1992</v>
      </c>
      <c r="B524">
        <v>7</v>
      </c>
      <c r="C524" t="s">
        <v>1320</v>
      </c>
      <c r="D524" s="82">
        <v>33769</v>
      </c>
      <c r="E524" t="s">
        <v>1578</v>
      </c>
      <c r="F524" t="s">
        <v>2620</v>
      </c>
      <c r="G524">
        <v>45.5</v>
      </c>
      <c r="H524">
        <v>-73.522800000000004</v>
      </c>
      <c r="I524" t="s">
        <v>2063</v>
      </c>
      <c r="J524" t="s">
        <v>1115</v>
      </c>
      <c r="K524" t="s">
        <v>1321</v>
      </c>
      <c r="L524" t="s">
        <v>1322</v>
      </c>
      <c r="M524" t="s">
        <v>1119</v>
      </c>
    </row>
    <row r="525" spans="1:13">
      <c r="A525">
        <v>1992</v>
      </c>
      <c r="B525">
        <v>8</v>
      </c>
      <c r="C525" t="s">
        <v>1556</v>
      </c>
      <c r="D525" s="82">
        <v>33790</v>
      </c>
      <c r="E525" t="s">
        <v>1579</v>
      </c>
      <c r="F525" t="s">
        <v>2621</v>
      </c>
      <c r="G525">
        <v>46.864199999999997</v>
      </c>
      <c r="H525">
        <v>3.1636099999999998</v>
      </c>
      <c r="I525" t="s">
        <v>2074</v>
      </c>
      <c r="J525" t="s">
        <v>877</v>
      </c>
      <c r="K525" t="s">
        <v>1557</v>
      </c>
      <c r="L525" t="s">
        <v>1558</v>
      </c>
      <c r="M525" t="s">
        <v>755</v>
      </c>
    </row>
    <row r="526" spans="1:13">
      <c r="A526">
        <v>1992</v>
      </c>
      <c r="B526">
        <v>9</v>
      </c>
      <c r="C526" t="s">
        <v>851</v>
      </c>
      <c r="D526" s="82">
        <v>33797</v>
      </c>
      <c r="E526" t="s">
        <v>1580</v>
      </c>
      <c r="F526" t="s">
        <v>2622</v>
      </c>
      <c r="G526">
        <v>52.078600000000002</v>
      </c>
      <c r="H526">
        <v>-1.01694</v>
      </c>
      <c r="I526" t="s">
        <v>2020</v>
      </c>
      <c r="J526" t="s">
        <v>850</v>
      </c>
      <c r="K526" t="s">
        <v>852</v>
      </c>
      <c r="L526" t="s">
        <v>853</v>
      </c>
      <c r="M526" t="s">
        <v>854</v>
      </c>
    </row>
    <row r="527" spans="1:13">
      <c r="A527">
        <v>1992</v>
      </c>
      <c r="B527">
        <v>10</v>
      </c>
      <c r="C527" t="s">
        <v>1162</v>
      </c>
      <c r="D527" s="82">
        <v>33811</v>
      </c>
      <c r="E527" t="s">
        <v>1581</v>
      </c>
      <c r="F527" t="s">
        <v>2623</v>
      </c>
      <c r="G527">
        <v>49.327800000000003</v>
      </c>
      <c r="H527">
        <v>8.5658300000000001</v>
      </c>
      <c r="I527" t="s">
        <v>2052</v>
      </c>
      <c r="J527" t="s">
        <v>893</v>
      </c>
      <c r="K527" t="s">
        <v>1163</v>
      </c>
      <c r="L527" t="s">
        <v>1164</v>
      </c>
      <c r="M527" t="s">
        <v>761</v>
      </c>
    </row>
    <row r="528" spans="1:13">
      <c r="A528">
        <v>1992</v>
      </c>
      <c r="B528">
        <v>11</v>
      </c>
      <c r="C528" t="s">
        <v>1470</v>
      </c>
      <c r="D528" s="82">
        <v>33832</v>
      </c>
      <c r="E528" t="s">
        <v>1582</v>
      </c>
      <c r="F528" t="s">
        <v>2624</v>
      </c>
      <c r="G528">
        <v>47.578899999999997</v>
      </c>
      <c r="H528">
        <v>19.2486</v>
      </c>
      <c r="I528" t="s">
        <v>2071</v>
      </c>
      <c r="J528" t="s">
        <v>1469</v>
      </c>
      <c r="K528" t="s">
        <v>1471</v>
      </c>
      <c r="L528" t="s">
        <v>1472</v>
      </c>
      <c r="M528" t="s">
        <v>1473</v>
      </c>
    </row>
    <row r="529" spans="1:13">
      <c r="A529">
        <v>1992</v>
      </c>
      <c r="B529">
        <v>12</v>
      </c>
      <c r="C529" t="s">
        <v>873</v>
      </c>
      <c r="D529" s="82">
        <v>33846</v>
      </c>
      <c r="E529" t="s">
        <v>1583</v>
      </c>
      <c r="F529" t="s">
        <v>2625</v>
      </c>
      <c r="G529">
        <v>50.437199999999997</v>
      </c>
      <c r="H529">
        <v>5.9713900000000004</v>
      </c>
      <c r="I529" t="s">
        <v>2024</v>
      </c>
      <c r="J529" t="s">
        <v>872</v>
      </c>
      <c r="K529" t="s">
        <v>874</v>
      </c>
      <c r="L529" t="s">
        <v>875</v>
      </c>
      <c r="M529" t="s">
        <v>244</v>
      </c>
    </row>
    <row r="530" spans="1:13">
      <c r="A530">
        <v>1992</v>
      </c>
      <c r="B530">
        <v>13</v>
      </c>
      <c r="C530" t="s">
        <v>883</v>
      </c>
      <c r="D530" s="82">
        <v>33860</v>
      </c>
      <c r="E530" t="s">
        <v>1584</v>
      </c>
      <c r="F530" t="s">
        <v>2626</v>
      </c>
      <c r="G530">
        <v>45.615600000000001</v>
      </c>
      <c r="H530">
        <v>9.28111</v>
      </c>
      <c r="I530" t="s">
        <v>2026</v>
      </c>
      <c r="J530" t="s">
        <v>882</v>
      </c>
      <c r="K530" t="s">
        <v>884</v>
      </c>
      <c r="L530" t="s">
        <v>885</v>
      </c>
      <c r="M530" t="s">
        <v>886</v>
      </c>
    </row>
    <row r="531" spans="1:13">
      <c r="A531">
        <v>1992</v>
      </c>
      <c r="B531">
        <v>14</v>
      </c>
      <c r="C531" t="s">
        <v>1431</v>
      </c>
      <c r="D531" s="82">
        <v>33874</v>
      </c>
      <c r="E531" t="s">
        <v>1585</v>
      </c>
      <c r="F531" t="s">
        <v>2627</v>
      </c>
      <c r="G531">
        <v>38.750599999999999</v>
      </c>
      <c r="H531">
        <v>-9.3941700000000008</v>
      </c>
      <c r="I531" t="s">
        <v>2068</v>
      </c>
      <c r="J531" t="s">
        <v>980</v>
      </c>
      <c r="K531" t="s">
        <v>1432</v>
      </c>
      <c r="L531" t="s">
        <v>1433</v>
      </c>
      <c r="M531" t="s">
        <v>984</v>
      </c>
    </row>
    <row r="532" spans="1:13">
      <c r="A532">
        <v>1992</v>
      </c>
      <c r="B532">
        <v>15</v>
      </c>
      <c r="C532" t="s">
        <v>1494</v>
      </c>
      <c r="D532" s="82">
        <v>33902</v>
      </c>
      <c r="E532" t="s">
        <v>1586</v>
      </c>
      <c r="F532" t="s">
        <v>2628</v>
      </c>
      <c r="G532">
        <v>34.8431</v>
      </c>
      <c r="H532">
        <v>136.541</v>
      </c>
      <c r="I532" t="s">
        <v>2072</v>
      </c>
      <c r="J532" t="s">
        <v>1280</v>
      </c>
      <c r="K532" t="s">
        <v>1495</v>
      </c>
      <c r="L532" t="s">
        <v>1496</v>
      </c>
      <c r="M532" t="s">
        <v>375</v>
      </c>
    </row>
    <row r="533" spans="1:13">
      <c r="A533">
        <v>1992</v>
      </c>
      <c r="B533">
        <v>16</v>
      </c>
      <c r="C533" t="s">
        <v>1451</v>
      </c>
      <c r="D533" s="82">
        <v>33916</v>
      </c>
      <c r="E533" t="s">
        <v>1587</v>
      </c>
      <c r="F533" t="s">
        <v>2629</v>
      </c>
      <c r="G533">
        <v>-34.927199999999999</v>
      </c>
      <c r="H533">
        <v>138.61699999999999</v>
      </c>
      <c r="I533" t="s">
        <v>2069</v>
      </c>
      <c r="J533" t="s">
        <v>1450</v>
      </c>
      <c r="K533" t="s">
        <v>1452</v>
      </c>
      <c r="L533" t="s">
        <v>1453</v>
      </c>
      <c r="M533" t="s">
        <v>1454</v>
      </c>
    </row>
    <row r="534" spans="1:13">
      <c r="A534">
        <v>1993</v>
      </c>
      <c r="B534">
        <v>1</v>
      </c>
      <c r="C534" t="s">
        <v>1103</v>
      </c>
      <c r="D534" s="82">
        <v>34042</v>
      </c>
      <c r="E534" t="s">
        <v>1588</v>
      </c>
      <c r="F534" t="s">
        <v>2630</v>
      </c>
      <c r="G534">
        <v>-25.9894</v>
      </c>
      <c r="H534">
        <v>28.076699999999999</v>
      </c>
      <c r="I534" t="s">
        <v>2046</v>
      </c>
      <c r="J534" t="s">
        <v>1042</v>
      </c>
      <c r="K534" t="s">
        <v>1104</v>
      </c>
      <c r="L534" t="s">
        <v>1105</v>
      </c>
      <c r="M534" t="s">
        <v>1046</v>
      </c>
    </row>
    <row r="535" spans="1:13">
      <c r="A535">
        <v>1993</v>
      </c>
      <c r="B535">
        <v>2</v>
      </c>
      <c r="C535" t="s">
        <v>1204</v>
      </c>
      <c r="D535" s="82">
        <v>34056</v>
      </c>
      <c r="E535" t="s">
        <v>1589</v>
      </c>
      <c r="F535" t="s">
        <v>2631</v>
      </c>
      <c r="G535">
        <v>-23.703600000000002</v>
      </c>
      <c r="H535">
        <v>-46.6997</v>
      </c>
      <c r="I535" t="s">
        <v>2056</v>
      </c>
      <c r="J535" t="s">
        <v>1203</v>
      </c>
      <c r="K535" t="s">
        <v>1205</v>
      </c>
      <c r="L535" t="s">
        <v>1206</v>
      </c>
      <c r="M535" t="s">
        <v>1207</v>
      </c>
    </row>
    <row r="536" spans="1:13">
      <c r="A536">
        <v>1993</v>
      </c>
      <c r="B536">
        <v>3</v>
      </c>
      <c r="C536" t="s">
        <v>1590</v>
      </c>
      <c r="D536" s="82">
        <v>34070</v>
      </c>
      <c r="E536" t="s">
        <v>1593</v>
      </c>
      <c r="F536" t="s">
        <v>2632</v>
      </c>
      <c r="G536">
        <v>52.830599999999997</v>
      </c>
      <c r="H536">
        <v>-1.3752800000000001</v>
      </c>
      <c r="I536" t="s">
        <v>2076</v>
      </c>
      <c r="J536" t="s">
        <v>1409</v>
      </c>
      <c r="K536" t="s">
        <v>1591</v>
      </c>
      <c r="L536" t="s">
        <v>1592</v>
      </c>
      <c r="M536" t="s">
        <v>854</v>
      </c>
    </row>
    <row r="537" spans="1:13">
      <c r="A537">
        <v>1993</v>
      </c>
      <c r="B537">
        <v>4</v>
      </c>
      <c r="C537" t="s">
        <v>1350</v>
      </c>
      <c r="D537" s="82">
        <v>34084</v>
      </c>
      <c r="E537" t="s">
        <v>1594</v>
      </c>
      <c r="F537" t="s">
        <v>2633</v>
      </c>
      <c r="G537">
        <v>44.343899999999998</v>
      </c>
      <c r="H537">
        <v>11.716699999999999</v>
      </c>
      <c r="I537" t="s">
        <v>2064</v>
      </c>
      <c r="J537" t="s">
        <v>882</v>
      </c>
      <c r="K537" t="s">
        <v>1351</v>
      </c>
      <c r="L537" t="s">
        <v>1352</v>
      </c>
      <c r="M537" t="s">
        <v>886</v>
      </c>
    </row>
    <row r="538" spans="1:13">
      <c r="A538">
        <v>1993</v>
      </c>
      <c r="B538">
        <v>5</v>
      </c>
      <c r="C538" t="s">
        <v>1566</v>
      </c>
      <c r="D538" s="82">
        <v>34098</v>
      </c>
      <c r="E538" t="s">
        <v>1595</v>
      </c>
      <c r="F538" t="s">
        <v>2634</v>
      </c>
      <c r="G538">
        <v>41.57</v>
      </c>
      <c r="H538">
        <v>2.26111</v>
      </c>
      <c r="I538" t="s">
        <v>2075</v>
      </c>
      <c r="J538" t="s">
        <v>899</v>
      </c>
      <c r="K538" t="s">
        <v>1567</v>
      </c>
      <c r="L538" t="s">
        <v>1568</v>
      </c>
      <c r="M538" t="s">
        <v>903</v>
      </c>
    </row>
    <row r="539" spans="1:13">
      <c r="A539">
        <v>1993</v>
      </c>
      <c r="B539">
        <v>6</v>
      </c>
      <c r="C539" t="s">
        <v>857</v>
      </c>
      <c r="D539" s="82">
        <v>34112</v>
      </c>
      <c r="E539" t="s">
        <v>1596</v>
      </c>
      <c r="F539" t="s">
        <v>2635</v>
      </c>
      <c r="G539">
        <v>43.734699999999997</v>
      </c>
      <c r="H539">
        <v>7.42056</v>
      </c>
      <c r="I539" t="s">
        <v>2021</v>
      </c>
      <c r="J539" t="s">
        <v>856</v>
      </c>
      <c r="K539" t="s">
        <v>858</v>
      </c>
      <c r="L539" t="s">
        <v>859</v>
      </c>
      <c r="M539" t="s">
        <v>860</v>
      </c>
    </row>
    <row r="540" spans="1:13">
      <c r="A540">
        <v>1993</v>
      </c>
      <c r="B540">
        <v>7</v>
      </c>
      <c r="C540" t="s">
        <v>1320</v>
      </c>
      <c r="D540" s="82">
        <v>34133</v>
      </c>
      <c r="E540" t="s">
        <v>1597</v>
      </c>
      <c r="F540" t="s">
        <v>2636</v>
      </c>
      <c r="G540">
        <v>45.5</v>
      </c>
      <c r="H540">
        <v>-73.522800000000004</v>
      </c>
      <c r="I540" t="s">
        <v>2063</v>
      </c>
      <c r="J540" t="s">
        <v>1115</v>
      </c>
      <c r="K540" t="s">
        <v>1321</v>
      </c>
      <c r="L540" t="s">
        <v>1322</v>
      </c>
      <c r="M540" t="s">
        <v>1119</v>
      </c>
    </row>
    <row r="541" spans="1:13">
      <c r="A541">
        <v>1993</v>
      </c>
      <c r="B541">
        <v>8</v>
      </c>
      <c r="C541" t="s">
        <v>1556</v>
      </c>
      <c r="D541" s="82">
        <v>34154</v>
      </c>
      <c r="E541" t="s">
        <v>1598</v>
      </c>
      <c r="F541" t="s">
        <v>2637</v>
      </c>
      <c r="G541">
        <v>46.864199999999997</v>
      </c>
      <c r="H541">
        <v>3.1636099999999998</v>
      </c>
      <c r="I541" t="s">
        <v>2074</v>
      </c>
      <c r="J541" t="s">
        <v>877</v>
      </c>
      <c r="K541" t="s">
        <v>1557</v>
      </c>
      <c r="L541" t="s">
        <v>1558</v>
      </c>
      <c r="M541" t="s">
        <v>755</v>
      </c>
    </row>
    <row r="542" spans="1:13">
      <c r="A542">
        <v>1993</v>
      </c>
      <c r="B542">
        <v>9</v>
      </c>
      <c r="C542" t="s">
        <v>851</v>
      </c>
      <c r="D542" s="82">
        <v>34161</v>
      </c>
      <c r="E542" t="s">
        <v>1599</v>
      </c>
      <c r="F542" t="s">
        <v>2638</v>
      </c>
      <c r="G542">
        <v>52.078600000000002</v>
      </c>
      <c r="H542">
        <v>-1.01694</v>
      </c>
      <c r="I542" t="s">
        <v>2020</v>
      </c>
      <c r="J542" t="s">
        <v>850</v>
      </c>
      <c r="K542" t="s">
        <v>852</v>
      </c>
      <c r="L542" t="s">
        <v>853</v>
      </c>
      <c r="M542" t="s">
        <v>854</v>
      </c>
    </row>
    <row r="543" spans="1:13">
      <c r="A543">
        <v>1993</v>
      </c>
      <c r="B543">
        <v>10</v>
      </c>
      <c r="C543" t="s">
        <v>1162</v>
      </c>
      <c r="D543" s="82">
        <v>34175</v>
      </c>
      <c r="E543" t="s">
        <v>1600</v>
      </c>
      <c r="F543" t="s">
        <v>2639</v>
      </c>
      <c r="G543">
        <v>49.327800000000003</v>
      </c>
      <c r="H543">
        <v>8.5658300000000001</v>
      </c>
      <c r="I543" t="s">
        <v>2052</v>
      </c>
      <c r="J543" t="s">
        <v>893</v>
      </c>
      <c r="K543" t="s">
        <v>1163</v>
      </c>
      <c r="L543" t="s">
        <v>1164</v>
      </c>
      <c r="M543" t="s">
        <v>761</v>
      </c>
    </row>
    <row r="544" spans="1:13">
      <c r="A544">
        <v>1993</v>
      </c>
      <c r="B544">
        <v>11</v>
      </c>
      <c r="C544" t="s">
        <v>1470</v>
      </c>
      <c r="D544" s="82">
        <v>34196</v>
      </c>
      <c r="E544" t="s">
        <v>1601</v>
      </c>
      <c r="F544" t="s">
        <v>2640</v>
      </c>
      <c r="G544">
        <v>47.578899999999997</v>
      </c>
      <c r="H544">
        <v>19.2486</v>
      </c>
      <c r="I544" t="s">
        <v>2071</v>
      </c>
      <c r="J544" t="s">
        <v>1469</v>
      </c>
      <c r="K544" t="s">
        <v>1471</v>
      </c>
      <c r="L544" t="s">
        <v>1472</v>
      </c>
      <c r="M544" t="s">
        <v>1473</v>
      </c>
    </row>
    <row r="545" spans="1:13">
      <c r="A545">
        <v>1993</v>
      </c>
      <c r="B545">
        <v>12</v>
      </c>
      <c r="C545" t="s">
        <v>873</v>
      </c>
      <c r="D545" s="82">
        <v>34210</v>
      </c>
      <c r="E545" t="s">
        <v>1602</v>
      </c>
      <c r="F545" t="s">
        <v>2641</v>
      </c>
      <c r="G545">
        <v>50.437199999999997</v>
      </c>
      <c r="H545">
        <v>5.9713900000000004</v>
      </c>
      <c r="I545" t="s">
        <v>2024</v>
      </c>
      <c r="J545" t="s">
        <v>872</v>
      </c>
      <c r="K545" t="s">
        <v>874</v>
      </c>
      <c r="L545" t="s">
        <v>875</v>
      </c>
      <c r="M545" t="s">
        <v>244</v>
      </c>
    </row>
    <row r="546" spans="1:13">
      <c r="A546">
        <v>1993</v>
      </c>
      <c r="B546">
        <v>13</v>
      </c>
      <c r="C546" t="s">
        <v>883</v>
      </c>
      <c r="D546" s="82">
        <v>34224</v>
      </c>
      <c r="E546" t="s">
        <v>1603</v>
      </c>
      <c r="F546" t="s">
        <v>2642</v>
      </c>
      <c r="G546">
        <v>45.615600000000001</v>
      </c>
      <c r="H546">
        <v>9.28111</v>
      </c>
      <c r="I546" t="s">
        <v>2026</v>
      </c>
      <c r="J546" t="s">
        <v>882</v>
      </c>
      <c r="K546" t="s">
        <v>884</v>
      </c>
      <c r="L546" t="s">
        <v>885</v>
      </c>
      <c r="M546" t="s">
        <v>886</v>
      </c>
    </row>
    <row r="547" spans="1:13">
      <c r="A547">
        <v>1993</v>
      </c>
      <c r="B547">
        <v>14</v>
      </c>
      <c r="C547" t="s">
        <v>1431</v>
      </c>
      <c r="D547" s="82">
        <v>34238</v>
      </c>
      <c r="E547" t="s">
        <v>1604</v>
      </c>
      <c r="F547" t="s">
        <v>2643</v>
      </c>
      <c r="G547">
        <v>38.750599999999999</v>
      </c>
      <c r="H547">
        <v>-9.3941700000000008</v>
      </c>
      <c r="I547" t="s">
        <v>2068</v>
      </c>
      <c r="J547" t="s">
        <v>980</v>
      </c>
      <c r="K547" t="s">
        <v>1432</v>
      </c>
      <c r="L547" t="s">
        <v>1433</v>
      </c>
      <c r="M547" t="s">
        <v>984</v>
      </c>
    </row>
    <row r="548" spans="1:13">
      <c r="A548">
        <v>1993</v>
      </c>
      <c r="B548">
        <v>15</v>
      </c>
      <c r="C548" t="s">
        <v>1494</v>
      </c>
      <c r="D548" s="82">
        <v>34266</v>
      </c>
      <c r="E548" t="s">
        <v>1605</v>
      </c>
      <c r="F548" t="s">
        <v>2644</v>
      </c>
      <c r="G548">
        <v>34.8431</v>
      </c>
      <c r="H548">
        <v>136.541</v>
      </c>
      <c r="I548" t="s">
        <v>2072</v>
      </c>
      <c r="J548" t="s">
        <v>1280</v>
      </c>
      <c r="K548" t="s">
        <v>1495</v>
      </c>
      <c r="L548" t="s">
        <v>1496</v>
      </c>
      <c r="M548" t="s">
        <v>375</v>
      </c>
    </row>
    <row r="549" spans="1:13">
      <c r="A549">
        <v>1993</v>
      </c>
      <c r="B549">
        <v>16</v>
      </c>
      <c r="C549" t="s">
        <v>1451</v>
      </c>
      <c r="D549" s="82">
        <v>34280</v>
      </c>
      <c r="E549" t="s">
        <v>1606</v>
      </c>
      <c r="F549" t="s">
        <v>2645</v>
      </c>
      <c r="G549">
        <v>-34.927199999999999</v>
      </c>
      <c r="H549">
        <v>138.61699999999999</v>
      </c>
      <c r="I549" t="s">
        <v>2069</v>
      </c>
      <c r="J549" t="s">
        <v>1450</v>
      </c>
      <c r="K549" t="s">
        <v>1452</v>
      </c>
      <c r="L549" t="s">
        <v>1453</v>
      </c>
      <c r="M549" t="s">
        <v>1454</v>
      </c>
    </row>
    <row r="550" spans="1:13">
      <c r="A550">
        <v>1994</v>
      </c>
      <c r="B550">
        <v>1</v>
      </c>
      <c r="C550" t="s">
        <v>1204</v>
      </c>
      <c r="D550" s="82">
        <v>34420</v>
      </c>
      <c r="E550" t="s">
        <v>1607</v>
      </c>
      <c r="F550" t="s">
        <v>2646</v>
      </c>
      <c r="G550">
        <v>-23.703600000000002</v>
      </c>
      <c r="H550">
        <v>-46.6997</v>
      </c>
      <c r="I550" t="s">
        <v>2056</v>
      </c>
      <c r="J550" t="s">
        <v>1203</v>
      </c>
      <c r="K550" t="s">
        <v>1205</v>
      </c>
      <c r="L550" t="s">
        <v>1206</v>
      </c>
      <c r="M550" t="s">
        <v>1207</v>
      </c>
    </row>
    <row r="551" spans="1:13">
      <c r="A551">
        <v>1994</v>
      </c>
      <c r="B551">
        <v>2</v>
      </c>
      <c r="C551" t="s">
        <v>1609</v>
      </c>
      <c r="D551" s="82">
        <v>34441</v>
      </c>
      <c r="E551" t="s">
        <v>1612</v>
      </c>
      <c r="F551" t="s">
        <v>2647</v>
      </c>
      <c r="G551">
        <v>34.914999999999999</v>
      </c>
      <c r="H551">
        <v>134.221</v>
      </c>
      <c r="I551" t="s">
        <v>2077</v>
      </c>
      <c r="J551" t="s">
        <v>1608</v>
      </c>
      <c r="K551" t="s">
        <v>1610</v>
      </c>
      <c r="L551" t="s">
        <v>1611</v>
      </c>
      <c r="M551" t="s">
        <v>375</v>
      </c>
    </row>
    <row r="552" spans="1:13">
      <c r="A552">
        <v>1994</v>
      </c>
      <c r="B552">
        <v>3</v>
      </c>
      <c r="C552" t="s">
        <v>1350</v>
      </c>
      <c r="D552" s="82">
        <v>34455</v>
      </c>
      <c r="E552" t="s">
        <v>1613</v>
      </c>
      <c r="F552" t="s">
        <v>2648</v>
      </c>
      <c r="G552">
        <v>44.343899999999998</v>
      </c>
      <c r="H552">
        <v>11.716699999999999</v>
      </c>
      <c r="I552" t="s">
        <v>2064</v>
      </c>
      <c r="J552" t="s">
        <v>882</v>
      </c>
      <c r="K552" t="s">
        <v>1351</v>
      </c>
      <c r="L552" t="s">
        <v>1352</v>
      </c>
      <c r="M552" t="s">
        <v>886</v>
      </c>
    </row>
    <row r="553" spans="1:13">
      <c r="A553">
        <v>1994</v>
      </c>
      <c r="B553">
        <v>4</v>
      </c>
      <c r="C553" t="s">
        <v>857</v>
      </c>
      <c r="D553" s="82">
        <v>34469</v>
      </c>
      <c r="E553" t="s">
        <v>1614</v>
      </c>
      <c r="F553" t="s">
        <v>2649</v>
      </c>
      <c r="G553">
        <v>43.734699999999997</v>
      </c>
      <c r="H553">
        <v>7.42056</v>
      </c>
      <c r="I553" t="s">
        <v>2021</v>
      </c>
      <c r="J553" t="s">
        <v>856</v>
      </c>
      <c r="K553" t="s">
        <v>858</v>
      </c>
      <c r="L553" t="s">
        <v>859</v>
      </c>
      <c r="M553" t="s">
        <v>860</v>
      </c>
    </row>
    <row r="554" spans="1:13">
      <c r="A554">
        <v>1994</v>
      </c>
      <c r="B554">
        <v>5</v>
      </c>
      <c r="C554" t="s">
        <v>1566</v>
      </c>
      <c r="D554" s="82">
        <v>34483</v>
      </c>
      <c r="E554" t="s">
        <v>1615</v>
      </c>
      <c r="F554" t="s">
        <v>2650</v>
      </c>
      <c r="G554">
        <v>41.57</v>
      </c>
      <c r="H554">
        <v>2.26111</v>
      </c>
      <c r="I554" t="s">
        <v>2075</v>
      </c>
      <c r="J554" t="s">
        <v>899</v>
      </c>
      <c r="K554" t="s">
        <v>1567</v>
      </c>
      <c r="L554" t="s">
        <v>1568</v>
      </c>
      <c r="M554" t="s">
        <v>903</v>
      </c>
    </row>
    <row r="555" spans="1:13">
      <c r="A555">
        <v>1994</v>
      </c>
      <c r="B555">
        <v>6</v>
      </c>
      <c r="C555" t="s">
        <v>1320</v>
      </c>
      <c r="D555" s="82">
        <v>34497</v>
      </c>
      <c r="E555" t="s">
        <v>1616</v>
      </c>
      <c r="F555" t="s">
        <v>2651</v>
      </c>
      <c r="G555">
        <v>45.5</v>
      </c>
      <c r="H555">
        <v>-73.522800000000004</v>
      </c>
      <c r="I555" t="s">
        <v>2063</v>
      </c>
      <c r="J555" t="s">
        <v>1115</v>
      </c>
      <c r="K555" t="s">
        <v>1321</v>
      </c>
      <c r="L555" t="s">
        <v>1322</v>
      </c>
      <c r="M555" t="s">
        <v>1119</v>
      </c>
    </row>
    <row r="556" spans="1:13">
      <c r="A556">
        <v>1994</v>
      </c>
      <c r="B556">
        <v>7</v>
      </c>
      <c r="C556" t="s">
        <v>1556</v>
      </c>
      <c r="D556" s="82">
        <v>34518</v>
      </c>
      <c r="E556" t="s">
        <v>1617</v>
      </c>
      <c r="F556" t="s">
        <v>2652</v>
      </c>
      <c r="G556">
        <v>46.864199999999997</v>
      </c>
      <c r="H556">
        <v>3.1636099999999998</v>
      </c>
      <c r="I556" t="s">
        <v>2074</v>
      </c>
      <c r="J556" t="s">
        <v>877</v>
      </c>
      <c r="K556" t="s">
        <v>1557</v>
      </c>
      <c r="L556" t="s">
        <v>1558</v>
      </c>
      <c r="M556" t="s">
        <v>755</v>
      </c>
    </row>
    <row r="557" spans="1:13">
      <c r="A557">
        <v>1994</v>
      </c>
      <c r="B557">
        <v>8</v>
      </c>
      <c r="C557" t="s">
        <v>851</v>
      </c>
      <c r="D557" s="82">
        <v>34525</v>
      </c>
      <c r="E557" t="s">
        <v>1618</v>
      </c>
      <c r="F557" t="s">
        <v>2653</v>
      </c>
      <c r="G557">
        <v>52.078600000000002</v>
      </c>
      <c r="H557">
        <v>-1.01694</v>
      </c>
      <c r="I557" t="s">
        <v>2020</v>
      </c>
      <c r="J557" t="s">
        <v>850</v>
      </c>
      <c r="K557" t="s">
        <v>852</v>
      </c>
      <c r="L557" t="s">
        <v>853</v>
      </c>
      <c r="M557" t="s">
        <v>854</v>
      </c>
    </row>
    <row r="558" spans="1:13">
      <c r="A558">
        <v>1994</v>
      </c>
      <c r="B558">
        <v>9</v>
      </c>
      <c r="C558" t="s">
        <v>1162</v>
      </c>
      <c r="D558" s="82">
        <v>34546</v>
      </c>
      <c r="E558" t="s">
        <v>1619</v>
      </c>
      <c r="F558" t="s">
        <v>2654</v>
      </c>
      <c r="G558">
        <v>49.327800000000003</v>
      </c>
      <c r="H558">
        <v>8.5658300000000001</v>
      </c>
      <c r="I558" t="s">
        <v>2052</v>
      </c>
      <c r="J558" t="s">
        <v>893</v>
      </c>
      <c r="K558" t="s">
        <v>1163</v>
      </c>
      <c r="L558" t="s">
        <v>1164</v>
      </c>
      <c r="M558" t="s">
        <v>761</v>
      </c>
    </row>
    <row r="559" spans="1:13">
      <c r="A559">
        <v>1994</v>
      </c>
      <c r="B559">
        <v>10</v>
      </c>
      <c r="C559" t="s">
        <v>1470</v>
      </c>
      <c r="D559" s="82">
        <v>34560</v>
      </c>
      <c r="E559" t="s">
        <v>1620</v>
      </c>
      <c r="F559" t="s">
        <v>2655</v>
      </c>
      <c r="G559">
        <v>47.578899999999997</v>
      </c>
      <c r="H559">
        <v>19.2486</v>
      </c>
      <c r="I559" t="s">
        <v>2071</v>
      </c>
      <c r="J559" t="s">
        <v>1469</v>
      </c>
      <c r="K559" t="s">
        <v>1471</v>
      </c>
      <c r="L559" t="s">
        <v>1472</v>
      </c>
      <c r="M559" t="s">
        <v>1473</v>
      </c>
    </row>
    <row r="560" spans="1:13">
      <c r="A560">
        <v>1994</v>
      </c>
      <c r="B560">
        <v>11</v>
      </c>
      <c r="C560" t="s">
        <v>873</v>
      </c>
      <c r="D560" s="82">
        <v>34574</v>
      </c>
      <c r="E560" t="s">
        <v>1621</v>
      </c>
      <c r="F560" t="s">
        <v>2656</v>
      </c>
      <c r="G560">
        <v>50.437199999999997</v>
      </c>
      <c r="H560">
        <v>5.9713900000000004</v>
      </c>
      <c r="I560" t="s">
        <v>2024</v>
      </c>
      <c r="J560" t="s">
        <v>872</v>
      </c>
      <c r="K560" t="s">
        <v>874</v>
      </c>
      <c r="L560" t="s">
        <v>875</v>
      </c>
      <c r="M560" t="s">
        <v>244</v>
      </c>
    </row>
    <row r="561" spans="1:13">
      <c r="A561">
        <v>1994</v>
      </c>
      <c r="B561">
        <v>12</v>
      </c>
      <c r="C561" t="s">
        <v>883</v>
      </c>
      <c r="D561" s="82">
        <v>34588</v>
      </c>
      <c r="E561" t="s">
        <v>1622</v>
      </c>
      <c r="F561" t="s">
        <v>2657</v>
      </c>
      <c r="G561">
        <v>45.615600000000001</v>
      </c>
      <c r="H561">
        <v>9.28111</v>
      </c>
      <c r="I561" t="s">
        <v>2026</v>
      </c>
      <c r="J561" t="s">
        <v>882</v>
      </c>
      <c r="K561" t="s">
        <v>884</v>
      </c>
      <c r="L561" t="s">
        <v>885</v>
      </c>
      <c r="M561" t="s">
        <v>886</v>
      </c>
    </row>
    <row r="562" spans="1:13">
      <c r="A562">
        <v>1994</v>
      </c>
      <c r="B562">
        <v>13</v>
      </c>
      <c r="C562" t="s">
        <v>1431</v>
      </c>
      <c r="D562" s="82">
        <v>34602</v>
      </c>
      <c r="E562" t="s">
        <v>1623</v>
      </c>
      <c r="F562" t="s">
        <v>2658</v>
      </c>
      <c r="G562">
        <v>38.750599999999999</v>
      </c>
      <c r="H562">
        <v>-9.3941700000000008</v>
      </c>
      <c r="I562" t="s">
        <v>2068</v>
      </c>
      <c r="J562" t="s">
        <v>980</v>
      </c>
      <c r="K562" t="s">
        <v>1432</v>
      </c>
      <c r="L562" t="s">
        <v>1433</v>
      </c>
      <c r="M562" t="s">
        <v>984</v>
      </c>
    </row>
    <row r="563" spans="1:13">
      <c r="A563">
        <v>1994</v>
      </c>
      <c r="B563">
        <v>14</v>
      </c>
      <c r="C563" t="s">
        <v>1457</v>
      </c>
      <c r="D563" s="82">
        <v>34623</v>
      </c>
      <c r="E563" t="s">
        <v>1624</v>
      </c>
      <c r="F563" t="s">
        <v>2659</v>
      </c>
      <c r="G563">
        <v>36.708300000000001</v>
      </c>
      <c r="H563">
        <v>-6.0341699999999996</v>
      </c>
      <c r="I563" t="s">
        <v>2070</v>
      </c>
      <c r="J563" t="s">
        <v>899</v>
      </c>
      <c r="K563" t="s">
        <v>1458</v>
      </c>
      <c r="L563" t="s">
        <v>1459</v>
      </c>
      <c r="M563" t="s">
        <v>903</v>
      </c>
    </row>
    <row r="564" spans="1:13">
      <c r="A564">
        <v>1994</v>
      </c>
      <c r="B564">
        <v>15</v>
      </c>
      <c r="C564" t="s">
        <v>1494</v>
      </c>
      <c r="D564" s="82">
        <v>34644</v>
      </c>
      <c r="E564" t="s">
        <v>1625</v>
      </c>
      <c r="F564" t="s">
        <v>2660</v>
      </c>
      <c r="G564">
        <v>34.8431</v>
      </c>
      <c r="H564">
        <v>136.541</v>
      </c>
      <c r="I564" t="s">
        <v>2072</v>
      </c>
      <c r="J564" t="s">
        <v>1280</v>
      </c>
      <c r="K564" t="s">
        <v>1495</v>
      </c>
      <c r="L564" t="s">
        <v>1496</v>
      </c>
      <c r="M564" t="s">
        <v>375</v>
      </c>
    </row>
    <row r="565" spans="1:13">
      <c r="A565">
        <v>1994</v>
      </c>
      <c r="B565">
        <v>16</v>
      </c>
      <c r="C565" t="s">
        <v>1451</v>
      </c>
      <c r="D565" s="82">
        <v>34651</v>
      </c>
      <c r="E565" t="s">
        <v>1626</v>
      </c>
      <c r="F565" t="s">
        <v>2661</v>
      </c>
      <c r="G565">
        <v>-34.927199999999999</v>
      </c>
      <c r="H565">
        <v>138.61699999999999</v>
      </c>
      <c r="I565" t="s">
        <v>2069</v>
      </c>
      <c r="J565" t="s">
        <v>1450</v>
      </c>
      <c r="K565" t="s">
        <v>1452</v>
      </c>
      <c r="L565" t="s">
        <v>1453</v>
      </c>
      <c r="M565" t="s">
        <v>1454</v>
      </c>
    </row>
    <row r="566" spans="1:13">
      <c r="A566">
        <v>1995</v>
      </c>
      <c r="B566">
        <v>1</v>
      </c>
      <c r="C566" t="s">
        <v>1204</v>
      </c>
      <c r="D566" s="82">
        <v>34784</v>
      </c>
      <c r="E566" t="s">
        <v>1627</v>
      </c>
      <c r="F566" t="s">
        <v>2662</v>
      </c>
      <c r="G566">
        <v>-23.703600000000002</v>
      </c>
      <c r="H566">
        <v>-46.6997</v>
      </c>
      <c r="I566" t="s">
        <v>2056</v>
      </c>
      <c r="J566" t="s">
        <v>1203</v>
      </c>
      <c r="K566" t="s">
        <v>1205</v>
      </c>
      <c r="L566" t="s">
        <v>1206</v>
      </c>
      <c r="M566" t="s">
        <v>1207</v>
      </c>
    </row>
    <row r="567" spans="1:13">
      <c r="A567">
        <v>1995</v>
      </c>
      <c r="B567">
        <v>2</v>
      </c>
      <c r="C567" t="s">
        <v>922</v>
      </c>
      <c r="D567" s="82">
        <v>34798</v>
      </c>
      <c r="E567" t="s">
        <v>1628</v>
      </c>
      <c r="F567" t="s">
        <v>2663</v>
      </c>
      <c r="G567">
        <v>-34.694299999999998</v>
      </c>
      <c r="H567">
        <v>-58.459299999999999</v>
      </c>
      <c r="I567" t="s">
        <v>2031</v>
      </c>
      <c r="J567" t="s">
        <v>921</v>
      </c>
      <c r="K567" t="s">
        <v>923</v>
      </c>
      <c r="L567" t="s">
        <v>253</v>
      </c>
      <c r="M567" t="s">
        <v>252</v>
      </c>
    </row>
    <row r="568" spans="1:13">
      <c r="A568">
        <v>1995</v>
      </c>
      <c r="B568">
        <v>3</v>
      </c>
      <c r="C568" t="s">
        <v>1350</v>
      </c>
      <c r="D568" s="82">
        <v>34819</v>
      </c>
      <c r="E568" t="s">
        <v>1629</v>
      </c>
      <c r="F568" t="s">
        <v>2664</v>
      </c>
      <c r="G568">
        <v>44.343899999999998</v>
      </c>
      <c r="H568">
        <v>11.716699999999999</v>
      </c>
      <c r="I568" t="s">
        <v>2064</v>
      </c>
      <c r="J568" t="s">
        <v>882</v>
      </c>
      <c r="K568" t="s">
        <v>1351</v>
      </c>
      <c r="L568" t="s">
        <v>1352</v>
      </c>
      <c r="M568" t="s">
        <v>886</v>
      </c>
    </row>
    <row r="569" spans="1:13">
      <c r="A569">
        <v>1995</v>
      </c>
      <c r="B569">
        <v>4</v>
      </c>
      <c r="C569" t="s">
        <v>1566</v>
      </c>
      <c r="D569" s="82">
        <v>34833</v>
      </c>
      <c r="E569" t="s">
        <v>1630</v>
      </c>
      <c r="F569" t="s">
        <v>2665</v>
      </c>
      <c r="G569">
        <v>41.57</v>
      </c>
      <c r="H569">
        <v>2.26111</v>
      </c>
      <c r="I569" t="s">
        <v>2075</v>
      </c>
      <c r="J569" t="s">
        <v>899</v>
      </c>
      <c r="K569" t="s">
        <v>1567</v>
      </c>
      <c r="L569" t="s">
        <v>1568</v>
      </c>
      <c r="M569" t="s">
        <v>903</v>
      </c>
    </row>
    <row r="570" spans="1:13">
      <c r="A570">
        <v>1995</v>
      </c>
      <c r="B570">
        <v>5</v>
      </c>
      <c r="C570" t="s">
        <v>857</v>
      </c>
      <c r="D570" s="82">
        <v>34847</v>
      </c>
      <c r="E570" t="s">
        <v>1631</v>
      </c>
      <c r="F570" t="s">
        <v>2666</v>
      </c>
      <c r="G570">
        <v>43.734699999999997</v>
      </c>
      <c r="H570">
        <v>7.42056</v>
      </c>
      <c r="I570" t="s">
        <v>2021</v>
      </c>
      <c r="J570" t="s">
        <v>856</v>
      </c>
      <c r="K570" t="s">
        <v>858</v>
      </c>
      <c r="L570" t="s">
        <v>859</v>
      </c>
      <c r="M570" t="s">
        <v>860</v>
      </c>
    </row>
    <row r="571" spans="1:13">
      <c r="A571">
        <v>1995</v>
      </c>
      <c r="B571">
        <v>6</v>
      </c>
      <c r="C571" t="s">
        <v>1320</v>
      </c>
      <c r="D571" s="82">
        <v>34861</v>
      </c>
      <c r="E571" t="s">
        <v>1632</v>
      </c>
      <c r="F571" t="s">
        <v>2667</v>
      </c>
      <c r="G571">
        <v>45.5</v>
      </c>
      <c r="H571">
        <v>-73.522800000000004</v>
      </c>
      <c r="I571" t="s">
        <v>2063</v>
      </c>
      <c r="J571" t="s">
        <v>1115</v>
      </c>
      <c r="K571" t="s">
        <v>1321</v>
      </c>
      <c r="L571" t="s">
        <v>1322</v>
      </c>
      <c r="M571" t="s">
        <v>1119</v>
      </c>
    </row>
    <row r="572" spans="1:13">
      <c r="A572">
        <v>1995</v>
      </c>
      <c r="B572">
        <v>7</v>
      </c>
      <c r="C572" t="s">
        <v>1556</v>
      </c>
      <c r="D572" s="82">
        <v>34882</v>
      </c>
      <c r="E572" t="s">
        <v>1633</v>
      </c>
      <c r="F572" t="s">
        <v>2668</v>
      </c>
      <c r="G572">
        <v>46.864199999999997</v>
      </c>
      <c r="H572">
        <v>3.1636099999999998</v>
      </c>
      <c r="I572" t="s">
        <v>2074</v>
      </c>
      <c r="J572" t="s">
        <v>877</v>
      </c>
      <c r="K572" t="s">
        <v>1557</v>
      </c>
      <c r="L572" t="s">
        <v>1558</v>
      </c>
      <c r="M572" t="s">
        <v>755</v>
      </c>
    </row>
    <row r="573" spans="1:13">
      <c r="A573">
        <v>1995</v>
      </c>
      <c r="B573">
        <v>8</v>
      </c>
      <c r="C573" t="s">
        <v>851</v>
      </c>
      <c r="D573" s="82">
        <v>34896</v>
      </c>
      <c r="E573" t="s">
        <v>1634</v>
      </c>
      <c r="F573" t="s">
        <v>2669</v>
      </c>
      <c r="G573">
        <v>52.078600000000002</v>
      </c>
      <c r="H573">
        <v>-1.01694</v>
      </c>
      <c r="I573" t="s">
        <v>2020</v>
      </c>
      <c r="J573" t="s">
        <v>850</v>
      </c>
      <c r="K573" t="s">
        <v>852</v>
      </c>
      <c r="L573" t="s">
        <v>853</v>
      </c>
      <c r="M573" t="s">
        <v>854</v>
      </c>
    </row>
    <row r="574" spans="1:13">
      <c r="A574">
        <v>1995</v>
      </c>
      <c r="B574">
        <v>9</v>
      </c>
      <c r="C574" t="s">
        <v>1162</v>
      </c>
      <c r="D574" s="82">
        <v>34910</v>
      </c>
      <c r="E574" t="s">
        <v>1635</v>
      </c>
      <c r="F574" t="s">
        <v>2670</v>
      </c>
      <c r="G574">
        <v>49.327800000000003</v>
      </c>
      <c r="H574">
        <v>8.5658300000000001</v>
      </c>
      <c r="I574" t="s">
        <v>2052</v>
      </c>
      <c r="J574" t="s">
        <v>893</v>
      </c>
      <c r="K574" t="s">
        <v>1163</v>
      </c>
      <c r="L574" t="s">
        <v>1164</v>
      </c>
      <c r="M574" t="s">
        <v>761</v>
      </c>
    </row>
    <row r="575" spans="1:13">
      <c r="A575">
        <v>1995</v>
      </c>
      <c r="B575">
        <v>10</v>
      </c>
      <c r="C575" t="s">
        <v>1470</v>
      </c>
      <c r="D575" s="82">
        <v>34924</v>
      </c>
      <c r="E575" t="s">
        <v>1636</v>
      </c>
      <c r="F575" t="s">
        <v>2671</v>
      </c>
      <c r="G575">
        <v>47.578899999999997</v>
      </c>
      <c r="H575">
        <v>19.2486</v>
      </c>
      <c r="I575" t="s">
        <v>2071</v>
      </c>
      <c r="J575" t="s">
        <v>1469</v>
      </c>
      <c r="K575" t="s">
        <v>1471</v>
      </c>
      <c r="L575" t="s">
        <v>1472</v>
      </c>
      <c r="M575" t="s">
        <v>1473</v>
      </c>
    </row>
    <row r="576" spans="1:13">
      <c r="A576">
        <v>1995</v>
      </c>
      <c r="B576">
        <v>11</v>
      </c>
      <c r="C576" t="s">
        <v>873</v>
      </c>
      <c r="D576" s="82">
        <v>34938</v>
      </c>
      <c r="E576" t="s">
        <v>1637</v>
      </c>
      <c r="F576" t="s">
        <v>2672</v>
      </c>
      <c r="G576">
        <v>50.437199999999997</v>
      </c>
      <c r="H576">
        <v>5.9713900000000004</v>
      </c>
      <c r="I576" t="s">
        <v>2024</v>
      </c>
      <c r="J576" t="s">
        <v>872</v>
      </c>
      <c r="K576" t="s">
        <v>874</v>
      </c>
      <c r="L576" t="s">
        <v>875</v>
      </c>
      <c r="M576" t="s">
        <v>244</v>
      </c>
    </row>
    <row r="577" spans="1:13">
      <c r="A577">
        <v>1995</v>
      </c>
      <c r="B577">
        <v>12</v>
      </c>
      <c r="C577" t="s">
        <v>883</v>
      </c>
      <c r="D577" s="82">
        <v>34952</v>
      </c>
      <c r="E577" t="s">
        <v>1638</v>
      </c>
      <c r="F577" t="s">
        <v>2673</v>
      </c>
      <c r="G577">
        <v>45.615600000000001</v>
      </c>
      <c r="H577">
        <v>9.28111</v>
      </c>
      <c r="I577" t="s">
        <v>2026</v>
      </c>
      <c r="J577" t="s">
        <v>882</v>
      </c>
      <c r="K577" t="s">
        <v>884</v>
      </c>
      <c r="L577" t="s">
        <v>885</v>
      </c>
      <c r="M577" t="s">
        <v>886</v>
      </c>
    </row>
    <row r="578" spans="1:13">
      <c r="A578">
        <v>1995</v>
      </c>
      <c r="B578">
        <v>13</v>
      </c>
      <c r="C578" t="s">
        <v>1431</v>
      </c>
      <c r="D578" s="82">
        <v>34966</v>
      </c>
      <c r="E578" t="s">
        <v>1639</v>
      </c>
      <c r="F578" t="s">
        <v>2674</v>
      </c>
      <c r="G578">
        <v>38.750599999999999</v>
      </c>
      <c r="H578">
        <v>-9.3941700000000008</v>
      </c>
      <c r="I578" t="s">
        <v>2068</v>
      </c>
      <c r="J578" t="s">
        <v>980</v>
      </c>
      <c r="K578" t="s">
        <v>1432</v>
      </c>
      <c r="L578" t="s">
        <v>1433</v>
      </c>
      <c r="M578" t="s">
        <v>984</v>
      </c>
    </row>
    <row r="579" spans="1:13">
      <c r="A579">
        <v>1995</v>
      </c>
      <c r="B579">
        <v>14</v>
      </c>
      <c r="C579" t="s">
        <v>894</v>
      </c>
      <c r="D579" s="82">
        <v>34973</v>
      </c>
      <c r="E579" t="s">
        <v>1640</v>
      </c>
      <c r="F579" t="s">
        <v>2675</v>
      </c>
      <c r="G579">
        <v>50.335599999999999</v>
      </c>
      <c r="H579">
        <v>6.9474999999999998</v>
      </c>
      <c r="I579" t="s">
        <v>2027</v>
      </c>
      <c r="J579" t="s">
        <v>893</v>
      </c>
      <c r="K579" t="s">
        <v>895</v>
      </c>
      <c r="L579" t="s">
        <v>896</v>
      </c>
      <c r="M579" t="s">
        <v>761</v>
      </c>
    </row>
    <row r="580" spans="1:13">
      <c r="A580">
        <v>1995</v>
      </c>
      <c r="B580">
        <v>15</v>
      </c>
      <c r="C580" t="s">
        <v>1609</v>
      </c>
      <c r="D580" s="82">
        <v>34994</v>
      </c>
      <c r="E580" t="s">
        <v>1641</v>
      </c>
      <c r="F580" t="s">
        <v>2676</v>
      </c>
      <c r="G580">
        <v>34.914999999999999</v>
      </c>
      <c r="H580">
        <v>134.221</v>
      </c>
      <c r="I580" t="s">
        <v>2077</v>
      </c>
      <c r="J580" t="s">
        <v>1608</v>
      </c>
      <c r="K580" t="s">
        <v>1610</v>
      </c>
      <c r="L580" t="s">
        <v>1611</v>
      </c>
      <c r="M580" t="s">
        <v>375</v>
      </c>
    </row>
    <row r="581" spans="1:13">
      <c r="A581">
        <v>1995</v>
      </c>
      <c r="B581">
        <v>16</v>
      </c>
      <c r="C581" t="s">
        <v>1494</v>
      </c>
      <c r="D581" s="82">
        <v>35001</v>
      </c>
      <c r="E581" t="s">
        <v>1642</v>
      </c>
      <c r="F581" t="s">
        <v>2677</v>
      </c>
      <c r="G581">
        <v>34.8431</v>
      </c>
      <c r="H581">
        <v>136.541</v>
      </c>
      <c r="I581" t="s">
        <v>2072</v>
      </c>
      <c r="J581" t="s">
        <v>1280</v>
      </c>
      <c r="K581" t="s">
        <v>1495</v>
      </c>
      <c r="L581" t="s">
        <v>1496</v>
      </c>
      <c r="M581" t="s">
        <v>375</v>
      </c>
    </row>
    <row r="582" spans="1:13">
      <c r="A582">
        <v>1995</v>
      </c>
      <c r="B582">
        <v>17</v>
      </c>
      <c r="C582" t="s">
        <v>1451</v>
      </c>
      <c r="D582" s="82">
        <v>35015</v>
      </c>
      <c r="E582" t="s">
        <v>1643</v>
      </c>
      <c r="F582" t="s">
        <v>2678</v>
      </c>
      <c r="G582">
        <v>-34.927199999999999</v>
      </c>
      <c r="H582">
        <v>138.61699999999999</v>
      </c>
      <c r="I582" t="s">
        <v>2069</v>
      </c>
      <c r="J582" t="s">
        <v>1450</v>
      </c>
      <c r="K582" t="s">
        <v>1452</v>
      </c>
      <c r="L582" t="s">
        <v>1453</v>
      </c>
      <c r="M582" t="s">
        <v>1454</v>
      </c>
    </row>
    <row r="583" spans="1:13">
      <c r="A583">
        <v>1996</v>
      </c>
      <c r="B583">
        <v>1</v>
      </c>
      <c r="C583" t="s">
        <v>1644</v>
      </c>
      <c r="D583" s="82">
        <v>35134</v>
      </c>
      <c r="E583" t="s">
        <v>1647</v>
      </c>
      <c r="F583" t="s">
        <v>2679</v>
      </c>
      <c r="G583">
        <v>-37.849699999999999</v>
      </c>
      <c r="H583">
        <v>144.96799999999999</v>
      </c>
      <c r="I583" t="s">
        <v>2078</v>
      </c>
      <c r="J583" t="s">
        <v>1450</v>
      </c>
      <c r="K583" t="s">
        <v>1645</v>
      </c>
      <c r="L583" t="s">
        <v>1646</v>
      </c>
      <c r="M583" t="s">
        <v>1454</v>
      </c>
    </row>
    <row r="584" spans="1:13">
      <c r="A584">
        <v>1996</v>
      </c>
      <c r="B584">
        <v>2</v>
      </c>
      <c r="C584" t="s">
        <v>1204</v>
      </c>
      <c r="D584" s="82">
        <v>35155</v>
      </c>
      <c r="E584" t="s">
        <v>1648</v>
      </c>
      <c r="F584" t="s">
        <v>2680</v>
      </c>
      <c r="G584">
        <v>-23.703600000000002</v>
      </c>
      <c r="H584">
        <v>-46.6997</v>
      </c>
      <c r="I584" t="s">
        <v>2056</v>
      </c>
      <c r="J584" t="s">
        <v>1203</v>
      </c>
      <c r="K584" t="s">
        <v>1205</v>
      </c>
      <c r="L584" t="s">
        <v>1206</v>
      </c>
      <c r="M584" t="s">
        <v>1207</v>
      </c>
    </row>
    <row r="585" spans="1:13">
      <c r="A585">
        <v>1996</v>
      </c>
      <c r="B585">
        <v>3</v>
      </c>
      <c r="C585" t="s">
        <v>922</v>
      </c>
      <c r="D585" s="82">
        <v>35162</v>
      </c>
      <c r="E585" t="s">
        <v>1649</v>
      </c>
      <c r="F585" t="s">
        <v>2681</v>
      </c>
      <c r="G585">
        <v>-34.694299999999998</v>
      </c>
      <c r="H585">
        <v>-58.459299999999999</v>
      </c>
      <c r="I585" t="s">
        <v>2031</v>
      </c>
      <c r="J585" t="s">
        <v>921</v>
      </c>
      <c r="K585" t="s">
        <v>923</v>
      </c>
      <c r="L585" t="s">
        <v>253</v>
      </c>
      <c r="M585" t="s">
        <v>252</v>
      </c>
    </row>
    <row r="586" spans="1:13">
      <c r="A586">
        <v>1996</v>
      </c>
      <c r="B586">
        <v>4</v>
      </c>
      <c r="C586" t="s">
        <v>894</v>
      </c>
      <c r="D586" s="82">
        <v>35183</v>
      </c>
      <c r="E586" t="s">
        <v>1650</v>
      </c>
      <c r="F586" t="s">
        <v>2682</v>
      </c>
      <c r="G586">
        <v>50.335599999999999</v>
      </c>
      <c r="H586">
        <v>6.9474999999999998</v>
      </c>
      <c r="I586" t="s">
        <v>2027</v>
      </c>
      <c r="J586" t="s">
        <v>893</v>
      </c>
      <c r="K586" t="s">
        <v>895</v>
      </c>
      <c r="L586" t="s">
        <v>896</v>
      </c>
      <c r="M586" t="s">
        <v>761</v>
      </c>
    </row>
    <row r="587" spans="1:13">
      <c r="A587">
        <v>1996</v>
      </c>
      <c r="B587">
        <v>5</v>
      </c>
      <c r="C587" t="s">
        <v>1350</v>
      </c>
      <c r="D587" s="82">
        <v>35190</v>
      </c>
      <c r="E587" t="s">
        <v>1651</v>
      </c>
      <c r="F587" t="s">
        <v>2683</v>
      </c>
      <c r="G587">
        <v>44.343899999999998</v>
      </c>
      <c r="H587">
        <v>11.716699999999999</v>
      </c>
      <c r="I587" t="s">
        <v>2064</v>
      </c>
      <c r="J587" t="s">
        <v>882</v>
      </c>
      <c r="K587" t="s">
        <v>1351</v>
      </c>
      <c r="L587" t="s">
        <v>1352</v>
      </c>
      <c r="M587" t="s">
        <v>886</v>
      </c>
    </row>
    <row r="588" spans="1:13">
      <c r="A588">
        <v>1996</v>
      </c>
      <c r="B588">
        <v>6</v>
      </c>
      <c r="C588" t="s">
        <v>857</v>
      </c>
      <c r="D588" s="82">
        <v>35204</v>
      </c>
      <c r="E588" t="s">
        <v>1652</v>
      </c>
      <c r="F588" t="s">
        <v>2684</v>
      </c>
      <c r="G588">
        <v>43.734699999999997</v>
      </c>
      <c r="H588">
        <v>7.42056</v>
      </c>
      <c r="I588" t="s">
        <v>2021</v>
      </c>
      <c r="J588" t="s">
        <v>856</v>
      </c>
      <c r="K588" t="s">
        <v>858</v>
      </c>
      <c r="L588" t="s">
        <v>859</v>
      </c>
      <c r="M588" t="s">
        <v>860</v>
      </c>
    </row>
    <row r="589" spans="1:13">
      <c r="A589">
        <v>1996</v>
      </c>
      <c r="B589">
        <v>7</v>
      </c>
      <c r="C589" t="s">
        <v>1566</v>
      </c>
      <c r="D589" s="82">
        <v>35218</v>
      </c>
      <c r="E589" t="s">
        <v>1653</v>
      </c>
      <c r="F589" t="s">
        <v>2685</v>
      </c>
      <c r="G589">
        <v>41.57</v>
      </c>
      <c r="H589">
        <v>2.26111</v>
      </c>
      <c r="I589" t="s">
        <v>2075</v>
      </c>
      <c r="J589" t="s">
        <v>899</v>
      </c>
      <c r="K589" t="s">
        <v>1567</v>
      </c>
      <c r="L589" t="s">
        <v>1568</v>
      </c>
      <c r="M589" t="s">
        <v>903</v>
      </c>
    </row>
    <row r="590" spans="1:13">
      <c r="A590">
        <v>1996</v>
      </c>
      <c r="B590">
        <v>8</v>
      </c>
      <c r="C590" t="s">
        <v>1320</v>
      </c>
      <c r="D590" s="82">
        <v>35232</v>
      </c>
      <c r="E590" t="s">
        <v>1654</v>
      </c>
      <c r="F590" t="s">
        <v>2686</v>
      </c>
      <c r="G590">
        <v>45.5</v>
      </c>
      <c r="H590">
        <v>-73.522800000000004</v>
      </c>
      <c r="I590" t="s">
        <v>2063</v>
      </c>
      <c r="J590" t="s">
        <v>1115</v>
      </c>
      <c r="K590" t="s">
        <v>1321</v>
      </c>
      <c r="L590" t="s">
        <v>1322</v>
      </c>
      <c r="M590" t="s">
        <v>1119</v>
      </c>
    </row>
    <row r="591" spans="1:13">
      <c r="A591">
        <v>1996</v>
      </c>
      <c r="B591">
        <v>9</v>
      </c>
      <c r="C591" t="s">
        <v>1556</v>
      </c>
      <c r="D591" s="82">
        <v>35246</v>
      </c>
      <c r="E591" t="s">
        <v>1655</v>
      </c>
      <c r="F591" t="s">
        <v>2687</v>
      </c>
      <c r="G591">
        <v>46.864199999999997</v>
      </c>
      <c r="H591">
        <v>3.1636099999999998</v>
      </c>
      <c r="I591" t="s">
        <v>2074</v>
      </c>
      <c r="J591" t="s">
        <v>877</v>
      </c>
      <c r="K591" t="s">
        <v>1557</v>
      </c>
      <c r="L591" t="s">
        <v>1558</v>
      </c>
      <c r="M591" t="s">
        <v>755</v>
      </c>
    </row>
    <row r="592" spans="1:13">
      <c r="A592">
        <v>1996</v>
      </c>
      <c r="B592">
        <v>10</v>
      </c>
      <c r="C592" t="s">
        <v>851</v>
      </c>
      <c r="D592" s="82">
        <v>35260</v>
      </c>
      <c r="E592" t="s">
        <v>1656</v>
      </c>
      <c r="F592" t="s">
        <v>2688</v>
      </c>
      <c r="G592">
        <v>52.078600000000002</v>
      </c>
      <c r="H592">
        <v>-1.01694</v>
      </c>
      <c r="I592" t="s">
        <v>2020</v>
      </c>
      <c r="J592" t="s">
        <v>850</v>
      </c>
      <c r="K592" t="s">
        <v>852</v>
      </c>
      <c r="L592" t="s">
        <v>853</v>
      </c>
      <c r="M592" t="s">
        <v>854</v>
      </c>
    </row>
    <row r="593" spans="1:13">
      <c r="A593">
        <v>1996</v>
      </c>
      <c r="B593">
        <v>11</v>
      </c>
      <c r="C593" t="s">
        <v>1162</v>
      </c>
      <c r="D593" s="82">
        <v>35274</v>
      </c>
      <c r="E593" t="s">
        <v>1657</v>
      </c>
      <c r="F593" t="s">
        <v>2689</v>
      </c>
      <c r="G593">
        <v>49.327800000000003</v>
      </c>
      <c r="H593">
        <v>8.5658300000000001</v>
      </c>
      <c r="I593" t="s">
        <v>2052</v>
      </c>
      <c r="J593" t="s">
        <v>893</v>
      </c>
      <c r="K593" t="s">
        <v>1163</v>
      </c>
      <c r="L593" t="s">
        <v>1164</v>
      </c>
      <c r="M593" t="s">
        <v>761</v>
      </c>
    </row>
    <row r="594" spans="1:13">
      <c r="A594">
        <v>1996</v>
      </c>
      <c r="B594">
        <v>12</v>
      </c>
      <c r="C594" t="s">
        <v>1470</v>
      </c>
      <c r="D594" s="82">
        <v>35288</v>
      </c>
      <c r="E594" t="s">
        <v>1658</v>
      </c>
      <c r="F594" t="s">
        <v>2690</v>
      </c>
      <c r="G594">
        <v>47.578899999999997</v>
      </c>
      <c r="H594">
        <v>19.2486</v>
      </c>
      <c r="I594" t="s">
        <v>2071</v>
      </c>
      <c r="J594" t="s">
        <v>1469</v>
      </c>
      <c r="K594" t="s">
        <v>1471</v>
      </c>
      <c r="L594" t="s">
        <v>1472</v>
      </c>
      <c r="M594" t="s">
        <v>1473</v>
      </c>
    </row>
    <row r="595" spans="1:13">
      <c r="A595">
        <v>1996</v>
      </c>
      <c r="B595">
        <v>13</v>
      </c>
      <c r="C595" t="s">
        <v>873</v>
      </c>
      <c r="D595" s="82">
        <v>35302</v>
      </c>
      <c r="E595" t="s">
        <v>1659</v>
      </c>
      <c r="F595" t="s">
        <v>2691</v>
      </c>
      <c r="G595">
        <v>50.437199999999997</v>
      </c>
      <c r="H595">
        <v>5.9713900000000004</v>
      </c>
      <c r="I595" t="s">
        <v>2024</v>
      </c>
      <c r="J595" t="s">
        <v>872</v>
      </c>
      <c r="K595" t="s">
        <v>874</v>
      </c>
      <c r="L595" t="s">
        <v>875</v>
      </c>
      <c r="M595" t="s">
        <v>244</v>
      </c>
    </row>
    <row r="596" spans="1:13">
      <c r="A596">
        <v>1996</v>
      </c>
      <c r="B596">
        <v>14</v>
      </c>
      <c r="C596" t="s">
        <v>883</v>
      </c>
      <c r="D596" s="82">
        <v>35316</v>
      </c>
      <c r="E596" t="s">
        <v>1660</v>
      </c>
      <c r="F596" t="s">
        <v>2692</v>
      </c>
      <c r="G596">
        <v>45.615600000000001</v>
      </c>
      <c r="H596">
        <v>9.28111</v>
      </c>
      <c r="I596" t="s">
        <v>2026</v>
      </c>
      <c r="J596" t="s">
        <v>882</v>
      </c>
      <c r="K596" t="s">
        <v>884</v>
      </c>
      <c r="L596" t="s">
        <v>885</v>
      </c>
      <c r="M596" t="s">
        <v>886</v>
      </c>
    </row>
    <row r="597" spans="1:13">
      <c r="A597">
        <v>1996</v>
      </c>
      <c r="B597">
        <v>15</v>
      </c>
      <c r="C597" t="s">
        <v>1431</v>
      </c>
      <c r="D597" s="82">
        <v>35330</v>
      </c>
      <c r="E597" t="s">
        <v>1661</v>
      </c>
      <c r="F597" t="s">
        <v>2693</v>
      </c>
      <c r="G597">
        <v>38.750599999999999</v>
      </c>
      <c r="H597">
        <v>-9.3941700000000008</v>
      </c>
      <c r="I597" t="s">
        <v>2068</v>
      </c>
      <c r="J597" t="s">
        <v>980</v>
      </c>
      <c r="K597" t="s">
        <v>1432</v>
      </c>
      <c r="L597" t="s">
        <v>1433</v>
      </c>
      <c r="M597" t="s">
        <v>984</v>
      </c>
    </row>
    <row r="598" spans="1:13">
      <c r="A598">
        <v>1996</v>
      </c>
      <c r="B598">
        <v>16</v>
      </c>
      <c r="C598" t="s">
        <v>1494</v>
      </c>
      <c r="D598" s="82">
        <v>35351</v>
      </c>
      <c r="E598" t="s">
        <v>1662</v>
      </c>
      <c r="F598" t="s">
        <v>2694</v>
      </c>
      <c r="G598">
        <v>34.8431</v>
      </c>
      <c r="H598">
        <v>136.541</v>
      </c>
      <c r="I598" t="s">
        <v>2072</v>
      </c>
      <c r="J598" t="s">
        <v>1280</v>
      </c>
      <c r="K598" t="s">
        <v>1495</v>
      </c>
      <c r="L598" t="s">
        <v>1496</v>
      </c>
      <c r="M598" t="s">
        <v>375</v>
      </c>
    </row>
    <row r="599" spans="1:13">
      <c r="A599">
        <v>1997</v>
      </c>
      <c r="B599">
        <v>1</v>
      </c>
      <c r="C599" t="s">
        <v>1644</v>
      </c>
      <c r="D599" s="82">
        <v>35498</v>
      </c>
      <c r="E599" t="s">
        <v>1663</v>
      </c>
      <c r="F599" t="s">
        <v>2695</v>
      </c>
      <c r="G599">
        <v>-37.849699999999999</v>
      </c>
      <c r="H599">
        <v>144.96799999999999</v>
      </c>
      <c r="I599" t="s">
        <v>2078</v>
      </c>
      <c r="J599" t="s">
        <v>1450</v>
      </c>
      <c r="K599" t="s">
        <v>1645</v>
      </c>
      <c r="L599" t="s">
        <v>1646</v>
      </c>
      <c r="M599" t="s">
        <v>1454</v>
      </c>
    </row>
    <row r="600" spans="1:13">
      <c r="A600">
        <v>1997</v>
      </c>
      <c r="B600">
        <v>2</v>
      </c>
      <c r="C600" t="s">
        <v>1204</v>
      </c>
      <c r="D600" s="82">
        <v>35519</v>
      </c>
      <c r="E600" t="s">
        <v>1664</v>
      </c>
      <c r="F600" t="s">
        <v>2696</v>
      </c>
      <c r="G600">
        <v>-23.703600000000002</v>
      </c>
      <c r="H600">
        <v>-46.6997</v>
      </c>
      <c r="I600" t="s">
        <v>2056</v>
      </c>
      <c r="J600" t="s">
        <v>1203</v>
      </c>
      <c r="K600" t="s">
        <v>1205</v>
      </c>
      <c r="L600" t="s">
        <v>1206</v>
      </c>
      <c r="M600" t="s">
        <v>1207</v>
      </c>
    </row>
    <row r="601" spans="1:13">
      <c r="A601">
        <v>1997</v>
      </c>
      <c r="B601">
        <v>3</v>
      </c>
      <c r="C601" t="s">
        <v>922</v>
      </c>
      <c r="D601" s="82">
        <v>35533</v>
      </c>
      <c r="E601" t="s">
        <v>1665</v>
      </c>
      <c r="F601" t="s">
        <v>2697</v>
      </c>
      <c r="G601">
        <v>-34.694299999999998</v>
      </c>
      <c r="H601">
        <v>-58.459299999999999</v>
      </c>
      <c r="I601" t="s">
        <v>2031</v>
      </c>
      <c r="J601" t="s">
        <v>921</v>
      </c>
      <c r="K601" t="s">
        <v>923</v>
      </c>
      <c r="L601" t="s">
        <v>253</v>
      </c>
      <c r="M601" t="s">
        <v>252</v>
      </c>
    </row>
    <row r="602" spans="1:13">
      <c r="A602">
        <v>1997</v>
      </c>
      <c r="B602">
        <v>4</v>
      </c>
      <c r="C602" t="s">
        <v>1350</v>
      </c>
      <c r="D602" s="82">
        <v>35547</v>
      </c>
      <c r="E602" t="s">
        <v>1666</v>
      </c>
      <c r="F602" t="s">
        <v>2698</v>
      </c>
      <c r="G602">
        <v>44.343899999999998</v>
      </c>
      <c r="H602">
        <v>11.716699999999999</v>
      </c>
      <c r="I602" t="s">
        <v>2064</v>
      </c>
      <c r="J602" t="s">
        <v>882</v>
      </c>
      <c r="K602" t="s">
        <v>1351</v>
      </c>
      <c r="L602" t="s">
        <v>1352</v>
      </c>
      <c r="M602" t="s">
        <v>886</v>
      </c>
    </row>
    <row r="603" spans="1:13">
      <c r="A603">
        <v>1997</v>
      </c>
      <c r="B603">
        <v>5</v>
      </c>
      <c r="C603" t="s">
        <v>857</v>
      </c>
      <c r="D603" s="82">
        <v>35561</v>
      </c>
      <c r="E603" t="s">
        <v>1667</v>
      </c>
      <c r="F603" t="s">
        <v>2699</v>
      </c>
      <c r="G603">
        <v>43.734699999999997</v>
      </c>
      <c r="H603">
        <v>7.42056</v>
      </c>
      <c r="I603" t="s">
        <v>2021</v>
      </c>
      <c r="J603" t="s">
        <v>856</v>
      </c>
      <c r="K603" t="s">
        <v>858</v>
      </c>
      <c r="L603" t="s">
        <v>859</v>
      </c>
      <c r="M603" t="s">
        <v>860</v>
      </c>
    </row>
    <row r="604" spans="1:13">
      <c r="A604">
        <v>1997</v>
      </c>
      <c r="B604">
        <v>6</v>
      </c>
      <c r="C604" t="s">
        <v>1566</v>
      </c>
      <c r="D604" s="82">
        <v>35575</v>
      </c>
      <c r="E604" t="s">
        <v>1668</v>
      </c>
      <c r="F604" t="s">
        <v>2700</v>
      </c>
      <c r="G604">
        <v>41.57</v>
      </c>
      <c r="H604">
        <v>2.26111</v>
      </c>
      <c r="I604" t="s">
        <v>2075</v>
      </c>
      <c r="J604" t="s">
        <v>899</v>
      </c>
      <c r="K604" t="s">
        <v>1567</v>
      </c>
      <c r="L604" t="s">
        <v>1568</v>
      </c>
      <c r="M604" t="s">
        <v>903</v>
      </c>
    </row>
    <row r="605" spans="1:13">
      <c r="A605">
        <v>1997</v>
      </c>
      <c r="B605">
        <v>7</v>
      </c>
      <c r="C605" t="s">
        <v>1320</v>
      </c>
      <c r="D605" s="82">
        <v>35596</v>
      </c>
      <c r="E605" t="s">
        <v>1669</v>
      </c>
      <c r="F605" t="s">
        <v>2701</v>
      </c>
      <c r="G605">
        <v>45.5</v>
      </c>
      <c r="H605">
        <v>-73.522800000000004</v>
      </c>
      <c r="I605" t="s">
        <v>2063</v>
      </c>
      <c r="J605" t="s">
        <v>1115</v>
      </c>
      <c r="K605" t="s">
        <v>1321</v>
      </c>
      <c r="L605" t="s">
        <v>1322</v>
      </c>
      <c r="M605" t="s">
        <v>1119</v>
      </c>
    </row>
    <row r="606" spans="1:13">
      <c r="A606">
        <v>1997</v>
      </c>
      <c r="B606">
        <v>8</v>
      </c>
      <c r="C606" t="s">
        <v>1556</v>
      </c>
      <c r="D606" s="82">
        <v>35610</v>
      </c>
      <c r="E606" t="s">
        <v>1670</v>
      </c>
      <c r="F606" t="s">
        <v>2702</v>
      </c>
      <c r="G606">
        <v>46.864199999999997</v>
      </c>
      <c r="H606">
        <v>3.1636099999999998</v>
      </c>
      <c r="I606" t="s">
        <v>2074</v>
      </c>
      <c r="J606" t="s">
        <v>877</v>
      </c>
      <c r="K606" t="s">
        <v>1557</v>
      </c>
      <c r="L606" t="s">
        <v>1558</v>
      </c>
      <c r="M606" t="s">
        <v>755</v>
      </c>
    </row>
    <row r="607" spans="1:13">
      <c r="A607">
        <v>1997</v>
      </c>
      <c r="B607">
        <v>9</v>
      </c>
      <c r="C607" t="s">
        <v>851</v>
      </c>
      <c r="D607" s="82">
        <v>35624</v>
      </c>
      <c r="E607" t="s">
        <v>1671</v>
      </c>
      <c r="F607" t="s">
        <v>2703</v>
      </c>
      <c r="G607">
        <v>52.078600000000002</v>
      </c>
      <c r="H607">
        <v>-1.01694</v>
      </c>
      <c r="I607" t="s">
        <v>2020</v>
      </c>
      <c r="J607" t="s">
        <v>850</v>
      </c>
      <c r="K607" t="s">
        <v>852</v>
      </c>
      <c r="L607" t="s">
        <v>853</v>
      </c>
      <c r="M607" t="s">
        <v>854</v>
      </c>
    </row>
    <row r="608" spans="1:13">
      <c r="A608">
        <v>1997</v>
      </c>
      <c r="B608">
        <v>10</v>
      </c>
      <c r="C608" t="s">
        <v>1162</v>
      </c>
      <c r="D608" s="82">
        <v>35638</v>
      </c>
      <c r="E608" t="s">
        <v>1672</v>
      </c>
      <c r="F608" t="s">
        <v>2704</v>
      </c>
      <c r="G608">
        <v>49.327800000000003</v>
      </c>
      <c r="H608">
        <v>8.5658300000000001</v>
      </c>
      <c r="I608" t="s">
        <v>2052</v>
      </c>
      <c r="J608" t="s">
        <v>893</v>
      </c>
      <c r="K608" t="s">
        <v>1163</v>
      </c>
      <c r="L608" t="s">
        <v>1164</v>
      </c>
      <c r="M608" t="s">
        <v>761</v>
      </c>
    </row>
    <row r="609" spans="1:13">
      <c r="A609">
        <v>1997</v>
      </c>
      <c r="B609">
        <v>11</v>
      </c>
      <c r="C609" t="s">
        <v>1470</v>
      </c>
      <c r="D609" s="82">
        <v>35652</v>
      </c>
      <c r="E609" t="s">
        <v>1673</v>
      </c>
      <c r="F609" t="s">
        <v>2705</v>
      </c>
      <c r="G609">
        <v>47.578899999999997</v>
      </c>
      <c r="H609">
        <v>19.2486</v>
      </c>
      <c r="I609" t="s">
        <v>2071</v>
      </c>
      <c r="J609" t="s">
        <v>1469</v>
      </c>
      <c r="K609" t="s">
        <v>1471</v>
      </c>
      <c r="L609" t="s">
        <v>1472</v>
      </c>
      <c r="M609" t="s">
        <v>1473</v>
      </c>
    </row>
    <row r="610" spans="1:13">
      <c r="A610">
        <v>1997</v>
      </c>
      <c r="B610">
        <v>12</v>
      </c>
      <c r="C610" t="s">
        <v>873</v>
      </c>
      <c r="D610" s="82">
        <v>35666</v>
      </c>
      <c r="E610" t="s">
        <v>1674</v>
      </c>
      <c r="F610" t="s">
        <v>2706</v>
      </c>
      <c r="G610">
        <v>50.437199999999997</v>
      </c>
      <c r="H610">
        <v>5.9713900000000004</v>
      </c>
      <c r="I610" t="s">
        <v>2024</v>
      </c>
      <c r="J610" t="s">
        <v>872</v>
      </c>
      <c r="K610" t="s">
        <v>874</v>
      </c>
      <c r="L610" t="s">
        <v>875</v>
      </c>
      <c r="M610" t="s">
        <v>244</v>
      </c>
    </row>
    <row r="611" spans="1:13">
      <c r="A611">
        <v>1997</v>
      </c>
      <c r="B611">
        <v>13</v>
      </c>
      <c r="C611" t="s">
        <v>883</v>
      </c>
      <c r="D611" s="82">
        <v>35680</v>
      </c>
      <c r="E611" t="s">
        <v>1675</v>
      </c>
      <c r="F611" t="s">
        <v>2707</v>
      </c>
      <c r="G611">
        <v>45.615600000000001</v>
      </c>
      <c r="H611">
        <v>9.28111</v>
      </c>
      <c r="I611" t="s">
        <v>2026</v>
      </c>
      <c r="J611" t="s">
        <v>882</v>
      </c>
      <c r="K611" t="s">
        <v>884</v>
      </c>
      <c r="L611" t="s">
        <v>885</v>
      </c>
      <c r="M611" t="s">
        <v>886</v>
      </c>
    </row>
    <row r="612" spans="1:13">
      <c r="A612">
        <v>1997</v>
      </c>
      <c r="B612">
        <v>14</v>
      </c>
      <c r="C612" t="s">
        <v>1166</v>
      </c>
      <c r="D612" s="82">
        <v>35694</v>
      </c>
      <c r="E612" t="s">
        <v>1676</v>
      </c>
      <c r="F612" t="s">
        <v>2708</v>
      </c>
      <c r="G612">
        <v>47.219700000000003</v>
      </c>
      <c r="H612">
        <v>14.764699999999999</v>
      </c>
      <c r="I612" t="s">
        <v>2053</v>
      </c>
      <c r="J612" t="s">
        <v>1072</v>
      </c>
      <c r="K612" t="s">
        <v>1167</v>
      </c>
      <c r="L612" t="s">
        <v>1168</v>
      </c>
      <c r="M612" t="s">
        <v>1076</v>
      </c>
    </row>
    <row r="613" spans="1:13">
      <c r="A613">
        <v>1997</v>
      </c>
      <c r="B613">
        <v>15</v>
      </c>
      <c r="C613" t="s">
        <v>894</v>
      </c>
      <c r="D613" s="82">
        <v>35701</v>
      </c>
      <c r="E613" t="s">
        <v>1678</v>
      </c>
      <c r="F613" t="s">
        <v>2709</v>
      </c>
      <c r="G613">
        <v>50.335599999999999</v>
      </c>
      <c r="H613">
        <v>6.9474999999999998</v>
      </c>
      <c r="I613" t="s">
        <v>2027</v>
      </c>
      <c r="J613" t="s">
        <v>893</v>
      </c>
      <c r="K613" t="s">
        <v>895</v>
      </c>
      <c r="L613" t="s">
        <v>896</v>
      </c>
      <c r="M613" t="s">
        <v>761</v>
      </c>
    </row>
    <row r="614" spans="1:13">
      <c r="A614">
        <v>1997</v>
      </c>
      <c r="B614">
        <v>16</v>
      </c>
      <c r="C614" t="s">
        <v>1494</v>
      </c>
      <c r="D614" s="82">
        <v>35715</v>
      </c>
      <c r="E614" t="s">
        <v>1679</v>
      </c>
      <c r="F614" t="s">
        <v>2710</v>
      </c>
      <c r="G614">
        <v>34.8431</v>
      </c>
      <c r="H614">
        <v>136.541</v>
      </c>
      <c r="I614" t="s">
        <v>2072</v>
      </c>
      <c r="J614" t="s">
        <v>1280</v>
      </c>
      <c r="K614" t="s">
        <v>1495</v>
      </c>
      <c r="L614" t="s">
        <v>1496</v>
      </c>
      <c r="M614" t="s">
        <v>375</v>
      </c>
    </row>
    <row r="615" spans="1:13">
      <c r="A615">
        <v>1997</v>
      </c>
      <c r="B615">
        <v>17</v>
      </c>
      <c r="C615" t="s">
        <v>1457</v>
      </c>
      <c r="D615" s="82">
        <v>35729</v>
      </c>
      <c r="E615" t="s">
        <v>1680</v>
      </c>
      <c r="F615" t="s">
        <v>2711</v>
      </c>
      <c r="G615">
        <v>36.708300000000001</v>
      </c>
      <c r="H615">
        <v>-6.0341699999999996</v>
      </c>
      <c r="I615" t="s">
        <v>2070</v>
      </c>
      <c r="J615" t="s">
        <v>899</v>
      </c>
      <c r="K615" t="s">
        <v>1458</v>
      </c>
      <c r="L615" t="s">
        <v>1459</v>
      </c>
      <c r="M615" t="s">
        <v>903</v>
      </c>
    </row>
    <row r="616" spans="1:13">
      <c r="A616">
        <v>1998</v>
      </c>
      <c r="B616">
        <v>1</v>
      </c>
      <c r="C616" t="s">
        <v>1644</v>
      </c>
      <c r="D616" s="82">
        <v>35862</v>
      </c>
      <c r="E616" t="s">
        <v>1681</v>
      </c>
      <c r="F616" t="s">
        <v>2712</v>
      </c>
      <c r="G616">
        <v>-37.849699999999999</v>
      </c>
      <c r="H616">
        <v>144.96799999999999</v>
      </c>
      <c r="I616" t="s">
        <v>2078</v>
      </c>
      <c r="J616" t="s">
        <v>1450</v>
      </c>
      <c r="K616" t="s">
        <v>1645</v>
      </c>
      <c r="L616" t="s">
        <v>1646</v>
      </c>
      <c r="M616" t="s">
        <v>1454</v>
      </c>
    </row>
    <row r="617" spans="1:13">
      <c r="A617">
        <v>1998</v>
      </c>
      <c r="B617">
        <v>2</v>
      </c>
      <c r="C617" t="s">
        <v>1204</v>
      </c>
      <c r="D617" s="82">
        <v>35883</v>
      </c>
      <c r="E617" t="s">
        <v>1682</v>
      </c>
      <c r="F617" t="s">
        <v>2713</v>
      </c>
      <c r="G617">
        <v>-23.703600000000002</v>
      </c>
      <c r="H617">
        <v>-46.6997</v>
      </c>
      <c r="I617" t="s">
        <v>2056</v>
      </c>
      <c r="J617" t="s">
        <v>1203</v>
      </c>
      <c r="K617" t="s">
        <v>1205</v>
      </c>
      <c r="L617" t="s">
        <v>1206</v>
      </c>
      <c r="M617" t="s">
        <v>1207</v>
      </c>
    </row>
    <row r="618" spans="1:13">
      <c r="A618">
        <v>1998</v>
      </c>
      <c r="B618">
        <v>3</v>
      </c>
      <c r="C618" t="s">
        <v>922</v>
      </c>
      <c r="D618" s="82">
        <v>35897</v>
      </c>
      <c r="E618" t="s">
        <v>1683</v>
      </c>
      <c r="F618" t="s">
        <v>2714</v>
      </c>
      <c r="G618">
        <v>-34.694299999999998</v>
      </c>
      <c r="H618">
        <v>-58.459299999999999</v>
      </c>
      <c r="I618" t="s">
        <v>2031</v>
      </c>
      <c r="J618" t="s">
        <v>921</v>
      </c>
      <c r="K618" t="s">
        <v>923</v>
      </c>
      <c r="L618" t="s">
        <v>253</v>
      </c>
      <c r="M618" t="s">
        <v>252</v>
      </c>
    </row>
    <row r="619" spans="1:13">
      <c r="A619">
        <v>1998</v>
      </c>
      <c r="B619">
        <v>4</v>
      </c>
      <c r="C619" t="s">
        <v>1350</v>
      </c>
      <c r="D619" s="82">
        <v>35911</v>
      </c>
      <c r="E619" t="s">
        <v>1684</v>
      </c>
      <c r="F619" t="s">
        <v>2715</v>
      </c>
      <c r="G619">
        <v>44.343899999999998</v>
      </c>
      <c r="H619">
        <v>11.716699999999999</v>
      </c>
      <c r="I619" t="s">
        <v>2064</v>
      </c>
      <c r="J619" t="s">
        <v>882</v>
      </c>
      <c r="K619" t="s">
        <v>1351</v>
      </c>
      <c r="L619" t="s">
        <v>1352</v>
      </c>
      <c r="M619" t="s">
        <v>886</v>
      </c>
    </row>
    <row r="620" spans="1:13">
      <c r="A620">
        <v>1998</v>
      </c>
      <c r="B620">
        <v>5</v>
      </c>
      <c r="C620" t="s">
        <v>1566</v>
      </c>
      <c r="D620" s="82">
        <v>35925</v>
      </c>
      <c r="E620" t="s">
        <v>1685</v>
      </c>
      <c r="F620" t="s">
        <v>2716</v>
      </c>
      <c r="G620">
        <v>41.57</v>
      </c>
      <c r="H620">
        <v>2.26111</v>
      </c>
      <c r="I620" t="s">
        <v>2075</v>
      </c>
      <c r="J620" t="s">
        <v>899</v>
      </c>
      <c r="K620" t="s">
        <v>1567</v>
      </c>
      <c r="L620" t="s">
        <v>1568</v>
      </c>
      <c r="M620" t="s">
        <v>903</v>
      </c>
    </row>
    <row r="621" spans="1:13">
      <c r="A621">
        <v>1998</v>
      </c>
      <c r="B621">
        <v>6</v>
      </c>
      <c r="C621" t="s">
        <v>857</v>
      </c>
      <c r="D621" s="82">
        <v>35939</v>
      </c>
      <c r="E621" t="s">
        <v>1686</v>
      </c>
      <c r="F621" t="s">
        <v>2717</v>
      </c>
      <c r="G621">
        <v>43.734699999999997</v>
      </c>
      <c r="H621">
        <v>7.42056</v>
      </c>
      <c r="I621" t="s">
        <v>2021</v>
      </c>
      <c r="J621" t="s">
        <v>856</v>
      </c>
      <c r="K621" t="s">
        <v>858</v>
      </c>
      <c r="L621" t="s">
        <v>859</v>
      </c>
      <c r="M621" t="s">
        <v>860</v>
      </c>
    </row>
    <row r="622" spans="1:13">
      <c r="A622">
        <v>1998</v>
      </c>
      <c r="B622">
        <v>7</v>
      </c>
      <c r="C622" t="s">
        <v>1320</v>
      </c>
      <c r="D622" s="82">
        <v>35953</v>
      </c>
      <c r="E622" t="s">
        <v>1687</v>
      </c>
      <c r="F622" t="s">
        <v>2718</v>
      </c>
      <c r="G622">
        <v>45.5</v>
      </c>
      <c r="H622">
        <v>-73.522800000000004</v>
      </c>
      <c r="I622" t="s">
        <v>2063</v>
      </c>
      <c r="J622" t="s">
        <v>1115</v>
      </c>
      <c r="K622" t="s">
        <v>1321</v>
      </c>
      <c r="L622" t="s">
        <v>1322</v>
      </c>
      <c r="M622" t="s">
        <v>1119</v>
      </c>
    </row>
    <row r="623" spans="1:13">
      <c r="A623">
        <v>1998</v>
      </c>
      <c r="B623">
        <v>8</v>
      </c>
      <c r="C623" t="s">
        <v>1556</v>
      </c>
      <c r="D623" s="82">
        <v>35974</v>
      </c>
      <c r="E623" t="s">
        <v>1688</v>
      </c>
      <c r="F623" t="s">
        <v>2719</v>
      </c>
      <c r="G623">
        <v>46.864199999999997</v>
      </c>
      <c r="H623">
        <v>3.1636099999999998</v>
      </c>
      <c r="I623" t="s">
        <v>2074</v>
      </c>
      <c r="J623" t="s">
        <v>877</v>
      </c>
      <c r="K623" t="s">
        <v>1557</v>
      </c>
      <c r="L623" t="s">
        <v>1558</v>
      </c>
      <c r="M623" t="s">
        <v>755</v>
      </c>
    </row>
    <row r="624" spans="1:13">
      <c r="A624">
        <v>1998</v>
      </c>
      <c r="B624">
        <v>9</v>
      </c>
      <c r="C624" t="s">
        <v>851</v>
      </c>
      <c r="D624" s="82">
        <v>35988</v>
      </c>
      <c r="E624" t="s">
        <v>1689</v>
      </c>
      <c r="F624" t="s">
        <v>2720</v>
      </c>
      <c r="G624">
        <v>52.078600000000002</v>
      </c>
      <c r="H624">
        <v>-1.01694</v>
      </c>
      <c r="I624" t="s">
        <v>2020</v>
      </c>
      <c r="J624" t="s">
        <v>850</v>
      </c>
      <c r="K624" t="s">
        <v>852</v>
      </c>
      <c r="L624" t="s">
        <v>853</v>
      </c>
      <c r="M624" t="s">
        <v>854</v>
      </c>
    </row>
    <row r="625" spans="1:13">
      <c r="A625">
        <v>1998</v>
      </c>
      <c r="B625">
        <v>10</v>
      </c>
      <c r="C625" t="s">
        <v>1166</v>
      </c>
      <c r="D625" s="82">
        <v>36002</v>
      </c>
      <c r="E625" t="s">
        <v>1690</v>
      </c>
      <c r="F625" t="s">
        <v>2721</v>
      </c>
      <c r="G625">
        <v>47.219700000000003</v>
      </c>
      <c r="H625">
        <v>14.764699999999999</v>
      </c>
      <c r="I625" t="s">
        <v>2053</v>
      </c>
      <c r="J625" t="s">
        <v>1072</v>
      </c>
      <c r="K625" t="s">
        <v>1167</v>
      </c>
      <c r="L625" t="s">
        <v>1168</v>
      </c>
      <c r="M625" t="s">
        <v>1076</v>
      </c>
    </row>
    <row r="626" spans="1:13">
      <c r="A626">
        <v>1998</v>
      </c>
      <c r="B626">
        <v>11</v>
      </c>
      <c r="C626" t="s">
        <v>1162</v>
      </c>
      <c r="D626" s="82">
        <v>36009</v>
      </c>
      <c r="E626" t="s">
        <v>1691</v>
      </c>
      <c r="F626" t="s">
        <v>2722</v>
      </c>
      <c r="G626">
        <v>49.327800000000003</v>
      </c>
      <c r="H626">
        <v>8.5658300000000001</v>
      </c>
      <c r="I626" t="s">
        <v>2052</v>
      </c>
      <c r="J626" t="s">
        <v>893</v>
      </c>
      <c r="K626" t="s">
        <v>1163</v>
      </c>
      <c r="L626" t="s">
        <v>1164</v>
      </c>
      <c r="M626" t="s">
        <v>761</v>
      </c>
    </row>
    <row r="627" spans="1:13">
      <c r="A627">
        <v>1998</v>
      </c>
      <c r="B627">
        <v>12</v>
      </c>
      <c r="C627" t="s">
        <v>1470</v>
      </c>
      <c r="D627" s="82">
        <v>36023</v>
      </c>
      <c r="E627" t="s">
        <v>1692</v>
      </c>
      <c r="F627" t="s">
        <v>2723</v>
      </c>
      <c r="G627">
        <v>47.578899999999997</v>
      </c>
      <c r="H627">
        <v>19.2486</v>
      </c>
      <c r="I627" t="s">
        <v>2071</v>
      </c>
      <c r="J627" t="s">
        <v>1469</v>
      </c>
      <c r="K627" t="s">
        <v>1471</v>
      </c>
      <c r="L627" t="s">
        <v>1472</v>
      </c>
      <c r="M627" t="s">
        <v>1473</v>
      </c>
    </row>
    <row r="628" spans="1:13">
      <c r="A628">
        <v>1998</v>
      </c>
      <c r="B628">
        <v>13</v>
      </c>
      <c r="C628" t="s">
        <v>873</v>
      </c>
      <c r="D628" s="82">
        <v>36037</v>
      </c>
      <c r="E628" t="s">
        <v>1693</v>
      </c>
      <c r="F628" t="s">
        <v>2724</v>
      </c>
      <c r="G628">
        <v>50.437199999999997</v>
      </c>
      <c r="H628">
        <v>5.9713900000000004</v>
      </c>
      <c r="I628" t="s">
        <v>2024</v>
      </c>
      <c r="J628" t="s">
        <v>872</v>
      </c>
      <c r="K628" t="s">
        <v>874</v>
      </c>
      <c r="L628" t="s">
        <v>875</v>
      </c>
      <c r="M628" t="s">
        <v>244</v>
      </c>
    </row>
    <row r="629" spans="1:13">
      <c r="A629">
        <v>1998</v>
      </c>
      <c r="B629">
        <v>14</v>
      </c>
      <c r="C629" t="s">
        <v>883</v>
      </c>
      <c r="D629" s="82">
        <v>36051</v>
      </c>
      <c r="E629" t="s">
        <v>1694</v>
      </c>
      <c r="F629" t="s">
        <v>2725</v>
      </c>
      <c r="G629">
        <v>45.615600000000001</v>
      </c>
      <c r="H629">
        <v>9.28111</v>
      </c>
      <c r="I629" t="s">
        <v>2026</v>
      </c>
      <c r="J629" t="s">
        <v>882</v>
      </c>
      <c r="K629" t="s">
        <v>884</v>
      </c>
      <c r="L629" t="s">
        <v>885</v>
      </c>
      <c r="M629" t="s">
        <v>886</v>
      </c>
    </row>
    <row r="630" spans="1:13">
      <c r="A630">
        <v>1998</v>
      </c>
      <c r="B630">
        <v>15</v>
      </c>
      <c r="C630" t="s">
        <v>894</v>
      </c>
      <c r="D630" s="82">
        <v>36065</v>
      </c>
      <c r="E630" t="s">
        <v>1695</v>
      </c>
      <c r="F630" t="s">
        <v>2726</v>
      </c>
      <c r="G630">
        <v>50.335599999999999</v>
      </c>
      <c r="H630">
        <v>6.9474999999999998</v>
      </c>
      <c r="I630" t="s">
        <v>2027</v>
      </c>
      <c r="J630" t="s">
        <v>893</v>
      </c>
      <c r="K630" t="s">
        <v>895</v>
      </c>
      <c r="L630" t="s">
        <v>896</v>
      </c>
      <c r="M630" t="s">
        <v>761</v>
      </c>
    </row>
    <row r="631" spans="1:13">
      <c r="A631">
        <v>1998</v>
      </c>
      <c r="B631">
        <v>16</v>
      </c>
      <c r="C631" t="s">
        <v>1494</v>
      </c>
      <c r="D631" s="82">
        <v>36100</v>
      </c>
      <c r="E631" t="s">
        <v>1696</v>
      </c>
      <c r="F631" t="s">
        <v>2727</v>
      </c>
      <c r="G631">
        <v>34.8431</v>
      </c>
      <c r="H631">
        <v>136.541</v>
      </c>
      <c r="I631" t="s">
        <v>2072</v>
      </c>
      <c r="J631" t="s">
        <v>1280</v>
      </c>
      <c r="K631" t="s">
        <v>1495</v>
      </c>
      <c r="L631" t="s">
        <v>1496</v>
      </c>
      <c r="M631" t="s">
        <v>375</v>
      </c>
    </row>
    <row r="632" spans="1:13">
      <c r="A632">
        <v>1999</v>
      </c>
      <c r="B632">
        <v>1</v>
      </c>
      <c r="C632" t="s">
        <v>1644</v>
      </c>
      <c r="D632" s="82">
        <v>36226</v>
      </c>
      <c r="E632" t="s">
        <v>1697</v>
      </c>
      <c r="F632" t="s">
        <v>2728</v>
      </c>
      <c r="G632">
        <v>-37.849699999999999</v>
      </c>
      <c r="H632">
        <v>144.96799999999999</v>
      </c>
      <c r="I632" t="s">
        <v>2078</v>
      </c>
      <c r="J632" t="s">
        <v>1450</v>
      </c>
      <c r="K632" t="s">
        <v>1645</v>
      </c>
      <c r="L632" t="s">
        <v>1646</v>
      </c>
      <c r="M632" t="s">
        <v>1454</v>
      </c>
    </row>
    <row r="633" spans="1:13">
      <c r="A633">
        <v>1999</v>
      </c>
      <c r="B633">
        <v>2</v>
      </c>
      <c r="C633" t="s">
        <v>1204</v>
      </c>
      <c r="D633" s="82">
        <v>36261</v>
      </c>
      <c r="E633" t="s">
        <v>1698</v>
      </c>
      <c r="F633" t="s">
        <v>2729</v>
      </c>
      <c r="G633">
        <v>-23.703600000000002</v>
      </c>
      <c r="H633">
        <v>-46.6997</v>
      </c>
      <c r="I633" t="s">
        <v>2056</v>
      </c>
      <c r="J633" t="s">
        <v>1203</v>
      </c>
      <c r="K633" t="s">
        <v>1205</v>
      </c>
      <c r="L633" t="s">
        <v>1206</v>
      </c>
      <c r="M633" t="s">
        <v>1207</v>
      </c>
    </row>
    <row r="634" spans="1:13">
      <c r="A634">
        <v>1999</v>
      </c>
      <c r="B634">
        <v>3</v>
      </c>
      <c r="C634" t="s">
        <v>1350</v>
      </c>
      <c r="D634" s="82">
        <v>36282</v>
      </c>
      <c r="E634" t="s">
        <v>1699</v>
      </c>
      <c r="F634" t="s">
        <v>2730</v>
      </c>
      <c r="G634">
        <v>44.343899999999998</v>
      </c>
      <c r="H634">
        <v>11.716699999999999</v>
      </c>
      <c r="I634" t="s">
        <v>2064</v>
      </c>
      <c r="J634" t="s">
        <v>882</v>
      </c>
      <c r="K634" t="s">
        <v>1351</v>
      </c>
      <c r="L634" t="s">
        <v>1352</v>
      </c>
      <c r="M634" t="s">
        <v>886</v>
      </c>
    </row>
    <row r="635" spans="1:13">
      <c r="A635">
        <v>1999</v>
      </c>
      <c r="B635">
        <v>4</v>
      </c>
      <c r="C635" t="s">
        <v>857</v>
      </c>
      <c r="D635" s="82">
        <v>36296</v>
      </c>
      <c r="E635" t="s">
        <v>1700</v>
      </c>
      <c r="F635" t="s">
        <v>2731</v>
      </c>
      <c r="G635">
        <v>43.734699999999997</v>
      </c>
      <c r="H635">
        <v>7.42056</v>
      </c>
      <c r="I635" t="s">
        <v>2021</v>
      </c>
      <c r="J635" t="s">
        <v>856</v>
      </c>
      <c r="K635" t="s">
        <v>858</v>
      </c>
      <c r="L635" t="s">
        <v>859</v>
      </c>
      <c r="M635" t="s">
        <v>860</v>
      </c>
    </row>
    <row r="636" spans="1:13">
      <c r="A636">
        <v>1999</v>
      </c>
      <c r="B636">
        <v>5</v>
      </c>
      <c r="C636" t="s">
        <v>1566</v>
      </c>
      <c r="D636" s="82">
        <v>36310</v>
      </c>
      <c r="E636" t="s">
        <v>1701</v>
      </c>
      <c r="F636" t="s">
        <v>2732</v>
      </c>
      <c r="G636">
        <v>41.57</v>
      </c>
      <c r="H636">
        <v>2.26111</v>
      </c>
      <c r="I636" t="s">
        <v>2075</v>
      </c>
      <c r="J636" t="s">
        <v>899</v>
      </c>
      <c r="K636" t="s">
        <v>1567</v>
      </c>
      <c r="L636" t="s">
        <v>1568</v>
      </c>
      <c r="M636" t="s">
        <v>903</v>
      </c>
    </row>
    <row r="637" spans="1:13">
      <c r="A637">
        <v>1999</v>
      </c>
      <c r="B637">
        <v>6</v>
      </c>
      <c r="C637" t="s">
        <v>1320</v>
      </c>
      <c r="D637" s="82">
        <v>36324</v>
      </c>
      <c r="E637" t="s">
        <v>1702</v>
      </c>
      <c r="F637" t="s">
        <v>2733</v>
      </c>
      <c r="G637">
        <v>45.5</v>
      </c>
      <c r="H637">
        <v>-73.522800000000004</v>
      </c>
      <c r="I637" t="s">
        <v>2063</v>
      </c>
      <c r="J637" t="s">
        <v>1115</v>
      </c>
      <c r="K637" t="s">
        <v>1321</v>
      </c>
      <c r="L637" t="s">
        <v>1322</v>
      </c>
      <c r="M637" t="s">
        <v>1119</v>
      </c>
    </row>
    <row r="638" spans="1:13">
      <c r="A638">
        <v>1999</v>
      </c>
      <c r="B638">
        <v>7</v>
      </c>
      <c r="C638" t="s">
        <v>1556</v>
      </c>
      <c r="D638" s="82">
        <v>36338</v>
      </c>
      <c r="E638" t="s">
        <v>1703</v>
      </c>
      <c r="F638" t="s">
        <v>2734</v>
      </c>
      <c r="G638">
        <v>46.864199999999997</v>
      </c>
      <c r="H638">
        <v>3.1636099999999998</v>
      </c>
      <c r="I638" t="s">
        <v>2074</v>
      </c>
      <c r="J638" t="s">
        <v>877</v>
      </c>
      <c r="K638" t="s">
        <v>1557</v>
      </c>
      <c r="L638" t="s">
        <v>1558</v>
      </c>
      <c r="M638" t="s">
        <v>755</v>
      </c>
    </row>
    <row r="639" spans="1:13">
      <c r="A639">
        <v>1999</v>
      </c>
      <c r="B639">
        <v>8</v>
      </c>
      <c r="C639" t="s">
        <v>851</v>
      </c>
      <c r="D639" s="82">
        <v>36352</v>
      </c>
      <c r="E639" t="s">
        <v>1704</v>
      </c>
      <c r="F639" t="s">
        <v>2735</v>
      </c>
      <c r="G639">
        <v>52.078600000000002</v>
      </c>
      <c r="H639">
        <v>-1.01694</v>
      </c>
      <c r="I639" t="s">
        <v>2020</v>
      </c>
      <c r="J639" t="s">
        <v>850</v>
      </c>
      <c r="K639" t="s">
        <v>852</v>
      </c>
      <c r="L639" t="s">
        <v>853</v>
      </c>
      <c r="M639" t="s">
        <v>854</v>
      </c>
    </row>
    <row r="640" spans="1:13">
      <c r="A640">
        <v>1999</v>
      </c>
      <c r="B640">
        <v>9</v>
      </c>
      <c r="C640" t="s">
        <v>1166</v>
      </c>
      <c r="D640" s="82">
        <v>36366</v>
      </c>
      <c r="E640" t="s">
        <v>1705</v>
      </c>
      <c r="F640" t="s">
        <v>2736</v>
      </c>
      <c r="G640">
        <v>47.219700000000003</v>
      </c>
      <c r="H640">
        <v>14.764699999999999</v>
      </c>
      <c r="I640" t="s">
        <v>2053</v>
      </c>
      <c r="J640" t="s">
        <v>1072</v>
      </c>
      <c r="K640" t="s">
        <v>1167</v>
      </c>
      <c r="L640" t="s">
        <v>1168</v>
      </c>
      <c r="M640" t="s">
        <v>1076</v>
      </c>
    </row>
    <row r="641" spans="1:13">
      <c r="A641">
        <v>1999</v>
      </c>
      <c r="B641">
        <v>10</v>
      </c>
      <c r="C641" t="s">
        <v>1162</v>
      </c>
      <c r="D641" s="82">
        <v>36373</v>
      </c>
      <c r="E641" t="s">
        <v>1706</v>
      </c>
      <c r="F641" t="s">
        <v>2737</v>
      </c>
      <c r="G641">
        <v>49.327800000000003</v>
      </c>
      <c r="H641">
        <v>8.5658300000000001</v>
      </c>
      <c r="I641" t="s">
        <v>2052</v>
      </c>
      <c r="J641" t="s">
        <v>893</v>
      </c>
      <c r="K641" t="s">
        <v>1163</v>
      </c>
      <c r="L641" t="s">
        <v>1164</v>
      </c>
      <c r="M641" t="s">
        <v>761</v>
      </c>
    </row>
    <row r="642" spans="1:13">
      <c r="A642">
        <v>1999</v>
      </c>
      <c r="B642">
        <v>11</v>
      </c>
      <c r="C642" t="s">
        <v>1470</v>
      </c>
      <c r="D642" s="82">
        <v>36387</v>
      </c>
      <c r="E642" t="s">
        <v>1707</v>
      </c>
      <c r="F642" t="s">
        <v>2738</v>
      </c>
      <c r="G642">
        <v>47.578899999999997</v>
      </c>
      <c r="H642">
        <v>19.2486</v>
      </c>
      <c r="I642" t="s">
        <v>2071</v>
      </c>
      <c r="J642" t="s">
        <v>1469</v>
      </c>
      <c r="K642" t="s">
        <v>1471</v>
      </c>
      <c r="L642" t="s">
        <v>1472</v>
      </c>
      <c r="M642" t="s">
        <v>1473</v>
      </c>
    </row>
    <row r="643" spans="1:13">
      <c r="A643">
        <v>1999</v>
      </c>
      <c r="B643">
        <v>12</v>
      </c>
      <c r="C643" t="s">
        <v>873</v>
      </c>
      <c r="D643" s="82">
        <v>36401</v>
      </c>
      <c r="E643" t="s">
        <v>1708</v>
      </c>
      <c r="F643" t="s">
        <v>2739</v>
      </c>
      <c r="G643">
        <v>50.437199999999997</v>
      </c>
      <c r="H643">
        <v>5.9713900000000004</v>
      </c>
      <c r="I643" t="s">
        <v>2024</v>
      </c>
      <c r="J643" t="s">
        <v>872</v>
      </c>
      <c r="K643" t="s">
        <v>874</v>
      </c>
      <c r="L643" t="s">
        <v>875</v>
      </c>
      <c r="M643" t="s">
        <v>244</v>
      </c>
    </row>
    <row r="644" spans="1:13">
      <c r="A644">
        <v>1999</v>
      </c>
      <c r="B644">
        <v>13</v>
      </c>
      <c r="C644" t="s">
        <v>883</v>
      </c>
      <c r="D644" s="82">
        <v>36415</v>
      </c>
      <c r="E644" t="s">
        <v>1709</v>
      </c>
      <c r="F644" t="s">
        <v>2740</v>
      </c>
      <c r="G644">
        <v>45.615600000000001</v>
      </c>
      <c r="H644">
        <v>9.28111</v>
      </c>
      <c r="I644" t="s">
        <v>2026</v>
      </c>
      <c r="J644" t="s">
        <v>882</v>
      </c>
      <c r="K644" t="s">
        <v>884</v>
      </c>
      <c r="L644" t="s">
        <v>885</v>
      </c>
      <c r="M644" t="s">
        <v>886</v>
      </c>
    </row>
    <row r="645" spans="1:13">
      <c r="A645">
        <v>1999</v>
      </c>
      <c r="B645">
        <v>14</v>
      </c>
      <c r="C645" t="s">
        <v>894</v>
      </c>
      <c r="D645" s="82">
        <v>36429</v>
      </c>
      <c r="E645" t="s">
        <v>1710</v>
      </c>
      <c r="F645" t="s">
        <v>2741</v>
      </c>
      <c r="G645">
        <v>50.335599999999999</v>
      </c>
      <c r="H645">
        <v>6.9474999999999998</v>
      </c>
      <c r="I645" t="s">
        <v>2027</v>
      </c>
      <c r="J645" t="s">
        <v>893</v>
      </c>
      <c r="K645" t="s">
        <v>895</v>
      </c>
      <c r="L645" t="s">
        <v>896</v>
      </c>
      <c r="M645" t="s">
        <v>761</v>
      </c>
    </row>
    <row r="646" spans="1:13">
      <c r="A646">
        <v>1999</v>
      </c>
      <c r="B646">
        <v>15</v>
      </c>
      <c r="C646" t="s">
        <v>1712</v>
      </c>
      <c r="D646" s="82">
        <v>36450</v>
      </c>
      <c r="E646" t="s">
        <v>1716</v>
      </c>
      <c r="F646" t="s">
        <v>2742</v>
      </c>
      <c r="G646">
        <v>2.7608299999999999</v>
      </c>
      <c r="H646">
        <v>101.738</v>
      </c>
      <c r="I646" t="s">
        <v>2079</v>
      </c>
      <c r="J646" t="s">
        <v>1711</v>
      </c>
      <c r="K646" t="s">
        <v>1713</v>
      </c>
      <c r="L646" t="s">
        <v>1714</v>
      </c>
      <c r="M646" t="s">
        <v>1715</v>
      </c>
    </row>
    <row r="647" spans="1:13">
      <c r="A647">
        <v>1999</v>
      </c>
      <c r="B647">
        <v>16</v>
      </c>
      <c r="C647" t="s">
        <v>1494</v>
      </c>
      <c r="D647" s="82">
        <v>36464</v>
      </c>
      <c r="E647" t="s">
        <v>1717</v>
      </c>
      <c r="F647" t="s">
        <v>2743</v>
      </c>
      <c r="G647">
        <v>34.8431</v>
      </c>
      <c r="H647">
        <v>136.541</v>
      </c>
      <c r="I647" t="s">
        <v>2072</v>
      </c>
      <c r="J647" t="s">
        <v>1280</v>
      </c>
      <c r="K647" t="s">
        <v>1495</v>
      </c>
      <c r="L647" t="s">
        <v>1496</v>
      </c>
      <c r="M647" t="s">
        <v>375</v>
      </c>
    </row>
    <row r="648" spans="1:13">
      <c r="A648">
        <v>2000</v>
      </c>
      <c r="B648">
        <v>1</v>
      </c>
      <c r="C648" t="s">
        <v>1644</v>
      </c>
      <c r="D648" s="82">
        <v>36597</v>
      </c>
      <c r="E648" t="s">
        <v>1718</v>
      </c>
      <c r="F648" t="s">
        <v>2744</v>
      </c>
      <c r="G648">
        <v>-37.849699999999999</v>
      </c>
      <c r="H648">
        <v>144.96799999999999</v>
      </c>
      <c r="I648" t="s">
        <v>2078</v>
      </c>
      <c r="J648" t="s">
        <v>1450</v>
      </c>
      <c r="K648" t="s">
        <v>1645</v>
      </c>
      <c r="L648" t="s">
        <v>1646</v>
      </c>
      <c r="M648" t="s">
        <v>1454</v>
      </c>
    </row>
    <row r="649" spans="1:13">
      <c r="A649">
        <v>2000</v>
      </c>
      <c r="B649">
        <v>2</v>
      </c>
      <c r="C649" t="s">
        <v>1204</v>
      </c>
      <c r="D649" s="82">
        <v>36611</v>
      </c>
      <c r="E649" t="s">
        <v>1719</v>
      </c>
      <c r="F649" t="s">
        <v>2745</v>
      </c>
      <c r="G649">
        <v>-23.703600000000002</v>
      </c>
      <c r="H649">
        <v>-46.6997</v>
      </c>
      <c r="I649" t="s">
        <v>2056</v>
      </c>
      <c r="J649" t="s">
        <v>1203</v>
      </c>
      <c r="K649" t="s">
        <v>1205</v>
      </c>
      <c r="L649" t="s">
        <v>1206</v>
      </c>
      <c r="M649" t="s">
        <v>1207</v>
      </c>
    </row>
    <row r="650" spans="1:13">
      <c r="A650">
        <v>2000</v>
      </c>
      <c r="B650">
        <v>3</v>
      </c>
      <c r="C650" t="s">
        <v>1350</v>
      </c>
      <c r="D650" s="82">
        <v>36625</v>
      </c>
      <c r="E650" t="s">
        <v>1720</v>
      </c>
      <c r="F650" t="s">
        <v>2746</v>
      </c>
      <c r="G650">
        <v>44.343899999999998</v>
      </c>
      <c r="H650">
        <v>11.716699999999999</v>
      </c>
      <c r="I650" t="s">
        <v>2064</v>
      </c>
      <c r="J650" t="s">
        <v>882</v>
      </c>
      <c r="K650" t="s">
        <v>1351</v>
      </c>
      <c r="L650" t="s">
        <v>1352</v>
      </c>
      <c r="M650" t="s">
        <v>886</v>
      </c>
    </row>
    <row r="651" spans="1:13">
      <c r="A651">
        <v>2000</v>
      </c>
      <c r="B651">
        <v>4</v>
      </c>
      <c r="C651" t="s">
        <v>851</v>
      </c>
      <c r="D651" s="82">
        <v>36639</v>
      </c>
      <c r="E651" t="s">
        <v>1721</v>
      </c>
      <c r="F651" t="s">
        <v>2747</v>
      </c>
      <c r="G651">
        <v>52.078600000000002</v>
      </c>
      <c r="H651">
        <v>-1.01694</v>
      </c>
      <c r="I651" t="s">
        <v>2020</v>
      </c>
      <c r="J651" t="s">
        <v>850</v>
      </c>
      <c r="K651" t="s">
        <v>852</v>
      </c>
      <c r="L651" t="s">
        <v>853</v>
      </c>
      <c r="M651" t="s">
        <v>854</v>
      </c>
    </row>
    <row r="652" spans="1:13">
      <c r="A652">
        <v>2000</v>
      </c>
      <c r="B652">
        <v>5</v>
      </c>
      <c r="C652" t="s">
        <v>1566</v>
      </c>
      <c r="D652" s="82">
        <v>36653</v>
      </c>
      <c r="E652" t="s">
        <v>1722</v>
      </c>
      <c r="F652" t="s">
        <v>2748</v>
      </c>
      <c r="G652">
        <v>41.57</v>
      </c>
      <c r="H652">
        <v>2.26111</v>
      </c>
      <c r="I652" t="s">
        <v>2075</v>
      </c>
      <c r="J652" t="s">
        <v>899</v>
      </c>
      <c r="K652" t="s">
        <v>1567</v>
      </c>
      <c r="L652" t="s">
        <v>1568</v>
      </c>
      <c r="M652" t="s">
        <v>903</v>
      </c>
    </row>
    <row r="653" spans="1:13">
      <c r="A653">
        <v>2000</v>
      </c>
      <c r="B653">
        <v>6</v>
      </c>
      <c r="C653" t="s">
        <v>894</v>
      </c>
      <c r="D653" s="82">
        <v>36667</v>
      </c>
      <c r="E653" t="s">
        <v>1723</v>
      </c>
      <c r="F653" t="s">
        <v>2749</v>
      </c>
      <c r="G653">
        <v>50.335599999999999</v>
      </c>
      <c r="H653">
        <v>6.9474999999999998</v>
      </c>
      <c r="I653" t="s">
        <v>2027</v>
      </c>
      <c r="J653" t="s">
        <v>893</v>
      </c>
      <c r="K653" t="s">
        <v>895</v>
      </c>
      <c r="L653" t="s">
        <v>896</v>
      </c>
      <c r="M653" t="s">
        <v>761</v>
      </c>
    </row>
    <row r="654" spans="1:13">
      <c r="A654">
        <v>2000</v>
      </c>
      <c r="B654">
        <v>7</v>
      </c>
      <c r="C654" t="s">
        <v>857</v>
      </c>
      <c r="D654" s="82">
        <v>36681</v>
      </c>
      <c r="E654" t="s">
        <v>1724</v>
      </c>
      <c r="F654" t="s">
        <v>2750</v>
      </c>
      <c r="G654">
        <v>43.734699999999997</v>
      </c>
      <c r="H654">
        <v>7.42056</v>
      </c>
      <c r="I654" t="s">
        <v>2021</v>
      </c>
      <c r="J654" t="s">
        <v>856</v>
      </c>
      <c r="K654" t="s">
        <v>858</v>
      </c>
      <c r="L654" t="s">
        <v>859</v>
      </c>
      <c r="M654" t="s">
        <v>860</v>
      </c>
    </row>
    <row r="655" spans="1:13">
      <c r="A655">
        <v>2000</v>
      </c>
      <c r="B655">
        <v>8</v>
      </c>
      <c r="C655" t="s">
        <v>1320</v>
      </c>
      <c r="D655" s="82">
        <v>36695</v>
      </c>
      <c r="E655" t="s">
        <v>1725</v>
      </c>
      <c r="F655" t="s">
        <v>2751</v>
      </c>
      <c r="G655">
        <v>45.5</v>
      </c>
      <c r="H655">
        <v>-73.522800000000004</v>
      </c>
      <c r="I655" t="s">
        <v>2063</v>
      </c>
      <c r="J655" t="s">
        <v>1115</v>
      </c>
      <c r="K655" t="s">
        <v>1321</v>
      </c>
      <c r="L655" t="s">
        <v>1322</v>
      </c>
      <c r="M655" t="s">
        <v>1119</v>
      </c>
    </row>
    <row r="656" spans="1:13">
      <c r="A656">
        <v>2000</v>
      </c>
      <c r="B656">
        <v>9</v>
      </c>
      <c r="C656" t="s">
        <v>1556</v>
      </c>
      <c r="D656" s="82">
        <v>36709</v>
      </c>
      <c r="E656" t="s">
        <v>1726</v>
      </c>
      <c r="F656" t="s">
        <v>2752</v>
      </c>
      <c r="G656">
        <v>46.864199999999997</v>
      </c>
      <c r="H656">
        <v>3.1636099999999998</v>
      </c>
      <c r="I656" t="s">
        <v>2074</v>
      </c>
      <c r="J656" t="s">
        <v>877</v>
      </c>
      <c r="K656" t="s">
        <v>1557</v>
      </c>
      <c r="L656" t="s">
        <v>1558</v>
      </c>
      <c r="M656" t="s">
        <v>755</v>
      </c>
    </row>
    <row r="657" spans="1:13">
      <c r="A657">
        <v>2000</v>
      </c>
      <c r="B657">
        <v>10</v>
      </c>
      <c r="C657" t="s">
        <v>1166</v>
      </c>
      <c r="D657" s="82">
        <v>36723</v>
      </c>
      <c r="E657" t="s">
        <v>1727</v>
      </c>
      <c r="F657" t="s">
        <v>2753</v>
      </c>
      <c r="G657">
        <v>47.219700000000003</v>
      </c>
      <c r="H657">
        <v>14.764699999999999</v>
      </c>
      <c r="I657" t="s">
        <v>2053</v>
      </c>
      <c r="J657" t="s">
        <v>1072</v>
      </c>
      <c r="K657" t="s">
        <v>1167</v>
      </c>
      <c r="L657" t="s">
        <v>1168</v>
      </c>
      <c r="M657" t="s">
        <v>1076</v>
      </c>
    </row>
    <row r="658" spans="1:13">
      <c r="A658">
        <v>2000</v>
      </c>
      <c r="B658">
        <v>11</v>
      </c>
      <c r="C658" t="s">
        <v>1162</v>
      </c>
      <c r="D658" s="82">
        <v>36737</v>
      </c>
      <c r="E658" t="s">
        <v>1728</v>
      </c>
      <c r="F658" t="s">
        <v>2754</v>
      </c>
      <c r="G658">
        <v>49.327800000000003</v>
      </c>
      <c r="H658">
        <v>8.5658300000000001</v>
      </c>
      <c r="I658" t="s">
        <v>2052</v>
      </c>
      <c r="J658" t="s">
        <v>893</v>
      </c>
      <c r="K658" t="s">
        <v>1163</v>
      </c>
      <c r="L658" t="s">
        <v>1164</v>
      </c>
      <c r="M658" t="s">
        <v>761</v>
      </c>
    </row>
    <row r="659" spans="1:13">
      <c r="A659">
        <v>2000</v>
      </c>
      <c r="B659">
        <v>12</v>
      </c>
      <c r="C659" t="s">
        <v>1470</v>
      </c>
      <c r="D659" s="82">
        <v>36751</v>
      </c>
      <c r="E659" t="s">
        <v>1729</v>
      </c>
      <c r="F659" t="s">
        <v>2755</v>
      </c>
      <c r="G659">
        <v>47.578899999999997</v>
      </c>
      <c r="H659">
        <v>19.2486</v>
      </c>
      <c r="I659" t="s">
        <v>2071</v>
      </c>
      <c r="J659" t="s">
        <v>1469</v>
      </c>
      <c r="K659" t="s">
        <v>1471</v>
      </c>
      <c r="L659" t="s">
        <v>1472</v>
      </c>
      <c r="M659" t="s">
        <v>1473</v>
      </c>
    </row>
    <row r="660" spans="1:13">
      <c r="A660">
        <v>2000</v>
      </c>
      <c r="B660">
        <v>13</v>
      </c>
      <c r="C660" t="s">
        <v>873</v>
      </c>
      <c r="D660" s="82">
        <v>36765</v>
      </c>
      <c r="E660" t="s">
        <v>1730</v>
      </c>
      <c r="F660" t="s">
        <v>2756</v>
      </c>
      <c r="G660">
        <v>50.437199999999997</v>
      </c>
      <c r="H660">
        <v>5.9713900000000004</v>
      </c>
      <c r="I660" t="s">
        <v>2024</v>
      </c>
      <c r="J660" t="s">
        <v>872</v>
      </c>
      <c r="K660" t="s">
        <v>874</v>
      </c>
      <c r="L660" t="s">
        <v>875</v>
      </c>
      <c r="M660" t="s">
        <v>244</v>
      </c>
    </row>
    <row r="661" spans="1:13">
      <c r="A661">
        <v>2000</v>
      </c>
      <c r="B661">
        <v>14</v>
      </c>
      <c r="C661" t="s">
        <v>883</v>
      </c>
      <c r="D661" s="82">
        <v>36779</v>
      </c>
      <c r="E661" t="s">
        <v>1731</v>
      </c>
      <c r="F661" t="s">
        <v>2757</v>
      </c>
      <c r="G661">
        <v>45.615600000000001</v>
      </c>
      <c r="H661">
        <v>9.28111</v>
      </c>
      <c r="I661" t="s">
        <v>2026</v>
      </c>
      <c r="J661" t="s">
        <v>882</v>
      </c>
      <c r="K661" t="s">
        <v>884</v>
      </c>
      <c r="L661" t="s">
        <v>885</v>
      </c>
      <c r="M661" t="s">
        <v>886</v>
      </c>
    </row>
    <row r="662" spans="1:13">
      <c r="A662">
        <v>2000</v>
      </c>
      <c r="B662">
        <v>15</v>
      </c>
      <c r="C662" t="s">
        <v>863</v>
      </c>
      <c r="D662" s="82">
        <v>36793</v>
      </c>
      <c r="E662" t="s">
        <v>1732</v>
      </c>
      <c r="F662" t="s">
        <v>2758</v>
      </c>
      <c r="G662">
        <v>39.795000000000002</v>
      </c>
      <c r="H662">
        <v>-86.234700000000004</v>
      </c>
      <c r="I662" t="s">
        <v>2022</v>
      </c>
      <c r="J662" t="s">
        <v>862</v>
      </c>
      <c r="K662" t="s">
        <v>864</v>
      </c>
      <c r="L662" t="s">
        <v>865</v>
      </c>
      <c r="M662" t="s">
        <v>1010</v>
      </c>
    </row>
    <row r="663" spans="1:13">
      <c r="A663">
        <v>2000</v>
      </c>
      <c r="B663">
        <v>16</v>
      </c>
      <c r="C663" t="s">
        <v>1494</v>
      </c>
      <c r="D663" s="82">
        <v>36807</v>
      </c>
      <c r="E663" t="s">
        <v>1733</v>
      </c>
      <c r="F663" t="s">
        <v>2759</v>
      </c>
      <c r="G663">
        <v>34.8431</v>
      </c>
      <c r="H663">
        <v>136.541</v>
      </c>
      <c r="I663" t="s">
        <v>2072</v>
      </c>
      <c r="J663" t="s">
        <v>1280</v>
      </c>
      <c r="K663" t="s">
        <v>1495</v>
      </c>
      <c r="L663" t="s">
        <v>1496</v>
      </c>
      <c r="M663" t="s">
        <v>375</v>
      </c>
    </row>
    <row r="664" spans="1:13">
      <c r="A664">
        <v>2000</v>
      </c>
      <c r="B664">
        <v>17</v>
      </c>
      <c r="C664" t="s">
        <v>1712</v>
      </c>
      <c r="D664" s="82">
        <v>36821</v>
      </c>
      <c r="E664" t="s">
        <v>1734</v>
      </c>
      <c r="F664" t="s">
        <v>2760</v>
      </c>
      <c r="G664">
        <v>2.7608299999999999</v>
      </c>
      <c r="H664">
        <v>101.738</v>
      </c>
      <c r="I664" t="s">
        <v>2079</v>
      </c>
      <c r="J664" t="s">
        <v>1711</v>
      </c>
      <c r="K664" t="s">
        <v>1713</v>
      </c>
      <c r="L664" t="s">
        <v>1714</v>
      </c>
      <c r="M664" t="s">
        <v>1715</v>
      </c>
    </row>
    <row r="665" spans="1:13">
      <c r="A665">
        <v>2001</v>
      </c>
      <c r="B665">
        <v>1</v>
      </c>
      <c r="C665" t="s">
        <v>1644</v>
      </c>
      <c r="D665" s="82">
        <v>36954</v>
      </c>
      <c r="E665" t="s">
        <v>1735</v>
      </c>
      <c r="F665" t="s">
        <v>2761</v>
      </c>
      <c r="G665">
        <v>-37.849699999999999</v>
      </c>
      <c r="H665">
        <v>144.96799999999999</v>
      </c>
      <c r="I665" t="s">
        <v>2078</v>
      </c>
      <c r="J665" t="s">
        <v>1450</v>
      </c>
      <c r="K665" t="s">
        <v>1645</v>
      </c>
      <c r="L665" t="s">
        <v>1646</v>
      </c>
      <c r="M665" t="s">
        <v>1454</v>
      </c>
    </row>
    <row r="666" spans="1:13">
      <c r="A666">
        <v>2001</v>
      </c>
      <c r="B666">
        <v>2</v>
      </c>
      <c r="C666" t="s">
        <v>1712</v>
      </c>
      <c r="D666" s="82">
        <v>36968</v>
      </c>
      <c r="E666" t="s">
        <v>1736</v>
      </c>
      <c r="F666" t="s">
        <v>2762</v>
      </c>
      <c r="G666">
        <v>2.7608299999999999</v>
      </c>
      <c r="H666">
        <v>101.738</v>
      </c>
      <c r="I666" t="s">
        <v>2079</v>
      </c>
      <c r="J666" t="s">
        <v>1711</v>
      </c>
      <c r="K666" t="s">
        <v>1713</v>
      </c>
      <c r="L666" t="s">
        <v>1714</v>
      </c>
      <c r="M666" t="s">
        <v>1715</v>
      </c>
    </row>
    <row r="667" spans="1:13">
      <c r="A667">
        <v>2001</v>
      </c>
      <c r="B667">
        <v>3</v>
      </c>
      <c r="C667" t="s">
        <v>1204</v>
      </c>
      <c r="D667" s="82">
        <v>36982</v>
      </c>
      <c r="E667" t="s">
        <v>1737</v>
      </c>
      <c r="F667" t="s">
        <v>2763</v>
      </c>
      <c r="G667">
        <v>-23.703600000000002</v>
      </c>
      <c r="H667">
        <v>-46.6997</v>
      </c>
      <c r="I667" t="s">
        <v>2056</v>
      </c>
      <c r="J667" t="s">
        <v>1203</v>
      </c>
      <c r="K667" t="s">
        <v>1205</v>
      </c>
      <c r="L667" t="s">
        <v>1206</v>
      </c>
      <c r="M667" t="s">
        <v>1207</v>
      </c>
    </row>
    <row r="668" spans="1:13">
      <c r="A668">
        <v>2001</v>
      </c>
      <c r="B668">
        <v>4</v>
      </c>
      <c r="C668" t="s">
        <v>1350</v>
      </c>
      <c r="D668" s="82">
        <v>36996</v>
      </c>
      <c r="E668" t="s">
        <v>1738</v>
      </c>
      <c r="F668" t="s">
        <v>2764</v>
      </c>
      <c r="G668">
        <v>44.343899999999998</v>
      </c>
      <c r="H668">
        <v>11.716699999999999</v>
      </c>
      <c r="I668" t="s">
        <v>2064</v>
      </c>
      <c r="J668" t="s">
        <v>882</v>
      </c>
      <c r="K668" t="s">
        <v>1351</v>
      </c>
      <c r="L668" t="s">
        <v>1352</v>
      </c>
      <c r="M668" t="s">
        <v>886</v>
      </c>
    </row>
    <row r="669" spans="1:13">
      <c r="A669">
        <v>2001</v>
      </c>
      <c r="B669">
        <v>5</v>
      </c>
      <c r="C669" t="s">
        <v>1566</v>
      </c>
      <c r="D669" s="82">
        <v>37010</v>
      </c>
      <c r="E669" t="s">
        <v>1739</v>
      </c>
      <c r="F669" t="s">
        <v>2765</v>
      </c>
      <c r="G669">
        <v>41.57</v>
      </c>
      <c r="H669">
        <v>2.26111</v>
      </c>
      <c r="I669" t="s">
        <v>2075</v>
      </c>
      <c r="J669" t="s">
        <v>899</v>
      </c>
      <c r="K669" t="s">
        <v>1567</v>
      </c>
      <c r="L669" t="s">
        <v>1568</v>
      </c>
      <c r="M669" t="s">
        <v>903</v>
      </c>
    </row>
    <row r="670" spans="1:13">
      <c r="A670">
        <v>2001</v>
      </c>
      <c r="B670">
        <v>6</v>
      </c>
      <c r="C670" t="s">
        <v>1166</v>
      </c>
      <c r="D670" s="82">
        <v>37024</v>
      </c>
      <c r="E670" t="s">
        <v>1740</v>
      </c>
      <c r="F670" t="s">
        <v>2766</v>
      </c>
      <c r="G670">
        <v>47.219700000000003</v>
      </c>
      <c r="H670">
        <v>14.764699999999999</v>
      </c>
      <c r="I670" t="s">
        <v>2053</v>
      </c>
      <c r="J670" t="s">
        <v>1072</v>
      </c>
      <c r="K670" t="s">
        <v>1167</v>
      </c>
      <c r="L670" t="s">
        <v>1168</v>
      </c>
      <c r="M670" t="s">
        <v>1076</v>
      </c>
    </row>
    <row r="671" spans="1:13">
      <c r="A671">
        <v>2001</v>
      </c>
      <c r="B671">
        <v>7</v>
      </c>
      <c r="C671" t="s">
        <v>857</v>
      </c>
      <c r="D671" s="82">
        <v>37038</v>
      </c>
      <c r="E671" t="s">
        <v>1741</v>
      </c>
      <c r="F671" t="s">
        <v>2767</v>
      </c>
      <c r="G671">
        <v>43.734699999999997</v>
      </c>
      <c r="H671">
        <v>7.42056</v>
      </c>
      <c r="I671" t="s">
        <v>2021</v>
      </c>
      <c r="J671" t="s">
        <v>856</v>
      </c>
      <c r="K671" t="s">
        <v>858</v>
      </c>
      <c r="L671" t="s">
        <v>859</v>
      </c>
      <c r="M671" t="s">
        <v>860</v>
      </c>
    </row>
    <row r="672" spans="1:13">
      <c r="A672">
        <v>2001</v>
      </c>
      <c r="B672">
        <v>8</v>
      </c>
      <c r="C672" t="s">
        <v>1320</v>
      </c>
      <c r="D672" s="82">
        <v>37052</v>
      </c>
      <c r="E672" t="s">
        <v>1742</v>
      </c>
      <c r="F672" t="s">
        <v>2768</v>
      </c>
      <c r="G672">
        <v>45.5</v>
      </c>
      <c r="H672">
        <v>-73.522800000000004</v>
      </c>
      <c r="I672" t="s">
        <v>2063</v>
      </c>
      <c r="J672" t="s">
        <v>1115</v>
      </c>
      <c r="K672" t="s">
        <v>1321</v>
      </c>
      <c r="L672" t="s">
        <v>1322</v>
      </c>
      <c r="M672" t="s">
        <v>1119</v>
      </c>
    </row>
    <row r="673" spans="1:13">
      <c r="A673">
        <v>2001</v>
      </c>
      <c r="B673">
        <v>9</v>
      </c>
      <c r="C673" t="s">
        <v>894</v>
      </c>
      <c r="D673" s="82">
        <v>37066</v>
      </c>
      <c r="E673" t="s">
        <v>1743</v>
      </c>
      <c r="F673" t="s">
        <v>2769</v>
      </c>
      <c r="G673">
        <v>50.335599999999999</v>
      </c>
      <c r="H673">
        <v>6.9474999999999998</v>
      </c>
      <c r="I673" t="s">
        <v>2027</v>
      </c>
      <c r="J673" t="s">
        <v>893</v>
      </c>
      <c r="K673" t="s">
        <v>895</v>
      </c>
      <c r="L673" t="s">
        <v>896</v>
      </c>
      <c r="M673" t="s">
        <v>761</v>
      </c>
    </row>
    <row r="674" spans="1:13">
      <c r="A674">
        <v>2001</v>
      </c>
      <c r="B674">
        <v>10</v>
      </c>
      <c r="C674" t="s">
        <v>1556</v>
      </c>
      <c r="D674" s="82">
        <v>37073</v>
      </c>
      <c r="E674" t="s">
        <v>1744</v>
      </c>
      <c r="F674" t="s">
        <v>2770</v>
      </c>
      <c r="G674">
        <v>46.864199999999997</v>
      </c>
      <c r="H674">
        <v>3.1636099999999998</v>
      </c>
      <c r="I674" t="s">
        <v>2074</v>
      </c>
      <c r="J674" t="s">
        <v>877</v>
      </c>
      <c r="K674" t="s">
        <v>1557</v>
      </c>
      <c r="L674" t="s">
        <v>1558</v>
      </c>
      <c r="M674" t="s">
        <v>755</v>
      </c>
    </row>
    <row r="675" spans="1:13">
      <c r="A675">
        <v>2001</v>
      </c>
      <c r="B675">
        <v>11</v>
      </c>
      <c r="C675" t="s">
        <v>851</v>
      </c>
      <c r="D675" s="82">
        <v>37087</v>
      </c>
      <c r="E675" t="s">
        <v>1745</v>
      </c>
      <c r="F675" t="s">
        <v>2771</v>
      </c>
      <c r="G675">
        <v>52.078600000000002</v>
      </c>
      <c r="H675">
        <v>-1.01694</v>
      </c>
      <c r="I675" t="s">
        <v>2020</v>
      </c>
      <c r="J675" t="s">
        <v>850</v>
      </c>
      <c r="K675" t="s">
        <v>852</v>
      </c>
      <c r="L675" t="s">
        <v>853</v>
      </c>
      <c r="M675" t="s">
        <v>854</v>
      </c>
    </row>
    <row r="676" spans="1:13">
      <c r="A676">
        <v>2001</v>
      </c>
      <c r="B676">
        <v>12</v>
      </c>
      <c r="C676" t="s">
        <v>1162</v>
      </c>
      <c r="D676" s="82">
        <v>37101</v>
      </c>
      <c r="E676" t="s">
        <v>1746</v>
      </c>
      <c r="F676" t="s">
        <v>2772</v>
      </c>
      <c r="G676">
        <v>49.327800000000003</v>
      </c>
      <c r="H676">
        <v>8.5658300000000001</v>
      </c>
      <c r="I676" t="s">
        <v>2052</v>
      </c>
      <c r="J676" t="s">
        <v>893</v>
      </c>
      <c r="K676" t="s">
        <v>1163</v>
      </c>
      <c r="L676" t="s">
        <v>1164</v>
      </c>
      <c r="M676" t="s">
        <v>761</v>
      </c>
    </row>
    <row r="677" spans="1:13">
      <c r="A677">
        <v>2001</v>
      </c>
      <c r="B677">
        <v>13</v>
      </c>
      <c r="C677" t="s">
        <v>1470</v>
      </c>
      <c r="D677" s="82">
        <v>37122</v>
      </c>
      <c r="E677" t="s">
        <v>1747</v>
      </c>
      <c r="F677" t="s">
        <v>2773</v>
      </c>
      <c r="G677">
        <v>47.578899999999997</v>
      </c>
      <c r="H677">
        <v>19.2486</v>
      </c>
      <c r="I677" t="s">
        <v>2071</v>
      </c>
      <c r="J677" t="s">
        <v>1469</v>
      </c>
      <c r="K677" t="s">
        <v>1471</v>
      </c>
      <c r="L677" t="s">
        <v>1472</v>
      </c>
      <c r="M677" t="s">
        <v>1473</v>
      </c>
    </row>
    <row r="678" spans="1:13">
      <c r="A678">
        <v>2001</v>
      </c>
      <c r="B678">
        <v>14</v>
      </c>
      <c r="C678" t="s">
        <v>873</v>
      </c>
      <c r="D678" s="82">
        <v>37136</v>
      </c>
      <c r="E678" t="s">
        <v>1748</v>
      </c>
      <c r="F678" t="s">
        <v>2774</v>
      </c>
      <c r="G678">
        <v>50.437199999999997</v>
      </c>
      <c r="H678">
        <v>5.9713900000000004</v>
      </c>
      <c r="I678" t="s">
        <v>2024</v>
      </c>
      <c r="J678" t="s">
        <v>872</v>
      </c>
      <c r="K678" t="s">
        <v>874</v>
      </c>
      <c r="L678" t="s">
        <v>875</v>
      </c>
      <c r="M678" t="s">
        <v>244</v>
      </c>
    </row>
    <row r="679" spans="1:13">
      <c r="A679">
        <v>2001</v>
      </c>
      <c r="B679">
        <v>15</v>
      </c>
      <c r="C679" t="s">
        <v>883</v>
      </c>
      <c r="D679" s="82">
        <v>37150</v>
      </c>
      <c r="E679" t="s">
        <v>1749</v>
      </c>
      <c r="F679" t="s">
        <v>2775</v>
      </c>
      <c r="G679">
        <v>45.615600000000001</v>
      </c>
      <c r="H679">
        <v>9.28111</v>
      </c>
      <c r="I679" t="s">
        <v>2026</v>
      </c>
      <c r="J679" t="s">
        <v>882</v>
      </c>
      <c r="K679" t="s">
        <v>884</v>
      </c>
      <c r="L679" t="s">
        <v>885</v>
      </c>
      <c r="M679" t="s">
        <v>886</v>
      </c>
    </row>
    <row r="680" spans="1:13">
      <c r="A680">
        <v>2001</v>
      </c>
      <c r="B680">
        <v>16</v>
      </c>
      <c r="C680" t="s">
        <v>863</v>
      </c>
      <c r="D680" s="82">
        <v>37164</v>
      </c>
      <c r="E680" t="s">
        <v>1750</v>
      </c>
      <c r="F680" t="s">
        <v>2776</v>
      </c>
      <c r="G680">
        <v>39.795000000000002</v>
      </c>
      <c r="H680">
        <v>-86.234700000000004</v>
      </c>
      <c r="I680" t="s">
        <v>2022</v>
      </c>
      <c r="J680" t="s">
        <v>862</v>
      </c>
      <c r="K680" t="s">
        <v>864</v>
      </c>
      <c r="L680" t="s">
        <v>865</v>
      </c>
      <c r="M680" t="s">
        <v>1010</v>
      </c>
    </row>
    <row r="681" spans="1:13">
      <c r="A681">
        <v>2001</v>
      </c>
      <c r="B681">
        <v>17</v>
      </c>
      <c r="C681" t="s">
        <v>1494</v>
      </c>
      <c r="D681" s="82">
        <v>37178</v>
      </c>
      <c r="E681" t="s">
        <v>1751</v>
      </c>
      <c r="F681" t="s">
        <v>2777</v>
      </c>
      <c r="G681">
        <v>34.8431</v>
      </c>
      <c r="H681">
        <v>136.541</v>
      </c>
      <c r="I681" t="s">
        <v>2072</v>
      </c>
      <c r="J681" t="s">
        <v>1280</v>
      </c>
      <c r="K681" t="s">
        <v>1495</v>
      </c>
      <c r="L681" t="s">
        <v>1496</v>
      </c>
      <c r="M681" t="s">
        <v>375</v>
      </c>
    </row>
    <row r="682" spans="1:13">
      <c r="A682">
        <v>2002</v>
      </c>
      <c r="B682">
        <v>1</v>
      </c>
      <c r="C682" t="s">
        <v>1644</v>
      </c>
      <c r="D682" s="82">
        <v>37318</v>
      </c>
      <c r="E682" t="s">
        <v>1752</v>
      </c>
      <c r="F682" t="s">
        <v>2778</v>
      </c>
      <c r="G682">
        <v>-37.849699999999999</v>
      </c>
      <c r="H682">
        <v>144.96799999999999</v>
      </c>
      <c r="I682" t="s">
        <v>2078</v>
      </c>
      <c r="J682" t="s">
        <v>1450</v>
      </c>
      <c r="K682" t="s">
        <v>1645</v>
      </c>
      <c r="L682" t="s">
        <v>1646</v>
      </c>
      <c r="M682" t="s">
        <v>1454</v>
      </c>
    </row>
    <row r="683" spans="1:13">
      <c r="A683">
        <v>2002</v>
      </c>
      <c r="B683">
        <v>2</v>
      </c>
      <c r="C683" t="s">
        <v>1712</v>
      </c>
      <c r="D683" s="82">
        <v>37332</v>
      </c>
      <c r="E683" t="s">
        <v>1753</v>
      </c>
      <c r="F683" t="s">
        <v>2779</v>
      </c>
      <c r="G683">
        <v>2.7608299999999999</v>
      </c>
      <c r="H683">
        <v>101.738</v>
      </c>
      <c r="I683" t="s">
        <v>2079</v>
      </c>
      <c r="J683" t="s">
        <v>1711</v>
      </c>
      <c r="K683" t="s">
        <v>1713</v>
      </c>
      <c r="L683" t="s">
        <v>1714</v>
      </c>
      <c r="M683" t="s">
        <v>1715</v>
      </c>
    </row>
    <row r="684" spans="1:13">
      <c r="A684">
        <v>2002</v>
      </c>
      <c r="B684">
        <v>3</v>
      </c>
      <c r="C684" t="s">
        <v>1204</v>
      </c>
      <c r="D684" s="82">
        <v>37346</v>
      </c>
      <c r="E684" t="s">
        <v>1754</v>
      </c>
      <c r="F684" t="s">
        <v>2780</v>
      </c>
      <c r="G684">
        <v>-23.703600000000002</v>
      </c>
      <c r="H684">
        <v>-46.6997</v>
      </c>
      <c r="I684" t="s">
        <v>2056</v>
      </c>
      <c r="J684" t="s">
        <v>1203</v>
      </c>
      <c r="K684" t="s">
        <v>1205</v>
      </c>
      <c r="L684" t="s">
        <v>1206</v>
      </c>
      <c r="M684" t="s">
        <v>1207</v>
      </c>
    </row>
    <row r="685" spans="1:13">
      <c r="A685">
        <v>2002</v>
      </c>
      <c r="B685">
        <v>4</v>
      </c>
      <c r="C685" t="s">
        <v>1350</v>
      </c>
      <c r="D685" s="82">
        <v>37360</v>
      </c>
      <c r="E685" t="s">
        <v>1755</v>
      </c>
      <c r="F685" t="s">
        <v>2781</v>
      </c>
      <c r="G685">
        <v>44.343899999999998</v>
      </c>
      <c r="H685">
        <v>11.716699999999999</v>
      </c>
      <c r="I685" t="s">
        <v>2064</v>
      </c>
      <c r="J685" t="s">
        <v>882</v>
      </c>
      <c r="K685" t="s">
        <v>1351</v>
      </c>
      <c r="L685" t="s">
        <v>1352</v>
      </c>
      <c r="M685" t="s">
        <v>886</v>
      </c>
    </row>
    <row r="686" spans="1:13">
      <c r="A686">
        <v>2002</v>
      </c>
      <c r="B686">
        <v>5</v>
      </c>
      <c r="C686" t="s">
        <v>1566</v>
      </c>
      <c r="D686" s="82">
        <v>37374</v>
      </c>
      <c r="E686" t="s">
        <v>1756</v>
      </c>
      <c r="F686" t="s">
        <v>2782</v>
      </c>
      <c r="G686">
        <v>41.57</v>
      </c>
      <c r="H686">
        <v>2.26111</v>
      </c>
      <c r="I686" t="s">
        <v>2075</v>
      </c>
      <c r="J686" t="s">
        <v>899</v>
      </c>
      <c r="K686" t="s">
        <v>1567</v>
      </c>
      <c r="L686" t="s">
        <v>1568</v>
      </c>
      <c r="M686" t="s">
        <v>903</v>
      </c>
    </row>
    <row r="687" spans="1:13">
      <c r="A687">
        <v>2002</v>
      </c>
      <c r="B687">
        <v>6</v>
      </c>
      <c r="C687" t="s">
        <v>1166</v>
      </c>
      <c r="D687" s="82">
        <v>37388</v>
      </c>
      <c r="E687" t="s">
        <v>1757</v>
      </c>
      <c r="F687" t="s">
        <v>2783</v>
      </c>
      <c r="G687">
        <v>47.219700000000003</v>
      </c>
      <c r="H687">
        <v>14.764699999999999</v>
      </c>
      <c r="I687" t="s">
        <v>2053</v>
      </c>
      <c r="J687" t="s">
        <v>1072</v>
      </c>
      <c r="K687" t="s">
        <v>1167</v>
      </c>
      <c r="L687" t="s">
        <v>1168</v>
      </c>
      <c r="M687" t="s">
        <v>1076</v>
      </c>
    </row>
    <row r="688" spans="1:13">
      <c r="A688">
        <v>2002</v>
      </c>
      <c r="B688">
        <v>7</v>
      </c>
      <c r="C688" t="s">
        <v>857</v>
      </c>
      <c r="D688" s="82">
        <v>37402</v>
      </c>
      <c r="E688" t="s">
        <v>1758</v>
      </c>
      <c r="F688" t="s">
        <v>2784</v>
      </c>
      <c r="G688">
        <v>43.734699999999997</v>
      </c>
      <c r="H688">
        <v>7.42056</v>
      </c>
      <c r="I688" t="s">
        <v>2021</v>
      </c>
      <c r="J688" t="s">
        <v>856</v>
      </c>
      <c r="K688" t="s">
        <v>858</v>
      </c>
      <c r="L688" t="s">
        <v>859</v>
      </c>
      <c r="M688" t="s">
        <v>860</v>
      </c>
    </row>
    <row r="689" spans="1:13">
      <c r="A689">
        <v>2002</v>
      </c>
      <c r="B689">
        <v>8</v>
      </c>
      <c r="C689" t="s">
        <v>1320</v>
      </c>
      <c r="D689" s="82">
        <v>37416</v>
      </c>
      <c r="E689" t="s">
        <v>1759</v>
      </c>
      <c r="F689" t="s">
        <v>2785</v>
      </c>
      <c r="G689">
        <v>45.5</v>
      </c>
      <c r="H689">
        <v>-73.522800000000004</v>
      </c>
      <c r="I689" t="s">
        <v>2063</v>
      </c>
      <c r="J689" t="s">
        <v>1115</v>
      </c>
      <c r="K689" t="s">
        <v>1321</v>
      </c>
      <c r="L689" t="s">
        <v>1322</v>
      </c>
      <c r="M689" t="s">
        <v>1119</v>
      </c>
    </row>
    <row r="690" spans="1:13">
      <c r="A690">
        <v>2002</v>
      </c>
      <c r="B690">
        <v>9</v>
      </c>
      <c r="C690" t="s">
        <v>894</v>
      </c>
      <c r="D690" s="82">
        <v>37430</v>
      </c>
      <c r="E690" t="s">
        <v>1760</v>
      </c>
      <c r="F690" t="s">
        <v>2786</v>
      </c>
      <c r="G690">
        <v>50.335599999999999</v>
      </c>
      <c r="H690">
        <v>6.9474999999999998</v>
      </c>
      <c r="I690" t="s">
        <v>2027</v>
      </c>
      <c r="J690" t="s">
        <v>893</v>
      </c>
      <c r="K690" t="s">
        <v>895</v>
      </c>
      <c r="L690" t="s">
        <v>896</v>
      </c>
      <c r="M690" t="s">
        <v>761</v>
      </c>
    </row>
    <row r="691" spans="1:13">
      <c r="A691">
        <v>2002</v>
      </c>
      <c r="B691">
        <v>10</v>
      </c>
      <c r="C691" t="s">
        <v>851</v>
      </c>
      <c r="D691" s="82">
        <v>37444</v>
      </c>
      <c r="E691" t="s">
        <v>1761</v>
      </c>
      <c r="F691" t="s">
        <v>2787</v>
      </c>
      <c r="G691">
        <v>52.078600000000002</v>
      </c>
      <c r="H691">
        <v>-1.01694</v>
      </c>
      <c r="I691" t="s">
        <v>2020</v>
      </c>
      <c r="J691" t="s">
        <v>850</v>
      </c>
      <c r="K691" t="s">
        <v>852</v>
      </c>
      <c r="L691" t="s">
        <v>853</v>
      </c>
      <c r="M691" t="s">
        <v>854</v>
      </c>
    </row>
    <row r="692" spans="1:13">
      <c r="A692">
        <v>2002</v>
      </c>
      <c r="B692">
        <v>11</v>
      </c>
      <c r="C692" t="s">
        <v>1556</v>
      </c>
      <c r="D692" s="82">
        <v>37458</v>
      </c>
      <c r="E692" t="s">
        <v>1762</v>
      </c>
      <c r="F692" t="s">
        <v>2788</v>
      </c>
      <c r="G692">
        <v>46.864199999999997</v>
      </c>
      <c r="H692">
        <v>3.1636099999999998</v>
      </c>
      <c r="I692" t="s">
        <v>2074</v>
      </c>
      <c r="J692" t="s">
        <v>877</v>
      </c>
      <c r="K692" t="s">
        <v>1557</v>
      </c>
      <c r="L692" t="s">
        <v>1558</v>
      </c>
      <c r="M692" t="s">
        <v>755</v>
      </c>
    </row>
    <row r="693" spans="1:13">
      <c r="A693">
        <v>2002</v>
      </c>
      <c r="B693">
        <v>12</v>
      </c>
      <c r="C693" t="s">
        <v>1162</v>
      </c>
      <c r="D693" s="82">
        <v>37465</v>
      </c>
      <c r="E693" t="s">
        <v>1763</v>
      </c>
      <c r="F693" t="s">
        <v>2789</v>
      </c>
      <c r="G693">
        <v>49.327800000000003</v>
      </c>
      <c r="H693">
        <v>8.5658300000000001</v>
      </c>
      <c r="I693" t="s">
        <v>2052</v>
      </c>
      <c r="J693" t="s">
        <v>893</v>
      </c>
      <c r="K693" t="s">
        <v>1163</v>
      </c>
      <c r="L693" t="s">
        <v>1164</v>
      </c>
      <c r="M693" t="s">
        <v>761</v>
      </c>
    </row>
    <row r="694" spans="1:13">
      <c r="A694">
        <v>2002</v>
      </c>
      <c r="B694">
        <v>13</v>
      </c>
      <c r="C694" t="s">
        <v>1470</v>
      </c>
      <c r="D694" s="82">
        <v>37486</v>
      </c>
      <c r="E694" t="s">
        <v>1764</v>
      </c>
      <c r="F694" t="s">
        <v>2790</v>
      </c>
      <c r="G694">
        <v>47.578899999999997</v>
      </c>
      <c r="H694">
        <v>19.2486</v>
      </c>
      <c r="I694" t="s">
        <v>2071</v>
      </c>
      <c r="J694" t="s">
        <v>1469</v>
      </c>
      <c r="K694" t="s">
        <v>1471</v>
      </c>
      <c r="L694" t="s">
        <v>1472</v>
      </c>
      <c r="M694" t="s">
        <v>1473</v>
      </c>
    </row>
    <row r="695" spans="1:13">
      <c r="A695">
        <v>2002</v>
      </c>
      <c r="B695">
        <v>14</v>
      </c>
      <c r="C695" t="s">
        <v>873</v>
      </c>
      <c r="D695" s="82">
        <v>37500</v>
      </c>
      <c r="E695" t="s">
        <v>1765</v>
      </c>
      <c r="F695" t="s">
        <v>2791</v>
      </c>
      <c r="G695">
        <v>50.437199999999997</v>
      </c>
      <c r="H695">
        <v>5.9713900000000004</v>
      </c>
      <c r="I695" t="s">
        <v>2024</v>
      </c>
      <c r="J695" t="s">
        <v>872</v>
      </c>
      <c r="K695" t="s">
        <v>874</v>
      </c>
      <c r="L695" t="s">
        <v>875</v>
      </c>
      <c r="M695" t="s">
        <v>244</v>
      </c>
    </row>
    <row r="696" spans="1:13">
      <c r="A696">
        <v>2002</v>
      </c>
      <c r="B696">
        <v>15</v>
      </c>
      <c r="C696" t="s">
        <v>883</v>
      </c>
      <c r="D696" s="82">
        <v>37514</v>
      </c>
      <c r="E696" t="s">
        <v>1766</v>
      </c>
      <c r="F696" t="s">
        <v>2792</v>
      </c>
      <c r="G696">
        <v>45.615600000000001</v>
      </c>
      <c r="H696">
        <v>9.28111</v>
      </c>
      <c r="I696" t="s">
        <v>2026</v>
      </c>
      <c r="J696" t="s">
        <v>882</v>
      </c>
      <c r="K696" t="s">
        <v>884</v>
      </c>
      <c r="L696" t="s">
        <v>885</v>
      </c>
      <c r="M696" t="s">
        <v>886</v>
      </c>
    </row>
    <row r="697" spans="1:13">
      <c r="A697">
        <v>2002</v>
      </c>
      <c r="B697">
        <v>16</v>
      </c>
      <c r="C697" t="s">
        <v>863</v>
      </c>
      <c r="D697" s="82">
        <v>37528</v>
      </c>
      <c r="E697" t="s">
        <v>1767</v>
      </c>
      <c r="F697" t="s">
        <v>2793</v>
      </c>
      <c r="G697">
        <v>39.795000000000002</v>
      </c>
      <c r="H697">
        <v>-86.234700000000004</v>
      </c>
      <c r="I697" t="s">
        <v>2022</v>
      </c>
      <c r="J697" t="s">
        <v>862</v>
      </c>
      <c r="K697" t="s">
        <v>864</v>
      </c>
      <c r="L697" t="s">
        <v>865</v>
      </c>
      <c r="M697" t="s">
        <v>1010</v>
      </c>
    </row>
    <row r="698" spans="1:13">
      <c r="A698">
        <v>2002</v>
      </c>
      <c r="B698">
        <v>17</v>
      </c>
      <c r="C698" t="s">
        <v>1494</v>
      </c>
      <c r="D698" s="82">
        <v>37542</v>
      </c>
      <c r="E698" t="s">
        <v>1768</v>
      </c>
      <c r="F698" t="s">
        <v>2794</v>
      </c>
      <c r="G698">
        <v>34.8431</v>
      </c>
      <c r="H698">
        <v>136.541</v>
      </c>
      <c r="I698" t="s">
        <v>2072</v>
      </c>
      <c r="J698" t="s">
        <v>1280</v>
      </c>
      <c r="K698" t="s">
        <v>1495</v>
      </c>
      <c r="L698" t="s">
        <v>1496</v>
      </c>
      <c r="M698" t="s">
        <v>375</v>
      </c>
    </row>
    <row r="699" spans="1:13">
      <c r="A699">
        <v>2003</v>
      </c>
      <c r="B699">
        <v>1</v>
      </c>
      <c r="C699" t="s">
        <v>1644</v>
      </c>
      <c r="D699" s="82">
        <v>37689</v>
      </c>
      <c r="E699" t="s">
        <v>1769</v>
      </c>
      <c r="F699" t="s">
        <v>2795</v>
      </c>
      <c r="G699">
        <v>-37.849699999999999</v>
      </c>
      <c r="H699">
        <v>144.96799999999999</v>
      </c>
      <c r="I699" t="s">
        <v>2078</v>
      </c>
      <c r="J699" t="s">
        <v>1450</v>
      </c>
      <c r="K699" t="s">
        <v>1645</v>
      </c>
      <c r="L699" t="s">
        <v>1646</v>
      </c>
      <c r="M699" t="s">
        <v>1454</v>
      </c>
    </row>
    <row r="700" spans="1:13">
      <c r="A700">
        <v>2003</v>
      </c>
      <c r="B700">
        <v>2</v>
      </c>
      <c r="C700" t="s">
        <v>1712</v>
      </c>
      <c r="D700" s="82">
        <v>37703</v>
      </c>
      <c r="E700" t="s">
        <v>1770</v>
      </c>
      <c r="F700" t="s">
        <v>2796</v>
      </c>
      <c r="G700">
        <v>2.7608299999999999</v>
      </c>
      <c r="H700">
        <v>101.738</v>
      </c>
      <c r="I700" t="s">
        <v>2079</v>
      </c>
      <c r="J700" t="s">
        <v>1711</v>
      </c>
      <c r="K700" t="s">
        <v>1713</v>
      </c>
      <c r="L700" t="s">
        <v>1714</v>
      </c>
      <c r="M700" t="s">
        <v>1715</v>
      </c>
    </row>
    <row r="701" spans="1:13">
      <c r="A701">
        <v>2003</v>
      </c>
      <c r="B701">
        <v>3</v>
      </c>
      <c r="C701" t="s">
        <v>1204</v>
      </c>
      <c r="D701" s="82">
        <v>37717</v>
      </c>
      <c r="E701" t="s">
        <v>1771</v>
      </c>
      <c r="F701" t="s">
        <v>2797</v>
      </c>
      <c r="G701">
        <v>-23.703600000000002</v>
      </c>
      <c r="H701">
        <v>-46.6997</v>
      </c>
      <c r="I701" t="s">
        <v>2056</v>
      </c>
      <c r="J701" t="s">
        <v>1203</v>
      </c>
      <c r="K701" t="s">
        <v>1205</v>
      </c>
      <c r="L701" t="s">
        <v>1206</v>
      </c>
      <c r="M701" t="s">
        <v>1207</v>
      </c>
    </row>
    <row r="702" spans="1:13">
      <c r="A702">
        <v>2003</v>
      </c>
      <c r="B702">
        <v>4</v>
      </c>
      <c r="C702" t="s">
        <v>1350</v>
      </c>
      <c r="D702" s="82">
        <v>37731</v>
      </c>
      <c r="E702" t="s">
        <v>1772</v>
      </c>
      <c r="F702" t="s">
        <v>2798</v>
      </c>
      <c r="G702">
        <v>44.343899999999998</v>
      </c>
      <c r="H702">
        <v>11.716699999999999</v>
      </c>
      <c r="I702" t="s">
        <v>2064</v>
      </c>
      <c r="J702" t="s">
        <v>882</v>
      </c>
      <c r="K702" t="s">
        <v>1351</v>
      </c>
      <c r="L702" t="s">
        <v>1352</v>
      </c>
      <c r="M702" t="s">
        <v>886</v>
      </c>
    </row>
    <row r="703" spans="1:13">
      <c r="A703">
        <v>2003</v>
      </c>
      <c r="B703">
        <v>5</v>
      </c>
      <c r="C703" t="s">
        <v>1566</v>
      </c>
      <c r="D703" s="82">
        <v>37745</v>
      </c>
      <c r="E703" t="s">
        <v>1773</v>
      </c>
      <c r="F703" t="s">
        <v>2799</v>
      </c>
      <c r="G703">
        <v>41.57</v>
      </c>
      <c r="H703">
        <v>2.26111</v>
      </c>
      <c r="I703" t="s">
        <v>2075</v>
      </c>
      <c r="J703" t="s">
        <v>899</v>
      </c>
      <c r="K703" t="s">
        <v>1567</v>
      </c>
      <c r="L703" t="s">
        <v>1568</v>
      </c>
      <c r="M703" t="s">
        <v>903</v>
      </c>
    </row>
    <row r="704" spans="1:13">
      <c r="A704">
        <v>2003</v>
      </c>
      <c r="B704">
        <v>6</v>
      </c>
      <c r="C704" t="s">
        <v>1166</v>
      </c>
      <c r="D704" s="82">
        <v>37759</v>
      </c>
      <c r="E704" t="s">
        <v>1774</v>
      </c>
      <c r="F704" t="s">
        <v>2800</v>
      </c>
      <c r="G704">
        <v>47.219700000000003</v>
      </c>
      <c r="H704">
        <v>14.764699999999999</v>
      </c>
      <c r="I704" t="s">
        <v>2053</v>
      </c>
      <c r="J704" t="s">
        <v>1072</v>
      </c>
      <c r="K704" t="s">
        <v>1167</v>
      </c>
      <c r="L704" t="s">
        <v>1168</v>
      </c>
      <c r="M704" t="s">
        <v>1076</v>
      </c>
    </row>
    <row r="705" spans="1:13">
      <c r="A705">
        <v>2003</v>
      </c>
      <c r="B705">
        <v>7</v>
      </c>
      <c r="C705" t="s">
        <v>857</v>
      </c>
      <c r="D705" s="82">
        <v>37773</v>
      </c>
      <c r="E705" t="s">
        <v>1775</v>
      </c>
      <c r="F705" t="s">
        <v>2801</v>
      </c>
      <c r="G705">
        <v>43.734699999999997</v>
      </c>
      <c r="H705">
        <v>7.42056</v>
      </c>
      <c r="I705" t="s">
        <v>2021</v>
      </c>
      <c r="J705" t="s">
        <v>856</v>
      </c>
      <c r="K705" t="s">
        <v>858</v>
      </c>
      <c r="L705" t="s">
        <v>859</v>
      </c>
      <c r="M705" t="s">
        <v>860</v>
      </c>
    </row>
    <row r="706" spans="1:13">
      <c r="A706">
        <v>2003</v>
      </c>
      <c r="B706">
        <v>8</v>
      </c>
      <c r="C706" t="s">
        <v>1320</v>
      </c>
      <c r="D706" s="82">
        <v>37787</v>
      </c>
      <c r="E706" t="s">
        <v>1776</v>
      </c>
      <c r="F706" t="s">
        <v>2802</v>
      </c>
      <c r="G706">
        <v>45.5</v>
      </c>
      <c r="H706">
        <v>-73.522800000000004</v>
      </c>
      <c r="I706" t="s">
        <v>2063</v>
      </c>
      <c r="J706" t="s">
        <v>1115</v>
      </c>
      <c r="K706" t="s">
        <v>1321</v>
      </c>
      <c r="L706" t="s">
        <v>1322</v>
      </c>
      <c r="M706" t="s">
        <v>1119</v>
      </c>
    </row>
    <row r="707" spans="1:13">
      <c r="A707">
        <v>2003</v>
      </c>
      <c r="B707">
        <v>9</v>
      </c>
      <c r="C707" t="s">
        <v>894</v>
      </c>
      <c r="D707" s="82">
        <v>37801</v>
      </c>
      <c r="E707" t="s">
        <v>1777</v>
      </c>
      <c r="F707" t="s">
        <v>2803</v>
      </c>
      <c r="G707">
        <v>50.335599999999999</v>
      </c>
      <c r="H707">
        <v>6.9474999999999998</v>
      </c>
      <c r="I707" t="s">
        <v>2027</v>
      </c>
      <c r="J707" t="s">
        <v>893</v>
      </c>
      <c r="K707" t="s">
        <v>895</v>
      </c>
      <c r="L707" t="s">
        <v>896</v>
      </c>
      <c r="M707" t="s">
        <v>761</v>
      </c>
    </row>
    <row r="708" spans="1:13">
      <c r="A708">
        <v>2003</v>
      </c>
      <c r="B708">
        <v>10</v>
      </c>
      <c r="C708" t="s">
        <v>1556</v>
      </c>
      <c r="D708" s="82">
        <v>37808</v>
      </c>
      <c r="E708" t="s">
        <v>1778</v>
      </c>
      <c r="F708" t="s">
        <v>2804</v>
      </c>
      <c r="G708">
        <v>46.864199999999997</v>
      </c>
      <c r="H708">
        <v>3.1636099999999998</v>
      </c>
      <c r="I708" t="s">
        <v>2074</v>
      </c>
      <c r="J708" t="s">
        <v>877</v>
      </c>
      <c r="K708" t="s">
        <v>1557</v>
      </c>
      <c r="L708" t="s">
        <v>1558</v>
      </c>
      <c r="M708" t="s">
        <v>755</v>
      </c>
    </row>
    <row r="709" spans="1:13">
      <c r="A709">
        <v>2003</v>
      </c>
      <c r="B709">
        <v>11</v>
      </c>
      <c r="C709" t="s">
        <v>851</v>
      </c>
      <c r="D709" s="82">
        <v>37822</v>
      </c>
      <c r="E709" t="s">
        <v>1779</v>
      </c>
      <c r="F709" t="s">
        <v>2805</v>
      </c>
      <c r="G709">
        <v>52.078600000000002</v>
      </c>
      <c r="H709">
        <v>-1.01694</v>
      </c>
      <c r="I709" t="s">
        <v>2020</v>
      </c>
      <c r="J709" t="s">
        <v>850</v>
      </c>
      <c r="K709" t="s">
        <v>852</v>
      </c>
      <c r="L709" t="s">
        <v>853</v>
      </c>
      <c r="M709" t="s">
        <v>854</v>
      </c>
    </row>
    <row r="710" spans="1:13">
      <c r="A710">
        <v>2003</v>
      </c>
      <c r="B710">
        <v>12</v>
      </c>
      <c r="C710" t="s">
        <v>1162</v>
      </c>
      <c r="D710" s="82">
        <v>37836</v>
      </c>
      <c r="E710" t="s">
        <v>1780</v>
      </c>
      <c r="F710" t="s">
        <v>2806</v>
      </c>
      <c r="G710">
        <v>49.327800000000003</v>
      </c>
      <c r="H710">
        <v>8.5658300000000001</v>
      </c>
      <c r="I710" t="s">
        <v>2052</v>
      </c>
      <c r="J710" t="s">
        <v>893</v>
      </c>
      <c r="K710" t="s">
        <v>1163</v>
      </c>
      <c r="L710" t="s">
        <v>1164</v>
      </c>
      <c r="M710" t="s">
        <v>761</v>
      </c>
    </row>
    <row r="711" spans="1:13">
      <c r="A711">
        <v>2003</v>
      </c>
      <c r="B711">
        <v>13</v>
      </c>
      <c r="C711" t="s">
        <v>1470</v>
      </c>
      <c r="D711" s="82">
        <v>37857</v>
      </c>
      <c r="E711" t="s">
        <v>1781</v>
      </c>
      <c r="F711" t="s">
        <v>2807</v>
      </c>
      <c r="G711">
        <v>47.578899999999997</v>
      </c>
      <c r="H711">
        <v>19.2486</v>
      </c>
      <c r="I711" t="s">
        <v>2071</v>
      </c>
      <c r="J711" t="s">
        <v>1469</v>
      </c>
      <c r="K711" t="s">
        <v>1471</v>
      </c>
      <c r="L711" t="s">
        <v>1472</v>
      </c>
      <c r="M711" t="s">
        <v>1473</v>
      </c>
    </row>
    <row r="712" spans="1:13">
      <c r="A712">
        <v>2003</v>
      </c>
      <c r="B712">
        <v>14</v>
      </c>
      <c r="C712" t="s">
        <v>883</v>
      </c>
      <c r="D712" s="82">
        <v>37878</v>
      </c>
      <c r="E712" t="s">
        <v>1782</v>
      </c>
      <c r="F712" t="s">
        <v>2808</v>
      </c>
      <c r="G712">
        <v>45.615600000000001</v>
      </c>
      <c r="H712">
        <v>9.28111</v>
      </c>
      <c r="I712" t="s">
        <v>2026</v>
      </c>
      <c r="J712" t="s">
        <v>882</v>
      </c>
      <c r="K712" t="s">
        <v>884</v>
      </c>
      <c r="L712" t="s">
        <v>885</v>
      </c>
      <c r="M712" t="s">
        <v>886</v>
      </c>
    </row>
    <row r="713" spans="1:13">
      <c r="A713">
        <v>2003</v>
      </c>
      <c r="B713">
        <v>15</v>
      </c>
      <c r="C713" t="s">
        <v>863</v>
      </c>
      <c r="D713" s="82">
        <v>37892</v>
      </c>
      <c r="E713" t="s">
        <v>1783</v>
      </c>
      <c r="F713" t="s">
        <v>2809</v>
      </c>
      <c r="G713">
        <v>39.795000000000002</v>
      </c>
      <c r="H713">
        <v>-86.234700000000004</v>
      </c>
      <c r="I713" t="s">
        <v>2022</v>
      </c>
      <c r="J713" t="s">
        <v>862</v>
      </c>
      <c r="K713" t="s">
        <v>864</v>
      </c>
      <c r="L713" t="s">
        <v>865</v>
      </c>
      <c r="M713" t="s">
        <v>1010</v>
      </c>
    </row>
    <row r="714" spans="1:13">
      <c r="A714">
        <v>2003</v>
      </c>
      <c r="B714">
        <v>16</v>
      </c>
      <c r="C714" t="s">
        <v>1494</v>
      </c>
      <c r="D714" s="82">
        <v>37906</v>
      </c>
      <c r="E714" t="s">
        <v>1784</v>
      </c>
      <c r="F714" t="s">
        <v>2810</v>
      </c>
      <c r="G714">
        <v>34.8431</v>
      </c>
      <c r="H714">
        <v>136.541</v>
      </c>
      <c r="I714" t="s">
        <v>2072</v>
      </c>
      <c r="J714" t="s">
        <v>1280</v>
      </c>
      <c r="K714" t="s">
        <v>1495</v>
      </c>
      <c r="L714" t="s">
        <v>1496</v>
      </c>
      <c r="M714" t="s">
        <v>375</v>
      </c>
    </row>
    <row r="715" spans="1:13">
      <c r="A715">
        <v>2004</v>
      </c>
      <c r="B715">
        <v>1</v>
      </c>
      <c r="C715" t="s">
        <v>1644</v>
      </c>
      <c r="D715" s="82">
        <v>38053</v>
      </c>
      <c r="E715" t="s">
        <v>1785</v>
      </c>
      <c r="F715" t="s">
        <v>2811</v>
      </c>
      <c r="G715">
        <v>-37.849699999999999</v>
      </c>
      <c r="H715">
        <v>144.96799999999999</v>
      </c>
      <c r="I715" t="s">
        <v>2078</v>
      </c>
      <c r="J715" t="s">
        <v>1450</v>
      </c>
      <c r="K715" t="s">
        <v>1645</v>
      </c>
      <c r="L715" t="s">
        <v>1646</v>
      </c>
      <c r="M715" t="s">
        <v>1454</v>
      </c>
    </row>
    <row r="716" spans="1:13">
      <c r="A716">
        <v>2004</v>
      </c>
      <c r="B716">
        <v>2</v>
      </c>
      <c r="C716" t="s">
        <v>1712</v>
      </c>
      <c r="D716" s="82">
        <v>38067</v>
      </c>
      <c r="E716" t="s">
        <v>1786</v>
      </c>
      <c r="F716" t="s">
        <v>2812</v>
      </c>
      <c r="G716">
        <v>2.7608299999999999</v>
      </c>
      <c r="H716">
        <v>101.738</v>
      </c>
      <c r="I716" t="s">
        <v>2079</v>
      </c>
      <c r="J716" t="s">
        <v>1711</v>
      </c>
      <c r="K716" t="s">
        <v>1713</v>
      </c>
      <c r="L716" t="s">
        <v>1714</v>
      </c>
      <c r="M716" t="s">
        <v>1715</v>
      </c>
    </row>
    <row r="717" spans="1:13">
      <c r="A717">
        <v>2004</v>
      </c>
      <c r="B717">
        <v>3</v>
      </c>
      <c r="C717" t="s">
        <v>1788</v>
      </c>
      <c r="D717" s="82">
        <v>38081</v>
      </c>
      <c r="E717" t="s">
        <v>1792</v>
      </c>
      <c r="F717" t="s">
        <v>2813</v>
      </c>
      <c r="G717">
        <v>26.032499999999999</v>
      </c>
      <c r="H717">
        <v>50.510599999999997</v>
      </c>
      <c r="I717" t="s">
        <v>2080</v>
      </c>
      <c r="J717" t="s">
        <v>1787</v>
      </c>
      <c r="K717" t="s">
        <v>1789</v>
      </c>
      <c r="L717" t="s">
        <v>1790</v>
      </c>
      <c r="M717" t="s">
        <v>1791</v>
      </c>
    </row>
    <row r="718" spans="1:13">
      <c r="A718">
        <v>2004</v>
      </c>
      <c r="B718">
        <v>4</v>
      </c>
      <c r="C718" t="s">
        <v>1350</v>
      </c>
      <c r="D718" s="82">
        <v>38102</v>
      </c>
      <c r="E718" t="s">
        <v>1793</v>
      </c>
      <c r="F718" t="s">
        <v>2814</v>
      </c>
      <c r="G718">
        <v>44.343899999999998</v>
      </c>
      <c r="H718">
        <v>11.716699999999999</v>
      </c>
      <c r="I718" t="s">
        <v>2064</v>
      </c>
      <c r="J718" t="s">
        <v>882</v>
      </c>
      <c r="K718" t="s">
        <v>1351</v>
      </c>
      <c r="L718" t="s">
        <v>1352</v>
      </c>
      <c r="M718" t="s">
        <v>886</v>
      </c>
    </row>
    <row r="719" spans="1:13">
      <c r="A719">
        <v>2004</v>
      </c>
      <c r="B719">
        <v>5</v>
      </c>
      <c r="C719" t="s">
        <v>1566</v>
      </c>
      <c r="D719" s="82">
        <v>38116</v>
      </c>
      <c r="E719" t="s">
        <v>1794</v>
      </c>
      <c r="F719" t="s">
        <v>2815</v>
      </c>
      <c r="G719">
        <v>41.57</v>
      </c>
      <c r="H719">
        <v>2.26111</v>
      </c>
      <c r="I719" t="s">
        <v>2075</v>
      </c>
      <c r="J719" t="s">
        <v>899</v>
      </c>
      <c r="K719" t="s">
        <v>1567</v>
      </c>
      <c r="L719" t="s">
        <v>1568</v>
      </c>
      <c r="M719" t="s">
        <v>903</v>
      </c>
    </row>
    <row r="720" spans="1:13">
      <c r="A720">
        <v>2004</v>
      </c>
      <c r="B720">
        <v>6</v>
      </c>
      <c r="C720" t="s">
        <v>857</v>
      </c>
      <c r="D720" s="82">
        <v>38130</v>
      </c>
      <c r="E720" t="s">
        <v>1795</v>
      </c>
      <c r="F720" t="s">
        <v>2816</v>
      </c>
      <c r="G720">
        <v>43.734699999999997</v>
      </c>
      <c r="H720">
        <v>7.42056</v>
      </c>
      <c r="I720" t="s">
        <v>2021</v>
      </c>
      <c r="J720" t="s">
        <v>856</v>
      </c>
      <c r="K720" t="s">
        <v>858</v>
      </c>
      <c r="L720" t="s">
        <v>859</v>
      </c>
      <c r="M720" t="s">
        <v>860</v>
      </c>
    </row>
    <row r="721" spans="1:13">
      <c r="A721">
        <v>2004</v>
      </c>
      <c r="B721">
        <v>7</v>
      </c>
      <c r="C721" t="s">
        <v>894</v>
      </c>
      <c r="D721" s="82">
        <v>38137</v>
      </c>
      <c r="E721" t="s">
        <v>1796</v>
      </c>
      <c r="F721" t="s">
        <v>2817</v>
      </c>
      <c r="G721">
        <v>50.335599999999999</v>
      </c>
      <c r="H721">
        <v>6.9474999999999998</v>
      </c>
      <c r="I721" t="s">
        <v>2027</v>
      </c>
      <c r="J721" t="s">
        <v>893</v>
      </c>
      <c r="K721" t="s">
        <v>895</v>
      </c>
      <c r="L721" t="s">
        <v>896</v>
      </c>
      <c r="M721" t="s">
        <v>761</v>
      </c>
    </row>
    <row r="722" spans="1:13">
      <c r="A722">
        <v>2004</v>
      </c>
      <c r="B722">
        <v>8</v>
      </c>
      <c r="C722" t="s">
        <v>1320</v>
      </c>
      <c r="D722" s="82">
        <v>38151</v>
      </c>
      <c r="E722" t="s">
        <v>1797</v>
      </c>
      <c r="F722" t="s">
        <v>2818</v>
      </c>
      <c r="G722">
        <v>45.5</v>
      </c>
      <c r="H722">
        <v>-73.522800000000004</v>
      </c>
      <c r="I722" t="s">
        <v>2063</v>
      </c>
      <c r="J722" t="s">
        <v>1115</v>
      </c>
      <c r="K722" t="s">
        <v>1321</v>
      </c>
      <c r="L722" t="s">
        <v>1322</v>
      </c>
      <c r="M722" t="s">
        <v>1119</v>
      </c>
    </row>
    <row r="723" spans="1:13">
      <c r="A723">
        <v>2004</v>
      </c>
      <c r="B723">
        <v>9</v>
      </c>
      <c r="C723" t="s">
        <v>863</v>
      </c>
      <c r="D723" s="82">
        <v>38158</v>
      </c>
      <c r="E723" t="s">
        <v>1798</v>
      </c>
      <c r="F723" t="s">
        <v>2819</v>
      </c>
      <c r="G723">
        <v>39.795000000000002</v>
      </c>
      <c r="H723">
        <v>-86.234700000000004</v>
      </c>
      <c r="I723" t="s">
        <v>2022</v>
      </c>
      <c r="J723" t="s">
        <v>862</v>
      </c>
      <c r="K723" t="s">
        <v>864</v>
      </c>
      <c r="L723" t="s">
        <v>865</v>
      </c>
      <c r="M723" t="s">
        <v>1010</v>
      </c>
    </row>
    <row r="724" spans="1:13">
      <c r="A724">
        <v>2004</v>
      </c>
      <c r="B724">
        <v>10</v>
      </c>
      <c r="C724" t="s">
        <v>1556</v>
      </c>
      <c r="D724" s="82">
        <v>38172</v>
      </c>
      <c r="E724" t="s">
        <v>1799</v>
      </c>
      <c r="F724" t="s">
        <v>2820</v>
      </c>
      <c r="G724">
        <v>46.864199999999997</v>
      </c>
      <c r="H724">
        <v>3.1636099999999998</v>
      </c>
      <c r="I724" t="s">
        <v>2074</v>
      </c>
      <c r="J724" t="s">
        <v>877</v>
      </c>
      <c r="K724" t="s">
        <v>1557</v>
      </c>
      <c r="L724" t="s">
        <v>1558</v>
      </c>
      <c r="M724" t="s">
        <v>755</v>
      </c>
    </row>
    <row r="725" spans="1:13">
      <c r="A725">
        <v>2004</v>
      </c>
      <c r="B725">
        <v>11</v>
      </c>
      <c r="C725" t="s">
        <v>851</v>
      </c>
      <c r="D725" s="82">
        <v>38179</v>
      </c>
      <c r="E725" t="s">
        <v>1800</v>
      </c>
      <c r="F725" t="s">
        <v>2821</v>
      </c>
      <c r="G725">
        <v>52.078600000000002</v>
      </c>
      <c r="H725">
        <v>-1.01694</v>
      </c>
      <c r="I725" t="s">
        <v>2020</v>
      </c>
      <c r="J725" t="s">
        <v>850</v>
      </c>
      <c r="K725" t="s">
        <v>852</v>
      </c>
      <c r="L725" t="s">
        <v>853</v>
      </c>
      <c r="M725" t="s">
        <v>854</v>
      </c>
    </row>
    <row r="726" spans="1:13">
      <c r="A726">
        <v>2004</v>
      </c>
      <c r="B726">
        <v>12</v>
      </c>
      <c r="C726" t="s">
        <v>1162</v>
      </c>
      <c r="D726" s="82">
        <v>38193</v>
      </c>
      <c r="E726" t="s">
        <v>1801</v>
      </c>
      <c r="F726" t="s">
        <v>2822</v>
      </c>
      <c r="G726">
        <v>49.327800000000003</v>
      </c>
      <c r="H726">
        <v>8.5658300000000001</v>
      </c>
      <c r="I726" t="s">
        <v>2052</v>
      </c>
      <c r="J726" t="s">
        <v>893</v>
      </c>
      <c r="K726" t="s">
        <v>1163</v>
      </c>
      <c r="L726" t="s">
        <v>1164</v>
      </c>
      <c r="M726" t="s">
        <v>761</v>
      </c>
    </row>
    <row r="727" spans="1:13">
      <c r="A727">
        <v>2004</v>
      </c>
      <c r="B727">
        <v>13</v>
      </c>
      <c r="C727" t="s">
        <v>1470</v>
      </c>
      <c r="D727" s="82">
        <v>38214</v>
      </c>
      <c r="E727" t="s">
        <v>1802</v>
      </c>
      <c r="F727" t="s">
        <v>2823</v>
      </c>
      <c r="G727">
        <v>47.578899999999997</v>
      </c>
      <c r="H727">
        <v>19.2486</v>
      </c>
      <c r="I727" t="s">
        <v>2071</v>
      </c>
      <c r="J727" t="s">
        <v>1469</v>
      </c>
      <c r="K727" t="s">
        <v>1471</v>
      </c>
      <c r="L727" t="s">
        <v>1472</v>
      </c>
      <c r="M727" t="s">
        <v>1473</v>
      </c>
    </row>
    <row r="728" spans="1:13">
      <c r="A728">
        <v>2004</v>
      </c>
      <c r="B728">
        <v>14</v>
      </c>
      <c r="C728" t="s">
        <v>873</v>
      </c>
      <c r="D728" s="82">
        <v>38228</v>
      </c>
      <c r="E728" t="s">
        <v>1803</v>
      </c>
      <c r="F728" t="s">
        <v>2824</v>
      </c>
      <c r="G728">
        <v>50.437199999999997</v>
      </c>
      <c r="H728">
        <v>5.9713900000000004</v>
      </c>
      <c r="I728" t="s">
        <v>2024</v>
      </c>
      <c r="J728" t="s">
        <v>872</v>
      </c>
      <c r="K728" t="s">
        <v>874</v>
      </c>
      <c r="L728" t="s">
        <v>875</v>
      </c>
      <c r="M728" t="s">
        <v>244</v>
      </c>
    </row>
    <row r="729" spans="1:13">
      <c r="A729">
        <v>2004</v>
      </c>
      <c r="B729">
        <v>15</v>
      </c>
      <c r="C729" t="s">
        <v>883</v>
      </c>
      <c r="D729" s="82">
        <v>38242</v>
      </c>
      <c r="E729" t="s">
        <v>1804</v>
      </c>
      <c r="F729" t="s">
        <v>2825</v>
      </c>
      <c r="G729">
        <v>45.615600000000001</v>
      </c>
      <c r="H729">
        <v>9.28111</v>
      </c>
      <c r="I729" t="s">
        <v>2026</v>
      </c>
      <c r="J729" t="s">
        <v>882</v>
      </c>
      <c r="K729" t="s">
        <v>884</v>
      </c>
      <c r="L729" t="s">
        <v>885</v>
      </c>
      <c r="M729" t="s">
        <v>886</v>
      </c>
    </row>
    <row r="730" spans="1:13">
      <c r="A730">
        <v>2004</v>
      </c>
      <c r="B730">
        <v>16</v>
      </c>
      <c r="C730" t="s">
        <v>1806</v>
      </c>
      <c r="D730" s="82">
        <v>38256</v>
      </c>
      <c r="E730" t="s">
        <v>1809</v>
      </c>
      <c r="F730" t="s">
        <v>2826</v>
      </c>
      <c r="G730">
        <v>31.338899999999999</v>
      </c>
      <c r="H730">
        <v>121.22</v>
      </c>
      <c r="I730" t="s">
        <v>2081</v>
      </c>
      <c r="J730" t="s">
        <v>1805</v>
      </c>
      <c r="K730" t="s">
        <v>1807</v>
      </c>
      <c r="L730" t="s">
        <v>1808</v>
      </c>
      <c r="M730" t="s">
        <v>255</v>
      </c>
    </row>
    <row r="731" spans="1:13">
      <c r="A731">
        <v>2004</v>
      </c>
      <c r="B731">
        <v>17</v>
      </c>
      <c r="C731" t="s">
        <v>1494</v>
      </c>
      <c r="D731" s="82">
        <v>38270</v>
      </c>
      <c r="E731" t="s">
        <v>1810</v>
      </c>
      <c r="F731" t="s">
        <v>2827</v>
      </c>
      <c r="G731">
        <v>34.8431</v>
      </c>
      <c r="H731">
        <v>136.541</v>
      </c>
      <c r="I731" t="s">
        <v>2072</v>
      </c>
      <c r="J731" t="s">
        <v>1280</v>
      </c>
      <c r="K731" t="s">
        <v>1495</v>
      </c>
      <c r="L731" t="s">
        <v>1496</v>
      </c>
      <c r="M731" t="s">
        <v>375</v>
      </c>
    </row>
    <row r="732" spans="1:13">
      <c r="A732">
        <v>2004</v>
      </c>
      <c r="B732">
        <v>18</v>
      </c>
      <c r="C732" t="s">
        <v>1204</v>
      </c>
      <c r="D732" s="82">
        <v>38284</v>
      </c>
      <c r="E732" t="s">
        <v>1811</v>
      </c>
      <c r="F732" t="s">
        <v>2828</v>
      </c>
      <c r="G732">
        <v>-23.703600000000002</v>
      </c>
      <c r="H732">
        <v>-46.6997</v>
      </c>
      <c r="I732" t="s">
        <v>2056</v>
      </c>
      <c r="J732" t="s">
        <v>1203</v>
      </c>
      <c r="K732" t="s">
        <v>1205</v>
      </c>
      <c r="L732" t="s">
        <v>1206</v>
      </c>
      <c r="M732" t="s">
        <v>1207</v>
      </c>
    </row>
    <row r="733" spans="1:13">
      <c r="A733">
        <v>2005</v>
      </c>
      <c r="B733">
        <v>1</v>
      </c>
      <c r="C733" t="s">
        <v>1644</v>
      </c>
      <c r="D733" s="82">
        <v>38417</v>
      </c>
      <c r="E733" t="s">
        <v>1812</v>
      </c>
      <c r="F733" t="s">
        <v>2829</v>
      </c>
      <c r="G733">
        <v>-37.849699999999999</v>
      </c>
      <c r="H733">
        <v>144.96799999999999</v>
      </c>
      <c r="I733" t="s">
        <v>2078</v>
      </c>
      <c r="J733" t="s">
        <v>1450</v>
      </c>
      <c r="K733" t="s">
        <v>1645</v>
      </c>
      <c r="L733" t="s">
        <v>1646</v>
      </c>
      <c r="M733" t="s">
        <v>1454</v>
      </c>
    </row>
    <row r="734" spans="1:13">
      <c r="A734">
        <v>2005</v>
      </c>
      <c r="B734">
        <v>2</v>
      </c>
      <c r="C734" t="s">
        <v>1712</v>
      </c>
      <c r="D734" s="82">
        <v>38431</v>
      </c>
      <c r="E734" t="s">
        <v>1813</v>
      </c>
      <c r="F734" t="s">
        <v>2830</v>
      </c>
      <c r="G734">
        <v>2.7608299999999999</v>
      </c>
      <c r="H734">
        <v>101.738</v>
      </c>
      <c r="I734" t="s">
        <v>2079</v>
      </c>
      <c r="J734" t="s">
        <v>1711</v>
      </c>
      <c r="K734" t="s">
        <v>1713</v>
      </c>
      <c r="L734" t="s">
        <v>1714</v>
      </c>
      <c r="M734" t="s">
        <v>1715</v>
      </c>
    </row>
    <row r="735" spans="1:13">
      <c r="A735">
        <v>2005</v>
      </c>
      <c r="B735">
        <v>3</v>
      </c>
      <c r="C735" t="s">
        <v>1788</v>
      </c>
      <c r="D735" s="82">
        <v>38445</v>
      </c>
      <c r="E735" t="s">
        <v>1814</v>
      </c>
      <c r="F735" t="s">
        <v>2831</v>
      </c>
      <c r="G735">
        <v>26.032499999999999</v>
      </c>
      <c r="H735">
        <v>50.510599999999997</v>
      </c>
      <c r="I735" t="s">
        <v>2080</v>
      </c>
      <c r="J735" t="s">
        <v>1787</v>
      </c>
      <c r="K735" t="s">
        <v>1789</v>
      </c>
      <c r="L735" t="s">
        <v>1790</v>
      </c>
      <c r="M735" t="s">
        <v>1791</v>
      </c>
    </row>
    <row r="736" spans="1:13">
      <c r="A736">
        <v>2005</v>
      </c>
      <c r="B736">
        <v>4</v>
      </c>
      <c r="C736" t="s">
        <v>1350</v>
      </c>
      <c r="D736" s="82">
        <v>38466</v>
      </c>
      <c r="E736" t="s">
        <v>1815</v>
      </c>
      <c r="F736" t="s">
        <v>2832</v>
      </c>
      <c r="G736">
        <v>44.343899999999998</v>
      </c>
      <c r="H736">
        <v>11.716699999999999</v>
      </c>
      <c r="I736" t="s">
        <v>2064</v>
      </c>
      <c r="J736" t="s">
        <v>882</v>
      </c>
      <c r="K736" t="s">
        <v>1351</v>
      </c>
      <c r="L736" t="s">
        <v>1352</v>
      </c>
      <c r="M736" t="s">
        <v>886</v>
      </c>
    </row>
    <row r="737" spans="1:13">
      <c r="A737">
        <v>2005</v>
      </c>
      <c r="B737">
        <v>5</v>
      </c>
      <c r="C737" t="s">
        <v>1566</v>
      </c>
      <c r="D737" s="82">
        <v>38480</v>
      </c>
      <c r="E737" t="s">
        <v>1816</v>
      </c>
      <c r="F737" t="s">
        <v>2833</v>
      </c>
      <c r="G737">
        <v>41.57</v>
      </c>
      <c r="H737">
        <v>2.26111</v>
      </c>
      <c r="I737" t="s">
        <v>2075</v>
      </c>
      <c r="J737" t="s">
        <v>899</v>
      </c>
      <c r="K737" t="s">
        <v>1567</v>
      </c>
      <c r="L737" t="s">
        <v>1568</v>
      </c>
      <c r="M737" t="s">
        <v>903</v>
      </c>
    </row>
    <row r="738" spans="1:13">
      <c r="A738">
        <v>2005</v>
      </c>
      <c r="B738">
        <v>6</v>
      </c>
      <c r="C738" t="s">
        <v>857</v>
      </c>
      <c r="D738" s="82">
        <v>38494</v>
      </c>
      <c r="E738" t="s">
        <v>1817</v>
      </c>
      <c r="F738" t="s">
        <v>2834</v>
      </c>
      <c r="G738">
        <v>43.734699999999997</v>
      </c>
      <c r="H738">
        <v>7.42056</v>
      </c>
      <c r="I738" t="s">
        <v>2021</v>
      </c>
      <c r="J738" t="s">
        <v>856</v>
      </c>
      <c r="K738" t="s">
        <v>858</v>
      </c>
      <c r="L738" t="s">
        <v>859</v>
      </c>
      <c r="M738" t="s">
        <v>860</v>
      </c>
    </row>
    <row r="739" spans="1:13">
      <c r="A739">
        <v>2005</v>
      </c>
      <c r="B739">
        <v>7</v>
      </c>
      <c r="C739" t="s">
        <v>894</v>
      </c>
      <c r="D739" s="82">
        <v>38501</v>
      </c>
      <c r="E739" t="s">
        <v>1818</v>
      </c>
      <c r="F739" t="s">
        <v>2835</v>
      </c>
      <c r="G739">
        <v>50.335599999999999</v>
      </c>
      <c r="H739">
        <v>6.9474999999999998</v>
      </c>
      <c r="I739" t="s">
        <v>2027</v>
      </c>
      <c r="J739" t="s">
        <v>893</v>
      </c>
      <c r="K739" t="s">
        <v>895</v>
      </c>
      <c r="L739" t="s">
        <v>896</v>
      </c>
      <c r="M739" t="s">
        <v>761</v>
      </c>
    </row>
    <row r="740" spans="1:13">
      <c r="A740">
        <v>2005</v>
      </c>
      <c r="B740">
        <v>8</v>
      </c>
      <c r="C740" t="s">
        <v>1320</v>
      </c>
      <c r="D740" s="82">
        <v>38515</v>
      </c>
      <c r="E740" t="s">
        <v>1819</v>
      </c>
      <c r="F740" t="s">
        <v>2836</v>
      </c>
      <c r="G740">
        <v>45.5</v>
      </c>
      <c r="H740">
        <v>-73.522800000000004</v>
      </c>
      <c r="I740" t="s">
        <v>2063</v>
      </c>
      <c r="J740" t="s">
        <v>1115</v>
      </c>
      <c r="K740" t="s">
        <v>1321</v>
      </c>
      <c r="L740" t="s">
        <v>1322</v>
      </c>
      <c r="M740" t="s">
        <v>1119</v>
      </c>
    </row>
    <row r="741" spans="1:13">
      <c r="A741">
        <v>2005</v>
      </c>
      <c r="B741">
        <v>9</v>
      </c>
      <c r="C741" t="s">
        <v>863</v>
      </c>
      <c r="D741" s="82">
        <v>38522</v>
      </c>
      <c r="E741" t="s">
        <v>1820</v>
      </c>
      <c r="F741" t="s">
        <v>2837</v>
      </c>
      <c r="G741">
        <v>39.795000000000002</v>
      </c>
      <c r="H741">
        <v>-86.234700000000004</v>
      </c>
      <c r="I741" t="s">
        <v>2022</v>
      </c>
      <c r="J741" t="s">
        <v>862</v>
      </c>
      <c r="K741" t="s">
        <v>864</v>
      </c>
      <c r="L741" t="s">
        <v>865</v>
      </c>
      <c r="M741" t="s">
        <v>1010</v>
      </c>
    </row>
    <row r="742" spans="1:13">
      <c r="A742">
        <v>2005</v>
      </c>
      <c r="B742">
        <v>10</v>
      </c>
      <c r="C742" t="s">
        <v>1556</v>
      </c>
      <c r="D742" s="82">
        <v>38536</v>
      </c>
      <c r="E742" t="s">
        <v>1821</v>
      </c>
      <c r="F742" t="s">
        <v>2838</v>
      </c>
      <c r="G742">
        <v>46.864199999999997</v>
      </c>
      <c r="H742">
        <v>3.1636099999999998</v>
      </c>
      <c r="I742" t="s">
        <v>2074</v>
      </c>
      <c r="J742" t="s">
        <v>877</v>
      </c>
      <c r="K742" t="s">
        <v>1557</v>
      </c>
      <c r="L742" t="s">
        <v>1558</v>
      </c>
      <c r="M742" t="s">
        <v>755</v>
      </c>
    </row>
    <row r="743" spans="1:13">
      <c r="A743">
        <v>2005</v>
      </c>
      <c r="B743">
        <v>11</v>
      </c>
      <c r="C743" t="s">
        <v>851</v>
      </c>
      <c r="D743" s="82">
        <v>38543</v>
      </c>
      <c r="E743" t="s">
        <v>1822</v>
      </c>
      <c r="F743" t="s">
        <v>2839</v>
      </c>
      <c r="G743">
        <v>52.078600000000002</v>
      </c>
      <c r="H743">
        <v>-1.01694</v>
      </c>
      <c r="I743" t="s">
        <v>2020</v>
      </c>
      <c r="J743" t="s">
        <v>850</v>
      </c>
      <c r="K743" t="s">
        <v>852</v>
      </c>
      <c r="L743" t="s">
        <v>853</v>
      </c>
      <c r="M743" t="s">
        <v>854</v>
      </c>
    </row>
    <row r="744" spans="1:13">
      <c r="A744">
        <v>2005</v>
      </c>
      <c r="B744">
        <v>12</v>
      </c>
      <c r="C744" t="s">
        <v>1162</v>
      </c>
      <c r="D744" s="82">
        <v>38557</v>
      </c>
      <c r="E744" t="s">
        <v>1823</v>
      </c>
      <c r="F744" t="s">
        <v>2840</v>
      </c>
      <c r="G744">
        <v>49.327800000000003</v>
      </c>
      <c r="H744">
        <v>8.5658300000000001</v>
      </c>
      <c r="I744" t="s">
        <v>2052</v>
      </c>
      <c r="J744" t="s">
        <v>893</v>
      </c>
      <c r="K744" t="s">
        <v>1163</v>
      </c>
      <c r="L744" t="s">
        <v>1164</v>
      </c>
      <c r="M744" t="s">
        <v>761</v>
      </c>
    </row>
    <row r="745" spans="1:13">
      <c r="A745">
        <v>2005</v>
      </c>
      <c r="B745">
        <v>13</v>
      </c>
      <c r="C745" t="s">
        <v>1470</v>
      </c>
      <c r="D745" s="82">
        <v>38564</v>
      </c>
      <c r="E745" t="s">
        <v>1824</v>
      </c>
      <c r="F745" t="s">
        <v>2841</v>
      </c>
      <c r="G745">
        <v>47.578899999999997</v>
      </c>
      <c r="H745">
        <v>19.2486</v>
      </c>
      <c r="I745" t="s">
        <v>2071</v>
      </c>
      <c r="J745" t="s">
        <v>1469</v>
      </c>
      <c r="K745" t="s">
        <v>1471</v>
      </c>
      <c r="L745" t="s">
        <v>1472</v>
      </c>
      <c r="M745" t="s">
        <v>1473</v>
      </c>
    </row>
    <row r="746" spans="1:13">
      <c r="A746">
        <v>2005</v>
      </c>
      <c r="B746">
        <v>14</v>
      </c>
      <c r="C746" t="s">
        <v>1826</v>
      </c>
      <c r="D746" s="82">
        <v>38585</v>
      </c>
      <c r="E746" t="s">
        <v>1830</v>
      </c>
      <c r="F746" t="s">
        <v>2842</v>
      </c>
      <c r="G746">
        <v>40.951700000000002</v>
      </c>
      <c r="H746">
        <v>29.405000000000001</v>
      </c>
      <c r="I746" t="s">
        <v>2082</v>
      </c>
      <c r="J746" t="s">
        <v>1825</v>
      </c>
      <c r="K746" t="s">
        <v>1827</v>
      </c>
      <c r="L746" t="s">
        <v>1828</v>
      </c>
      <c r="M746" t="s">
        <v>1829</v>
      </c>
    </row>
    <row r="747" spans="1:13">
      <c r="A747">
        <v>2005</v>
      </c>
      <c r="B747">
        <v>15</v>
      </c>
      <c r="C747" t="s">
        <v>883</v>
      </c>
      <c r="D747" s="82">
        <v>38599</v>
      </c>
      <c r="E747" t="s">
        <v>1831</v>
      </c>
      <c r="F747" t="s">
        <v>2843</v>
      </c>
      <c r="G747">
        <v>45.615600000000001</v>
      </c>
      <c r="H747">
        <v>9.28111</v>
      </c>
      <c r="I747" t="s">
        <v>2026</v>
      </c>
      <c r="J747" t="s">
        <v>882</v>
      </c>
      <c r="K747" t="s">
        <v>884</v>
      </c>
      <c r="L747" t="s">
        <v>885</v>
      </c>
      <c r="M747" t="s">
        <v>886</v>
      </c>
    </row>
    <row r="748" spans="1:13">
      <c r="A748">
        <v>2005</v>
      </c>
      <c r="B748">
        <v>16</v>
      </c>
      <c r="C748" t="s">
        <v>873</v>
      </c>
      <c r="D748" s="82">
        <v>38606</v>
      </c>
      <c r="E748" t="s">
        <v>1833</v>
      </c>
      <c r="F748" t="s">
        <v>2844</v>
      </c>
      <c r="G748">
        <v>50.437199999999997</v>
      </c>
      <c r="H748">
        <v>5.9713900000000004</v>
      </c>
      <c r="I748" t="s">
        <v>2024</v>
      </c>
      <c r="J748" t="s">
        <v>872</v>
      </c>
      <c r="K748" t="s">
        <v>874</v>
      </c>
      <c r="L748" t="s">
        <v>875</v>
      </c>
      <c r="M748" t="s">
        <v>244</v>
      </c>
    </row>
    <row r="749" spans="1:13">
      <c r="A749">
        <v>2005</v>
      </c>
      <c r="B749">
        <v>17</v>
      </c>
      <c r="C749" t="s">
        <v>1204</v>
      </c>
      <c r="D749" s="82">
        <v>38620</v>
      </c>
      <c r="E749" t="s">
        <v>1834</v>
      </c>
      <c r="F749" t="s">
        <v>2845</v>
      </c>
      <c r="G749">
        <v>-23.703600000000002</v>
      </c>
      <c r="H749">
        <v>-46.6997</v>
      </c>
      <c r="I749" t="s">
        <v>2056</v>
      </c>
      <c r="J749" t="s">
        <v>1203</v>
      </c>
      <c r="K749" t="s">
        <v>1205</v>
      </c>
      <c r="L749" t="s">
        <v>1206</v>
      </c>
      <c r="M749" t="s">
        <v>1207</v>
      </c>
    </row>
    <row r="750" spans="1:13">
      <c r="A750">
        <v>2005</v>
      </c>
      <c r="B750">
        <v>18</v>
      </c>
      <c r="C750" t="s">
        <v>1494</v>
      </c>
      <c r="D750" s="82">
        <v>38634</v>
      </c>
      <c r="E750" t="s">
        <v>1835</v>
      </c>
      <c r="F750" t="s">
        <v>2846</v>
      </c>
      <c r="G750">
        <v>34.8431</v>
      </c>
      <c r="H750">
        <v>136.541</v>
      </c>
      <c r="I750" t="s">
        <v>2072</v>
      </c>
      <c r="J750" t="s">
        <v>1280</v>
      </c>
      <c r="K750" t="s">
        <v>1495</v>
      </c>
      <c r="L750" t="s">
        <v>1496</v>
      </c>
      <c r="M750" t="s">
        <v>375</v>
      </c>
    </row>
    <row r="751" spans="1:13">
      <c r="A751">
        <v>2005</v>
      </c>
      <c r="B751">
        <v>19</v>
      </c>
      <c r="C751" t="s">
        <v>1806</v>
      </c>
      <c r="D751" s="82">
        <v>38641</v>
      </c>
      <c r="E751" t="s">
        <v>1836</v>
      </c>
      <c r="F751" t="s">
        <v>2847</v>
      </c>
      <c r="G751">
        <v>31.338899999999999</v>
      </c>
      <c r="H751">
        <v>121.22</v>
      </c>
      <c r="I751" t="s">
        <v>2081</v>
      </c>
      <c r="J751" t="s">
        <v>1805</v>
      </c>
      <c r="K751" t="s">
        <v>1807</v>
      </c>
      <c r="L751" t="s">
        <v>1808</v>
      </c>
      <c r="M751" t="s">
        <v>255</v>
      </c>
    </row>
    <row r="752" spans="1:13">
      <c r="A752">
        <v>2006</v>
      </c>
      <c r="B752">
        <v>1</v>
      </c>
      <c r="C752" t="s">
        <v>1788</v>
      </c>
      <c r="D752" s="82">
        <v>38788</v>
      </c>
      <c r="E752" t="s">
        <v>1837</v>
      </c>
      <c r="F752" t="s">
        <v>2848</v>
      </c>
      <c r="G752">
        <v>26.032499999999999</v>
      </c>
      <c r="H752">
        <v>50.510599999999997</v>
      </c>
      <c r="I752" t="s">
        <v>2080</v>
      </c>
      <c r="J752" t="s">
        <v>1787</v>
      </c>
      <c r="K752" t="s">
        <v>1789</v>
      </c>
      <c r="L752" t="s">
        <v>1790</v>
      </c>
      <c r="M752" t="s">
        <v>1791</v>
      </c>
    </row>
    <row r="753" spans="1:13">
      <c r="A753">
        <v>2006</v>
      </c>
      <c r="B753">
        <v>2</v>
      </c>
      <c r="C753" t="s">
        <v>1712</v>
      </c>
      <c r="D753" s="82">
        <v>38795</v>
      </c>
      <c r="E753" t="s">
        <v>1838</v>
      </c>
      <c r="F753" t="s">
        <v>2849</v>
      </c>
      <c r="G753">
        <v>2.7608299999999999</v>
      </c>
      <c r="H753">
        <v>101.738</v>
      </c>
      <c r="I753" t="s">
        <v>2079</v>
      </c>
      <c r="J753" t="s">
        <v>1711</v>
      </c>
      <c r="K753" t="s">
        <v>1713</v>
      </c>
      <c r="L753" t="s">
        <v>1714</v>
      </c>
      <c r="M753" t="s">
        <v>1715</v>
      </c>
    </row>
    <row r="754" spans="1:13">
      <c r="A754">
        <v>2006</v>
      </c>
      <c r="B754">
        <v>3</v>
      </c>
      <c r="C754" t="s">
        <v>1644</v>
      </c>
      <c r="D754" s="82">
        <v>38809</v>
      </c>
      <c r="E754" t="s">
        <v>1839</v>
      </c>
      <c r="F754" t="s">
        <v>2850</v>
      </c>
      <c r="G754">
        <v>-37.849699999999999</v>
      </c>
      <c r="H754">
        <v>144.96799999999999</v>
      </c>
      <c r="I754" t="s">
        <v>2078</v>
      </c>
      <c r="J754" t="s">
        <v>1450</v>
      </c>
      <c r="K754" t="s">
        <v>1645</v>
      </c>
      <c r="L754" t="s">
        <v>1646</v>
      </c>
      <c r="M754" t="s">
        <v>1454</v>
      </c>
    </row>
    <row r="755" spans="1:13">
      <c r="A755">
        <v>2006</v>
      </c>
      <c r="B755">
        <v>4</v>
      </c>
      <c r="C755" t="s">
        <v>1350</v>
      </c>
      <c r="D755" s="82">
        <v>38830</v>
      </c>
      <c r="E755" t="s">
        <v>1840</v>
      </c>
      <c r="F755" t="s">
        <v>2851</v>
      </c>
      <c r="G755">
        <v>44.343899999999998</v>
      </c>
      <c r="H755">
        <v>11.716699999999999</v>
      </c>
      <c r="I755" t="s">
        <v>2064</v>
      </c>
      <c r="J755" t="s">
        <v>882</v>
      </c>
      <c r="K755" t="s">
        <v>1351</v>
      </c>
      <c r="L755" t="s">
        <v>1352</v>
      </c>
      <c r="M755" t="s">
        <v>886</v>
      </c>
    </row>
    <row r="756" spans="1:13">
      <c r="A756">
        <v>2006</v>
      </c>
      <c r="B756">
        <v>5</v>
      </c>
      <c r="C756" t="s">
        <v>894</v>
      </c>
      <c r="D756" s="82">
        <v>38844</v>
      </c>
      <c r="E756" t="s">
        <v>1841</v>
      </c>
      <c r="F756" t="s">
        <v>2852</v>
      </c>
      <c r="G756">
        <v>50.335599999999999</v>
      </c>
      <c r="H756">
        <v>6.9474999999999998</v>
      </c>
      <c r="I756" t="s">
        <v>2027</v>
      </c>
      <c r="J756" t="s">
        <v>893</v>
      </c>
      <c r="K756" t="s">
        <v>895</v>
      </c>
      <c r="L756" t="s">
        <v>896</v>
      </c>
      <c r="M756" t="s">
        <v>761</v>
      </c>
    </row>
    <row r="757" spans="1:13">
      <c r="A757">
        <v>2006</v>
      </c>
      <c r="B757">
        <v>6</v>
      </c>
      <c r="C757" t="s">
        <v>1566</v>
      </c>
      <c r="D757" s="82">
        <v>38851</v>
      </c>
      <c r="E757" t="s">
        <v>1842</v>
      </c>
      <c r="F757" t="s">
        <v>2853</v>
      </c>
      <c r="G757">
        <v>41.57</v>
      </c>
      <c r="H757">
        <v>2.26111</v>
      </c>
      <c r="I757" t="s">
        <v>2075</v>
      </c>
      <c r="J757" t="s">
        <v>899</v>
      </c>
      <c r="K757" t="s">
        <v>1567</v>
      </c>
      <c r="L757" t="s">
        <v>1568</v>
      </c>
      <c r="M757" t="s">
        <v>903</v>
      </c>
    </row>
    <row r="758" spans="1:13">
      <c r="A758">
        <v>2006</v>
      </c>
      <c r="B758">
        <v>7</v>
      </c>
      <c r="C758" t="s">
        <v>857</v>
      </c>
      <c r="D758" s="82">
        <v>38865</v>
      </c>
      <c r="E758" t="s">
        <v>1843</v>
      </c>
      <c r="F758" t="s">
        <v>2854</v>
      </c>
      <c r="G758">
        <v>43.734699999999997</v>
      </c>
      <c r="H758">
        <v>7.42056</v>
      </c>
      <c r="I758" t="s">
        <v>2021</v>
      </c>
      <c r="J758" t="s">
        <v>856</v>
      </c>
      <c r="K758" t="s">
        <v>858</v>
      </c>
      <c r="L758" t="s">
        <v>859</v>
      </c>
      <c r="M758" t="s">
        <v>860</v>
      </c>
    </row>
    <row r="759" spans="1:13">
      <c r="A759">
        <v>2006</v>
      </c>
      <c r="B759">
        <v>8</v>
      </c>
      <c r="C759" t="s">
        <v>851</v>
      </c>
      <c r="D759" s="82">
        <v>38879</v>
      </c>
      <c r="E759" t="s">
        <v>1844</v>
      </c>
      <c r="F759" t="s">
        <v>2855</v>
      </c>
      <c r="G759">
        <v>52.078600000000002</v>
      </c>
      <c r="H759">
        <v>-1.01694</v>
      </c>
      <c r="I759" t="s">
        <v>2020</v>
      </c>
      <c r="J759" t="s">
        <v>850</v>
      </c>
      <c r="K759" t="s">
        <v>852</v>
      </c>
      <c r="L759" t="s">
        <v>853</v>
      </c>
      <c r="M759" t="s">
        <v>854</v>
      </c>
    </row>
    <row r="760" spans="1:13">
      <c r="A760">
        <v>2006</v>
      </c>
      <c r="B760">
        <v>9</v>
      </c>
      <c r="C760" t="s">
        <v>1320</v>
      </c>
      <c r="D760" s="82">
        <v>38893</v>
      </c>
      <c r="E760" t="s">
        <v>1845</v>
      </c>
      <c r="F760" t="s">
        <v>2856</v>
      </c>
      <c r="G760">
        <v>45.5</v>
      </c>
      <c r="H760">
        <v>-73.522800000000004</v>
      </c>
      <c r="I760" t="s">
        <v>2063</v>
      </c>
      <c r="J760" t="s">
        <v>1115</v>
      </c>
      <c r="K760" t="s">
        <v>1321</v>
      </c>
      <c r="L760" t="s">
        <v>1322</v>
      </c>
      <c r="M760" t="s">
        <v>1119</v>
      </c>
    </row>
    <row r="761" spans="1:13">
      <c r="A761">
        <v>2006</v>
      </c>
      <c r="B761">
        <v>10</v>
      </c>
      <c r="C761" t="s">
        <v>863</v>
      </c>
      <c r="D761" s="82">
        <v>38900</v>
      </c>
      <c r="E761" t="s">
        <v>1846</v>
      </c>
      <c r="F761" t="s">
        <v>2857</v>
      </c>
      <c r="G761">
        <v>39.795000000000002</v>
      </c>
      <c r="H761">
        <v>-86.234700000000004</v>
      </c>
      <c r="I761" t="s">
        <v>2022</v>
      </c>
      <c r="J761" t="s">
        <v>862</v>
      </c>
      <c r="K761" t="s">
        <v>864</v>
      </c>
      <c r="L761" t="s">
        <v>865</v>
      </c>
      <c r="M761" t="s">
        <v>1010</v>
      </c>
    </row>
    <row r="762" spans="1:13">
      <c r="A762">
        <v>2006</v>
      </c>
      <c r="B762">
        <v>11</v>
      </c>
      <c r="C762" t="s">
        <v>1556</v>
      </c>
      <c r="D762" s="82">
        <v>38914</v>
      </c>
      <c r="E762" t="s">
        <v>1847</v>
      </c>
      <c r="F762" t="s">
        <v>2858</v>
      </c>
      <c r="G762">
        <v>46.864199999999997</v>
      </c>
      <c r="H762">
        <v>3.1636099999999998</v>
      </c>
      <c r="I762" t="s">
        <v>2074</v>
      </c>
      <c r="J762" t="s">
        <v>877</v>
      </c>
      <c r="K762" t="s">
        <v>1557</v>
      </c>
      <c r="L762" t="s">
        <v>1558</v>
      </c>
      <c r="M762" t="s">
        <v>755</v>
      </c>
    </row>
    <row r="763" spans="1:13">
      <c r="A763">
        <v>2006</v>
      </c>
      <c r="B763">
        <v>12</v>
      </c>
      <c r="C763" t="s">
        <v>1162</v>
      </c>
      <c r="D763" s="82">
        <v>38928</v>
      </c>
      <c r="E763" t="s">
        <v>1848</v>
      </c>
      <c r="F763" t="s">
        <v>2859</v>
      </c>
      <c r="G763">
        <v>49.327800000000003</v>
      </c>
      <c r="H763">
        <v>8.5658300000000001</v>
      </c>
      <c r="I763" t="s">
        <v>2052</v>
      </c>
      <c r="J763" t="s">
        <v>893</v>
      </c>
      <c r="K763" t="s">
        <v>1163</v>
      </c>
      <c r="L763" t="s">
        <v>1164</v>
      </c>
      <c r="M763" t="s">
        <v>761</v>
      </c>
    </row>
    <row r="764" spans="1:13">
      <c r="A764">
        <v>2006</v>
      </c>
      <c r="B764">
        <v>13</v>
      </c>
      <c r="C764" t="s">
        <v>1470</v>
      </c>
      <c r="D764" s="82">
        <v>38935</v>
      </c>
      <c r="E764" t="s">
        <v>1849</v>
      </c>
      <c r="F764" t="s">
        <v>2860</v>
      </c>
      <c r="G764">
        <v>47.578899999999997</v>
      </c>
      <c r="H764">
        <v>19.2486</v>
      </c>
      <c r="I764" t="s">
        <v>2071</v>
      </c>
      <c r="J764" t="s">
        <v>1469</v>
      </c>
      <c r="K764" t="s">
        <v>1471</v>
      </c>
      <c r="L764" t="s">
        <v>1472</v>
      </c>
      <c r="M764" t="s">
        <v>1473</v>
      </c>
    </row>
    <row r="765" spans="1:13">
      <c r="A765">
        <v>2006</v>
      </c>
      <c r="B765">
        <v>14</v>
      </c>
      <c r="C765" t="s">
        <v>1826</v>
      </c>
      <c r="D765" s="82">
        <v>38956</v>
      </c>
      <c r="E765" t="s">
        <v>1850</v>
      </c>
      <c r="F765" t="s">
        <v>2861</v>
      </c>
      <c r="G765">
        <v>40.951700000000002</v>
      </c>
      <c r="H765">
        <v>29.405000000000001</v>
      </c>
      <c r="I765" t="s">
        <v>2082</v>
      </c>
      <c r="J765" t="s">
        <v>1825</v>
      </c>
      <c r="K765" t="s">
        <v>1827</v>
      </c>
      <c r="L765" t="s">
        <v>1828</v>
      </c>
      <c r="M765" t="s">
        <v>1829</v>
      </c>
    </row>
    <row r="766" spans="1:13">
      <c r="A766">
        <v>2006</v>
      </c>
      <c r="B766">
        <v>15</v>
      </c>
      <c r="C766" t="s">
        <v>883</v>
      </c>
      <c r="D766" s="82">
        <v>38970</v>
      </c>
      <c r="E766" t="s">
        <v>1851</v>
      </c>
      <c r="F766" t="s">
        <v>2862</v>
      </c>
      <c r="G766">
        <v>45.615600000000001</v>
      </c>
      <c r="H766">
        <v>9.28111</v>
      </c>
      <c r="I766" t="s">
        <v>2026</v>
      </c>
      <c r="J766" t="s">
        <v>882</v>
      </c>
      <c r="K766" t="s">
        <v>884</v>
      </c>
      <c r="L766" t="s">
        <v>885</v>
      </c>
      <c r="M766" t="s">
        <v>886</v>
      </c>
    </row>
    <row r="767" spans="1:13">
      <c r="A767">
        <v>2006</v>
      </c>
      <c r="B767">
        <v>16</v>
      </c>
      <c r="C767" t="s">
        <v>1806</v>
      </c>
      <c r="D767" s="82">
        <v>38991</v>
      </c>
      <c r="E767" t="s">
        <v>1852</v>
      </c>
      <c r="F767" t="s">
        <v>2863</v>
      </c>
      <c r="G767">
        <v>31.338899999999999</v>
      </c>
      <c r="H767">
        <v>121.22</v>
      </c>
      <c r="I767" t="s">
        <v>2081</v>
      </c>
      <c r="J767" t="s">
        <v>1805</v>
      </c>
      <c r="K767" t="s">
        <v>1807</v>
      </c>
      <c r="L767" t="s">
        <v>1808</v>
      </c>
      <c r="M767" t="s">
        <v>255</v>
      </c>
    </row>
    <row r="768" spans="1:13">
      <c r="A768">
        <v>2006</v>
      </c>
      <c r="B768">
        <v>17</v>
      </c>
      <c r="C768" t="s">
        <v>1494</v>
      </c>
      <c r="D768" s="82">
        <v>38998</v>
      </c>
      <c r="E768" t="s">
        <v>1853</v>
      </c>
      <c r="F768" t="s">
        <v>2864</v>
      </c>
      <c r="G768">
        <v>34.8431</v>
      </c>
      <c r="H768">
        <v>136.541</v>
      </c>
      <c r="I768" t="s">
        <v>2072</v>
      </c>
      <c r="J768" t="s">
        <v>1280</v>
      </c>
      <c r="K768" t="s">
        <v>1495</v>
      </c>
      <c r="L768" t="s">
        <v>1496</v>
      </c>
      <c r="M768" t="s">
        <v>375</v>
      </c>
    </row>
    <row r="769" spans="1:13">
      <c r="A769">
        <v>2006</v>
      </c>
      <c r="B769">
        <v>18</v>
      </c>
      <c r="C769" t="s">
        <v>1204</v>
      </c>
      <c r="D769" s="82">
        <v>39012</v>
      </c>
      <c r="E769" t="s">
        <v>1854</v>
      </c>
      <c r="F769" t="s">
        <v>2865</v>
      </c>
      <c r="G769">
        <v>-23.703600000000002</v>
      </c>
      <c r="H769">
        <v>-46.6997</v>
      </c>
      <c r="I769" t="s">
        <v>2056</v>
      </c>
      <c r="J769" t="s">
        <v>1203</v>
      </c>
      <c r="K769" t="s">
        <v>1205</v>
      </c>
      <c r="L769" t="s">
        <v>1206</v>
      </c>
      <c r="M769" t="s">
        <v>1207</v>
      </c>
    </row>
    <row r="770" spans="1:13">
      <c r="A770">
        <v>2007</v>
      </c>
      <c r="B770">
        <v>1</v>
      </c>
      <c r="C770" t="s">
        <v>1644</v>
      </c>
      <c r="D770" s="82">
        <v>39159</v>
      </c>
      <c r="E770" t="s">
        <v>1855</v>
      </c>
      <c r="F770" t="s">
        <v>2866</v>
      </c>
      <c r="G770">
        <v>-37.849699999999999</v>
      </c>
      <c r="H770">
        <v>144.96799999999999</v>
      </c>
      <c r="I770" t="s">
        <v>2078</v>
      </c>
      <c r="J770" t="s">
        <v>1450</v>
      </c>
      <c r="K770" t="s">
        <v>1645</v>
      </c>
      <c r="L770" t="s">
        <v>1646</v>
      </c>
      <c r="M770" t="s">
        <v>1454</v>
      </c>
    </row>
    <row r="771" spans="1:13">
      <c r="A771">
        <v>2007</v>
      </c>
      <c r="B771">
        <v>2</v>
      </c>
      <c r="C771" t="s">
        <v>1712</v>
      </c>
      <c r="D771" s="82">
        <v>39180</v>
      </c>
      <c r="E771" t="s">
        <v>1856</v>
      </c>
      <c r="F771" t="s">
        <v>2867</v>
      </c>
      <c r="G771">
        <v>2.7608299999999999</v>
      </c>
      <c r="H771">
        <v>101.738</v>
      </c>
      <c r="I771" t="s">
        <v>2079</v>
      </c>
      <c r="J771" t="s">
        <v>1711</v>
      </c>
      <c r="K771" t="s">
        <v>1713</v>
      </c>
      <c r="L771" t="s">
        <v>1714</v>
      </c>
      <c r="M771" t="s">
        <v>1715</v>
      </c>
    </row>
    <row r="772" spans="1:13">
      <c r="A772">
        <v>2007</v>
      </c>
      <c r="B772">
        <v>3</v>
      </c>
      <c r="C772" t="s">
        <v>1788</v>
      </c>
      <c r="D772" s="82">
        <v>39187</v>
      </c>
      <c r="E772" t="s">
        <v>1857</v>
      </c>
      <c r="F772" t="s">
        <v>2868</v>
      </c>
      <c r="G772">
        <v>26.032499999999999</v>
      </c>
      <c r="H772">
        <v>50.510599999999997</v>
      </c>
      <c r="I772" t="s">
        <v>2080</v>
      </c>
      <c r="J772" t="s">
        <v>1787</v>
      </c>
      <c r="K772" t="s">
        <v>1789</v>
      </c>
      <c r="L772" t="s">
        <v>1790</v>
      </c>
      <c r="M772" t="s">
        <v>1791</v>
      </c>
    </row>
    <row r="773" spans="1:13">
      <c r="A773">
        <v>2007</v>
      </c>
      <c r="B773">
        <v>4</v>
      </c>
      <c r="C773" t="s">
        <v>1566</v>
      </c>
      <c r="D773" s="82">
        <v>39215</v>
      </c>
      <c r="E773" t="s">
        <v>1858</v>
      </c>
      <c r="F773" t="s">
        <v>2869</v>
      </c>
      <c r="G773">
        <v>41.57</v>
      </c>
      <c r="H773">
        <v>2.26111</v>
      </c>
      <c r="I773" t="s">
        <v>2075</v>
      </c>
      <c r="J773" t="s">
        <v>899</v>
      </c>
      <c r="K773" t="s">
        <v>1567</v>
      </c>
      <c r="L773" t="s">
        <v>1568</v>
      </c>
      <c r="M773" t="s">
        <v>903</v>
      </c>
    </row>
    <row r="774" spans="1:13">
      <c r="A774">
        <v>2007</v>
      </c>
      <c r="B774">
        <v>5</v>
      </c>
      <c r="C774" t="s">
        <v>857</v>
      </c>
      <c r="D774" s="82">
        <v>39229</v>
      </c>
      <c r="E774" t="s">
        <v>1859</v>
      </c>
      <c r="F774" t="s">
        <v>2870</v>
      </c>
      <c r="G774">
        <v>43.734699999999997</v>
      </c>
      <c r="H774">
        <v>7.42056</v>
      </c>
      <c r="I774" t="s">
        <v>2021</v>
      </c>
      <c r="J774" t="s">
        <v>856</v>
      </c>
      <c r="K774" t="s">
        <v>858</v>
      </c>
      <c r="L774" t="s">
        <v>859</v>
      </c>
      <c r="M774" t="s">
        <v>860</v>
      </c>
    </row>
    <row r="775" spans="1:13">
      <c r="A775">
        <v>2007</v>
      </c>
      <c r="B775">
        <v>6</v>
      </c>
      <c r="C775" t="s">
        <v>1320</v>
      </c>
      <c r="D775" s="82">
        <v>39243</v>
      </c>
      <c r="E775" t="s">
        <v>1860</v>
      </c>
      <c r="F775" t="s">
        <v>2871</v>
      </c>
      <c r="G775">
        <v>45.5</v>
      </c>
      <c r="H775">
        <v>-73.522800000000004</v>
      </c>
      <c r="I775" t="s">
        <v>2063</v>
      </c>
      <c r="J775" t="s">
        <v>1115</v>
      </c>
      <c r="K775" t="s">
        <v>1321</v>
      </c>
      <c r="L775" t="s">
        <v>1322</v>
      </c>
      <c r="M775" t="s">
        <v>1119</v>
      </c>
    </row>
    <row r="776" spans="1:13">
      <c r="A776">
        <v>2007</v>
      </c>
      <c r="B776">
        <v>7</v>
      </c>
      <c r="C776" t="s">
        <v>863</v>
      </c>
      <c r="D776" s="82">
        <v>39250</v>
      </c>
      <c r="E776" t="s">
        <v>1861</v>
      </c>
      <c r="F776" t="s">
        <v>2872</v>
      </c>
      <c r="G776">
        <v>39.795000000000002</v>
      </c>
      <c r="H776">
        <v>-86.234700000000004</v>
      </c>
      <c r="I776" t="s">
        <v>2022</v>
      </c>
      <c r="J776" t="s">
        <v>862</v>
      </c>
      <c r="K776" t="s">
        <v>864</v>
      </c>
      <c r="L776" t="s">
        <v>865</v>
      </c>
      <c r="M776" t="s">
        <v>1010</v>
      </c>
    </row>
    <row r="777" spans="1:13">
      <c r="A777">
        <v>2007</v>
      </c>
      <c r="B777">
        <v>8</v>
      </c>
      <c r="C777" t="s">
        <v>1556</v>
      </c>
      <c r="D777" s="82">
        <v>39264</v>
      </c>
      <c r="E777" t="s">
        <v>1862</v>
      </c>
      <c r="F777" t="s">
        <v>2873</v>
      </c>
      <c r="G777">
        <v>46.864199999999997</v>
      </c>
      <c r="H777">
        <v>3.1636099999999998</v>
      </c>
      <c r="I777" t="s">
        <v>2074</v>
      </c>
      <c r="J777" t="s">
        <v>877</v>
      </c>
      <c r="K777" t="s">
        <v>1557</v>
      </c>
      <c r="L777" t="s">
        <v>1558</v>
      </c>
      <c r="M777" t="s">
        <v>755</v>
      </c>
    </row>
    <row r="778" spans="1:13">
      <c r="A778">
        <v>2007</v>
      </c>
      <c r="B778">
        <v>9</v>
      </c>
      <c r="C778" t="s">
        <v>851</v>
      </c>
      <c r="D778" s="82">
        <v>39271</v>
      </c>
      <c r="E778" t="s">
        <v>1863</v>
      </c>
      <c r="F778" t="s">
        <v>2874</v>
      </c>
      <c r="G778">
        <v>52.078600000000002</v>
      </c>
      <c r="H778">
        <v>-1.01694</v>
      </c>
      <c r="I778" t="s">
        <v>2020</v>
      </c>
      <c r="J778" t="s">
        <v>850</v>
      </c>
      <c r="K778" t="s">
        <v>852</v>
      </c>
      <c r="L778" t="s">
        <v>853</v>
      </c>
      <c r="M778" t="s">
        <v>854</v>
      </c>
    </row>
    <row r="779" spans="1:13">
      <c r="A779">
        <v>2007</v>
      </c>
      <c r="B779">
        <v>10</v>
      </c>
      <c r="C779" t="s">
        <v>894</v>
      </c>
      <c r="D779" s="82">
        <v>39285</v>
      </c>
      <c r="E779" t="s">
        <v>1864</v>
      </c>
      <c r="F779" t="s">
        <v>2875</v>
      </c>
      <c r="G779">
        <v>50.335599999999999</v>
      </c>
      <c r="H779">
        <v>6.9474999999999998</v>
      </c>
      <c r="I779" t="s">
        <v>2027</v>
      </c>
      <c r="J779" t="s">
        <v>893</v>
      </c>
      <c r="K779" t="s">
        <v>895</v>
      </c>
      <c r="L779" t="s">
        <v>896</v>
      </c>
      <c r="M779" t="s">
        <v>761</v>
      </c>
    </row>
    <row r="780" spans="1:13">
      <c r="A780">
        <v>2007</v>
      </c>
      <c r="B780">
        <v>11</v>
      </c>
      <c r="C780" t="s">
        <v>1470</v>
      </c>
      <c r="D780" s="82">
        <v>39299</v>
      </c>
      <c r="E780" t="s">
        <v>1865</v>
      </c>
      <c r="F780" t="s">
        <v>2876</v>
      </c>
      <c r="G780">
        <v>47.578899999999997</v>
      </c>
      <c r="H780">
        <v>19.2486</v>
      </c>
      <c r="I780" t="s">
        <v>2071</v>
      </c>
      <c r="J780" t="s">
        <v>1469</v>
      </c>
      <c r="K780" t="s">
        <v>1471</v>
      </c>
      <c r="L780" t="s">
        <v>1472</v>
      </c>
      <c r="M780" t="s">
        <v>1473</v>
      </c>
    </row>
    <row r="781" spans="1:13">
      <c r="A781">
        <v>2007</v>
      </c>
      <c r="B781">
        <v>12</v>
      </c>
      <c r="C781" t="s">
        <v>1826</v>
      </c>
      <c r="D781" s="82">
        <v>39320</v>
      </c>
      <c r="E781" t="s">
        <v>1866</v>
      </c>
      <c r="F781" t="s">
        <v>2877</v>
      </c>
      <c r="G781">
        <v>40.951700000000002</v>
      </c>
      <c r="H781">
        <v>29.405000000000001</v>
      </c>
      <c r="I781" t="s">
        <v>2082</v>
      </c>
      <c r="J781" t="s">
        <v>1825</v>
      </c>
      <c r="K781" t="s">
        <v>1827</v>
      </c>
      <c r="L781" t="s">
        <v>1828</v>
      </c>
      <c r="M781" t="s">
        <v>1829</v>
      </c>
    </row>
    <row r="782" spans="1:13">
      <c r="A782">
        <v>2007</v>
      </c>
      <c r="B782">
        <v>13</v>
      </c>
      <c r="C782" t="s">
        <v>883</v>
      </c>
      <c r="D782" s="82">
        <v>39334</v>
      </c>
      <c r="E782" t="s">
        <v>1867</v>
      </c>
      <c r="F782" t="s">
        <v>2878</v>
      </c>
      <c r="G782">
        <v>45.615600000000001</v>
      </c>
      <c r="H782">
        <v>9.28111</v>
      </c>
      <c r="I782" t="s">
        <v>2026</v>
      </c>
      <c r="J782" t="s">
        <v>882</v>
      </c>
      <c r="K782" t="s">
        <v>884</v>
      </c>
      <c r="L782" t="s">
        <v>885</v>
      </c>
      <c r="M782" t="s">
        <v>886</v>
      </c>
    </row>
    <row r="783" spans="1:13">
      <c r="A783">
        <v>2007</v>
      </c>
      <c r="B783">
        <v>14</v>
      </c>
      <c r="C783" t="s">
        <v>873</v>
      </c>
      <c r="D783" s="82">
        <v>39341</v>
      </c>
      <c r="E783" t="s">
        <v>1868</v>
      </c>
      <c r="F783" t="s">
        <v>2879</v>
      </c>
      <c r="G783">
        <v>50.437199999999997</v>
      </c>
      <c r="H783">
        <v>5.9713900000000004</v>
      </c>
      <c r="I783" t="s">
        <v>2024</v>
      </c>
      <c r="J783" t="s">
        <v>872</v>
      </c>
      <c r="K783" t="s">
        <v>874</v>
      </c>
      <c r="L783" t="s">
        <v>875</v>
      </c>
      <c r="M783" t="s">
        <v>244</v>
      </c>
    </row>
    <row r="784" spans="1:13">
      <c r="A784">
        <v>2007</v>
      </c>
      <c r="B784">
        <v>15</v>
      </c>
      <c r="C784" t="s">
        <v>1281</v>
      </c>
      <c r="D784" s="82">
        <v>39355</v>
      </c>
      <c r="E784" t="s">
        <v>1869</v>
      </c>
      <c r="F784" t="s">
        <v>2880</v>
      </c>
      <c r="G784">
        <v>35.371699999999997</v>
      </c>
      <c r="H784">
        <v>138.92699999999999</v>
      </c>
      <c r="I784" t="s">
        <v>2061</v>
      </c>
      <c r="J784" t="s">
        <v>1280</v>
      </c>
      <c r="K784" t="s">
        <v>1282</v>
      </c>
      <c r="L784" t="s">
        <v>1283</v>
      </c>
      <c r="M784" t="s">
        <v>375</v>
      </c>
    </row>
    <row r="785" spans="1:13">
      <c r="A785">
        <v>2007</v>
      </c>
      <c r="B785">
        <v>16</v>
      </c>
      <c r="C785" t="s">
        <v>1806</v>
      </c>
      <c r="D785" s="82">
        <v>39362</v>
      </c>
      <c r="E785" t="s">
        <v>1870</v>
      </c>
      <c r="F785" t="s">
        <v>2881</v>
      </c>
      <c r="G785">
        <v>31.338899999999999</v>
      </c>
      <c r="H785">
        <v>121.22</v>
      </c>
      <c r="I785" t="s">
        <v>2081</v>
      </c>
      <c r="J785" t="s">
        <v>1805</v>
      </c>
      <c r="K785" t="s">
        <v>1807</v>
      </c>
      <c r="L785" t="s">
        <v>1808</v>
      </c>
      <c r="M785" t="s">
        <v>255</v>
      </c>
    </row>
    <row r="786" spans="1:13">
      <c r="A786">
        <v>2007</v>
      </c>
      <c r="B786">
        <v>17</v>
      </c>
      <c r="C786" t="s">
        <v>1204</v>
      </c>
      <c r="D786" s="82">
        <v>39376</v>
      </c>
      <c r="E786" t="s">
        <v>1871</v>
      </c>
      <c r="F786" t="s">
        <v>2882</v>
      </c>
      <c r="G786">
        <v>-23.703600000000002</v>
      </c>
      <c r="H786">
        <v>-46.6997</v>
      </c>
      <c r="I786" t="s">
        <v>2056</v>
      </c>
      <c r="J786" t="s">
        <v>1203</v>
      </c>
      <c r="K786" t="s">
        <v>1205</v>
      </c>
      <c r="L786" t="s">
        <v>1206</v>
      </c>
      <c r="M786" t="s">
        <v>1207</v>
      </c>
    </row>
    <row r="787" spans="1:13">
      <c r="A787">
        <v>2008</v>
      </c>
      <c r="B787">
        <v>1</v>
      </c>
      <c r="C787" t="s">
        <v>1644</v>
      </c>
      <c r="D787" s="82">
        <v>39523</v>
      </c>
      <c r="E787" t="s">
        <v>1872</v>
      </c>
      <c r="F787" t="s">
        <v>2883</v>
      </c>
      <c r="G787">
        <v>-37.849699999999999</v>
      </c>
      <c r="H787">
        <v>144.96799999999999</v>
      </c>
      <c r="I787" t="s">
        <v>2078</v>
      </c>
      <c r="J787" t="s">
        <v>1450</v>
      </c>
      <c r="K787" t="s">
        <v>1645</v>
      </c>
      <c r="L787" t="s">
        <v>1646</v>
      </c>
      <c r="M787" t="s">
        <v>1454</v>
      </c>
    </row>
    <row r="788" spans="1:13">
      <c r="A788">
        <v>2008</v>
      </c>
      <c r="B788">
        <v>2</v>
      </c>
      <c r="C788" t="s">
        <v>1712</v>
      </c>
      <c r="D788" s="82">
        <v>39530</v>
      </c>
      <c r="E788" t="s">
        <v>1873</v>
      </c>
      <c r="F788" t="s">
        <v>2884</v>
      </c>
      <c r="G788">
        <v>2.7608299999999999</v>
      </c>
      <c r="H788">
        <v>101.738</v>
      </c>
      <c r="I788" t="s">
        <v>2079</v>
      </c>
      <c r="J788" t="s">
        <v>1711</v>
      </c>
      <c r="K788" t="s">
        <v>1713</v>
      </c>
      <c r="L788" t="s">
        <v>1714</v>
      </c>
      <c r="M788" t="s">
        <v>1715</v>
      </c>
    </row>
    <row r="789" spans="1:13">
      <c r="A789">
        <v>2008</v>
      </c>
      <c r="B789">
        <v>3</v>
      </c>
      <c r="C789" t="s">
        <v>1788</v>
      </c>
      <c r="D789" s="82">
        <v>39544</v>
      </c>
      <c r="E789" t="s">
        <v>1874</v>
      </c>
      <c r="F789" t="s">
        <v>2885</v>
      </c>
      <c r="G789">
        <v>26.032499999999999</v>
      </c>
      <c r="H789">
        <v>50.510599999999997</v>
      </c>
      <c r="I789" t="s">
        <v>2080</v>
      </c>
      <c r="J789" t="s">
        <v>1787</v>
      </c>
      <c r="K789" t="s">
        <v>1789</v>
      </c>
      <c r="L789" t="s">
        <v>1790</v>
      </c>
      <c r="M789" t="s">
        <v>1791</v>
      </c>
    </row>
    <row r="790" spans="1:13">
      <c r="A790">
        <v>2008</v>
      </c>
      <c r="B790">
        <v>4</v>
      </c>
      <c r="C790" t="s">
        <v>1566</v>
      </c>
      <c r="D790" s="82">
        <v>39565</v>
      </c>
      <c r="E790" t="s">
        <v>1875</v>
      </c>
      <c r="F790" t="s">
        <v>2886</v>
      </c>
      <c r="G790">
        <v>41.57</v>
      </c>
      <c r="H790">
        <v>2.26111</v>
      </c>
      <c r="I790" t="s">
        <v>2075</v>
      </c>
      <c r="J790" t="s">
        <v>899</v>
      </c>
      <c r="K790" t="s">
        <v>1567</v>
      </c>
      <c r="L790" t="s">
        <v>1568</v>
      </c>
      <c r="M790" t="s">
        <v>903</v>
      </c>
    </row>
    <row r="791" spans="1:13">
      <c r="A791">
        <v>2008</v>
      </c>
      <c r="B791">
        <v>5</v>
      </c>
      <c r="C791" t="s">
        <v>1826</v>
      </c>
      <c r="D791" s="82">
        <v>39579</v>
      </c>
      <c r="E791" t="s">
        <v>1876</v>
      </c>
      <c r="F791" t="s">
        <v>2887</v>
      </c>
      <c r="G791">
        <v>40.951700000000002</v>
      </c>
      <c r="H791">
        <v>29.405000000000001</v>
      </c>
      <c r="I791" t="s">
        <v>2082</v>
      </c>
      <c r="J791" t="s">
        <v>1825</v>
      </c>
      <c r="K791" t="s">
        <v>1827</v>
      </c>
      <c r="L791" t="s">
        <v>1828</v>
      </c>
      <c r="M791" t="s">
        <v>1829</v>
      </c>
    </row>
    <row r="792" spans="1:13">
      <c r="A792">
        <v>2008</v>
      </c>
      <c r="B792">
        <v>6</v>
      </c>
      <c r="C792" t="s">
        <v>857</v>
      </c>
      <c r="D792" s="82">
        <v>39593</v>
      </c>
      <c r="E792" t="s">
        <v>1877</v>
      </c>
      <c r="F792" t="s">
        <v>2888</v>
      </c>
      <c r="G792">
        <v>43.734699999999997</v>
      </c>
      <c r="H792">
        <v>7.42056</v>
      </c>
      <c r="I792" t="s">
        <v>2021</v>
      </c>
      <c r="J792" t="s">
        <v>856</v>
      </c>
      <c r="K792" t="s">
        <v>858</v>
      </c>
      <c r="L792" t="s">
        <v>859</v>
      </c>
      <c r="M792" t="s">
        <v>860</v>
      </c>
    </row>
    <row r="793" spans="1:13">
      <c r="A793">
        <v>2008</v>
      </c>
      <c r="B793">
        <v>7</v>
      </c>
      <c r="C793" t="s">
        <v>1320</v>
      </c>
      <c r="D793" s="82">
        <v>39607</v>
      </c>
      <c r="E793" t="s">
        <v>1878</v>
      </c>
      <c r="F793" t="s">
        <v>2889</v>
      </c>
      <c r="G793">
        <v>45.5</v>
      </c>
      <c r="H793">
        <v>-73.522800000000004</v>
      </c>
      <c r="I793" t="s">
        <v>2063</v>
      </c>
      <c r="J793" t="s">
        <v>1115</v>
      </c>
      <c r="K793" t="s">
        <v>1321</v>
      </c>
      <c r="L793" t="s">
        <v>1322</v>
      </c>
      <c r="M793" t="s">
        <v>1119</v>
      </c>
    </row>
    <row r="794" spans="1:13">
      <c r="A794">
        <v>2008</v>
      </c>
      <c r="B794">
        <v>8</v>
      </c>
      <c r="C794" t="s">
        <v>1556</v>
      </c>
      <c r="D794" s="82">
        <v>39621</v>
      </c>
      <c r="E794" t="s">
        <v>1879</v>
      </c>
      <c r="F794" t="s">
        <v>2890</v>
      </c>
      <c r="G794">
        <v>46.864199999999997</v>
      </c>
      <c r="H794">
        <v>3.1636099999999998</v>
      </c>
      <c r="I794" t="s">
        <v>2074</v>
      </c>
      <c r="J794" t="s">
        <v>877</v>
      </c>
      <c r="K794" t="s">
        <v>1557</v>
      </c>
      <c r="L794" t="s">
        <v>1558</v>
      </c>
      <c r="M794" t="s">
        <v>755</v>
      </c>
    </row>
    <row r="795" spans="1:13">
      <c r="A795">
        <v>2008</v>
      </c>
      <c r="B795">
        <v>9</v>
      </c>
      <c r="C795" t="s">
        <v>851</v>
      </c>
      <c r="D795" s="82">
        <v>39635</v>
      </c>
      <c r="E795" t="s">
        <v>1880</v>
      </c>
      <c r="F795" t="s">
        <v>2891</v>
      </c>
      <c r="G795">
        <v>52.078600000000002</v>
      </c>
      <c r="H795">
        <v>-1.01694</v>
      </c>
      <c r="I795" t="s">
        <v>2020</v>
      </c>
      <c r="J795" t="s">
        <v>850</v>
      </c>
      <c r="K795" t="s">
        <v>852</v>
      </c>
      <c r="L795" t="s">
        <v>853</v>
      </c>
      <c r="M795" t="s">
        <v>854</v>
      </c>
    </row>
    <row r="796" spans="1:13">
      <c r="A796">
        <v>2008</v>
      </c>
      <c r="B796">
        <v>10</v>
      </c>
      <c r="C796" t="s">
        <v>1162</v>
      </c>
      <c r="D796" s="82">
        <v>39649</v>
      </c>
      <c r="E796" t="s">
        <v>1881</v>
      </c>
      <c r="F796" t="s">
        <v>2892</v>
      </c>
      <c r="G796">
        <v>49.327800000000003</v>
      </c>
      <c r="H796">
        <v>8.5658300000000001</v>
      </c>
      <c r="I796" t="s">
        <v>2052</v>
      </c>
      <c r="J796" t="s">
        <v>893</v>
      </c>
      <c r="K796" t="s">
        <v>1163</v>
      </c>
      <c r="L796" t="s">
        <v>1164</v>
      </c>
      <c r="M796" t="s">
        <v>761</v>
      </c>
    </row>
    <row r="797" spans="1:13">
      <c r="A797">
        <v>2008</v>
      </c>
      <c r="B797">
        <v>11</v>
      </c>
      <c r="C797" t="s">
        <v>1470</v>
      </c>
      <c r="D797" s="82">
        <v>39663</v>
      </c>
      <c r="E797" t="s">
        <v>1882</v>
      </c>
      <c r="F797" t="s">
        <v>2893</v>
      </c>
      <c r="G797">
        <v>47.578899999999997</v>
      </c>
      <c r="H797">
        <v>19.2486</v>
      </c>
      <c r="I797" t="s">
        <v>2071</v>
      </c>
      <c r="J797" t="s">
        <v>1469</v>
      </c>
      <c r="K797" t="s">
        <v>1471</v>
      </c>
      <c r="L797" t="s">
        <v>1472</v>
      </c>
      <c r="M797" t="s">
        <v>1473</v>
      </c>
    </row>
    <row r="798" spans="1:13">
      <c r="A798">
        <v>2008</v>
      </c>
      <c r="B798">
        <v>12</v>
      </c>
      <c r="C798" t="s">
        <v>1883</v>
      </c>
      <c r="D798" s="82">
        <v>39684</v>
      </c>
      <c r="E798" t="s">
        <v>1886</v>
      </c>
      <c r="F798" t="s">
        <v>2894</v>
      </c>
      <c r="G798">
        <v>39.4589</v>
      </c>
      <c r="H798">
        <v>-0.33166699999999999</v>
      </c>
      <c r="I798" t="s">
        <v>2083</v>
      </c>
      <c r="J798" t="s">
        <v>1409</v>
      </c>
      <c r="K798" t="s">
        <v>1884</v>
      </c>
      <c r="L798" t="s">
        <v>1885</v>
      </c>
      <c r="M798" t="s">
        <v>903</v>
      </c>
    </row>
    <row r="799" spans="1:13">
      <c r="A799">
        <v>2008</v>
      </c>
      <c r="B799">
        <v>13</v>
      </c>
      <c r="C799" t="s">
        <v>873</v>
      </c>
      <c r="D799" s="82">
        <v>39698</v>
      </c>
      <c r="E799" t="s">
        <v>1887</v>
      </c>
      <c r="F799" t="s">
        <v>2895</v>
      </c>
      <c r="G799">
        <v>50.437199999999997</v>
      </c>
      <c r="H799">
        <v>5.9713900000000004</v>
      </c>
      <c r="I799" t="s">
        <v>2024</v>
      </c>
      <c r="J799" t="s">
        <v>872</v>
      </c>
      <c r="K799" t="s">
        <v>874</v>
      </c>
      <c r="L799" t="s">
        <v>875</v>
      </c>
      <c r="M799" t="s">
        <v>244</v>
      </c>
    </row>
    <row r="800" spans="1:13">
      <c r="A800">
        <v>2008</v>
      </c>
      <c r="B800">
        <v>14</v>
      </c>
      <c r="C800" t="s">
        <v>883</v>
      </c>
      <c r="D800" s="82">
        <v>39705</v>
      </c>
      <c r="E800" t="s">
        <v>1888</v>
      </c>
      <c r="F800" t="s">
        <v>2896</v>
      </c>
      <c r="G800">
        <v>45.615600000000001</v>
      </c>
      <c r="H800">
        <v>9.28111</v>
      </c>
      <c r="I800" t="s">
        <v>2026</v>
      </c>
      <c r="J800" t="s">
        <v>882</v>
      </c>
      <c r="K800" t="s">
        <v>884</v>
      </c>
      <c r="L800" t="s">
        <v>885</v>
      </c>
      <c r="M800" t="s">
        <v>886</v>
      </c>
    </row>
    <row r="801" spans="1:13">
      <c r="A801">
        <v>2008</v>
      </c>
      <c r="B801">
        <v>15</v>
      </c>
      <c r="C801" t="s">
        <v>1890</v>
      </c>
      <c r="D801" s="82">
        <v>39719</v>
      </c>
      <c r="E801" t="s">
        <v>1894</v>
      </c>
      <c r="F801" t="s">
        <v>2897</v>
      </c>
      <c r="G801">
        <v>1.2914000000000001</v>
      </c>
      <c r="H801">
        <v>103.864</v>
      </c>
      <c r="I801" t="s">
        <v>2084</v>
      </c>
      <c r="J801" t="s">
        <v>1889</v>
      </c>
      <c r="K801" t="s">
        <v>1891</v>
      </c>
      <c r="L801" t="s">
        <v>1892</v>
      </c>
      <c r="M801" t="s">
        <v>1893</v>
      </c>
    </row>
    <row r="802" spans="1:13">
      <c r="A802">
        <v>2008</v>
      </c>
      <c r="B802">
        <v>16</v>
      </c>
      <c r="C802" t="s">
        <v>1281</v>
      </c>
      <c r="D802" s="82">
        <v>39733</v>
      </c>
      <c r="E802" t="s">
        <v>1895</v>
      </c>
      <c r="F802" t="s">
        <v>2898</v>
      </c>
      <c r="G802">
        <v>35.371699999999997</v>
      </c>
      <c r="H802">
        <v>138.92699999999999</v>
      </c>
      <c r="I802" t="s">
        <v>2061</v>
      </c>
      <c r="J802" t="s">
        <v>1280</v>
      </c>
      <c r="K802" t="s">
        <v>1282</v>
      </c>
      <c r="L802" t="s">
        <v>1283</v>
      </c>
      <c r="M802" t="s">
        <v>375</v>
      </c>
    </row>
    <row r="803" spans="1:13">
      <c r="A803">
        <v>2008</v>
      </c>
      <c r="B803">
        <v>17</v>
      </c>
      <c r="C803" t="s">
        <v>1806</v>
      </c>
      <c r="D803" s="82">
        <v>39740</v>
      </c>
      <c r="E803" t="s">
        <v>1896</v>
      </c>
      <c r="F803" t="s">
        <v>2899</v>
      </c>
      <c r="G803">
        <v>31.338899999999999</v>
      </c>
      <c r="H803">
        <v>121.22</v>
      </c>
      <c r="I803" t="s">
        <v>2081</v>
      </c>
      <c r="J803" t="s">
        <v>1805</v>
      </c>
      <c r="K803" t="s">
        <v>1807</v>
      </c>
      <c r="L803" t="s">
        <v>1808</v>
      </c>
      <c r="M803" t="s">
        <v>255</v>
      </c>
    </row>
    <row r="804" spans="1:13">
      <c r="A804">
        <v>2008</v>
      </c>
      <c r="B804">
        <v>18</v>
      </c>
      <c r="C804" t="s">
        <v>1204</v>
      </c>
      <c r="D804" s="82">
        <v>39754</v>
      </c>
      <c r="E804" t="s">
        <v>1897</v>
      </c>
      <c r="F804" t="s">
        <v>2900</v>
      </c>
      <c r="G804">
        <v>-23.703600000000002</v>
      </c>
      <c r="H804">
        <v>-46.6997</v>
      </c>
      <c r="I804" t="s">
        <v>2056</v>
      </c>
      <c r="J804" t="s">
        <v>1203</v>
      </c>
      <c r="K804" t="s">
        <v>1205</v>
      </c>
      <c r="L804" t="s">
        <v>1206</v>
      </c>
      <c r="M804" t="s">
        <v>1207</v>
      </c>
    </row>
    <row r="805" spans="1:13">
      <c r="A805">
        <v>2009</v>
      </c>
      <c r="B805">
        <v>1</v>
      </c>
      <c r="C805" t="s">
        <v>1644</v>
      </c>
      <c r="D805" s="82">
        <v>39901</v>
      </c>
      <c r="E805" t="s">
        <v>1898</v>
      </c>
      <c r="F805" t="s">
        <v>2901</v>
      </c>
      <c r="G805">
        <v>-37.849699999999999</v>
      </c>
      <c r="H805">
        <v>144.96799999999999</v>
      </c>
      <c r="I805" t="s">
        <v>2078</v>
      </c>
      <c r="J805" t="s">
        <v>1450</v>
      </c>
      <c r="K805" t="s">
        <v>1645</v>
      </c>
      <c r="L805" t="s">
        <v>1646</v>
      </c>
      <c r="M805" t="s">
        <v>1454</v>
      </c>
    </row>
    <row r="806" spans="1:13">
      <c r="A806">
        <v>2009</v>
      </c>
      <c r="B806">
        <v>2</v>
      </c>
      <c r="C806" t="s">
        <v>1712</v>
      </c>
      <c r="D806" s="82">
        <v>39908</v>
      </c>
      <c r="E806" t="s">
        <v>1899</v>
      </c>
      <c r="F806" t="s">
        <v>2902</v>
      </c>
      <c r="G806">
        <v>2.7608299999999999</v>
      </c>
      <c r="H806">
        <v>101.738</v>
      </c>
      <c r="I806" t="s">
        <v>2079</v>
      </c>
      <c r="J806" t="s">
        <v>1711</v>
      </c>
      <c r="K806" t="s">
        <v>1713</v>
      </c>
      <c r="L806" t="s">
        <v>1714</v>
      </c>
      <c r="M806" t="s">
        <v>1715</v>
      </c>
    </row>
    <row r="807" spans="1:13">
      <c r="A807">
        <v>2009</v>
      </c>
      <c r="B807">
        <v>3</v>
      </c>
      <c r="C807" t="s">
        <v>1806</v>
      </c>
      <c r="D807" s="82">
        <v>39922</v>
      </c>
      <c r="E807" t="s">
        <v>1900</v>
      </c>
      <c r="F807" t="s">
        <v>2903</v>
      </c>
      <c r="G807">
        <v>31.338899999999999</v>
      </c>
      <c r="H807">
        <v>121.22</v>
      </c>
      <c r="I807" t="s">
        <v>2081</v>
      </c>
      <c r="J807" t="s">
        <v>1805</v>
      </c>
      <c r="K807" t="s">
        <v>1807</v>
      </c>
      <c r="L807" t="s">
        <v>1808</v>
      </c>
      <c r="M807" t="s">
        <v>255</v>
      </c>
    </row>
    <row r="808" spans="1:13">
      <c r="A808">
        <v>2009</v>
      </c>
      <c r="B808">
        <v>4</v>
      </c>
      <c r="C808" t="s">
        <v>1788</v>
      </c>
      <c r="D808" s="82">
        <v>39929</v>
      </c>
      <c r="E808" t="s">
        <v>1901</v>
      </c>
      <c r="F808" t="s">
        <v>2904</v>
      </c>
      <c r="G808">
        <v>26.032499999999999</v>
      </c>
      <c r="H808">
        <v>50.510599999999997</v>
      </c>
      <c r="I808" t="s">
        <v>2080</v>
      </c>
      <c r="J808" t="s">
        <v>1787</v>
      </c>
      <c r="K808" t="s">
        <v>1789</v>
      </c>
      <c r="L808" t="s">
        <v>1790</v>
      </c>
      <c r="M808" t="s">
        <v>1791</v>
      </c>
    </row>
    <row r="809" spans="1:13">
      <c r="A809">
        <v>2009</v>
      </c>
      <c r="B809">
        <v>5</v>
      </c>
      <c r="C809" t="s">
        <v>1566</v>
      </c>
      <c r="D809" s="82">
        <v>39943</v>
      </c>
      <c r="E809" t="s">
        <v>1902</v>
      </c>
      <c r="F809" t="s">
        <v>2905</v>
      </c>
      <c r="G809">
        <v>41.57</v>
      </c>
      <c r="H809">
        <v>2.26111</v>
      </c>
      <c r="I809" t="s">
        <v>2075</v>
      </c>
      <c r="J809" t="s">
        <v>899</v>
      </c>
      <c r="K809" t="s">
        <v>1567</v>
      </c>
      <c r="L809" t="s">
        <v>1568</v>
      </c>
      <c r="M809" t="s">
        <v>903</v>
      </c>
    </row>
    <row r="810" spans="1:13">
      <c r="A810">
        <v>2009</v>
      </c>
      <c r="B810">
        <v>6</v>
      </c>
      <c r="C810" t="s">
        <v>857</v>
      </c>
      <c r="D810" s="82">
        <v>39957</v>
      </c>
      <c r="E810" t="s">
        <v>1903</v>
      </c>
      <c r="F810" t="s">
        <v>2906</v>
      </c>
      <c r="G810">
        <v>43.734699999999997</v>
      </c>
      <c r="H810">
        <v>7.42056</v>
      </c>
      <c r="I810" t="s">
        <v>2021</v>
      </c>
      <c r="J810" t="s">
        <v>856</v>
      </c>
      <c r="K810" t="s">
        <v>858</v>
      </c>
      <c r="L810" t="s">
        <v>859</v>
      </c>
      <c r="M810" t="s">
        <v>860</v>
      </c>
    </row>
    <row r="811" spans="1:13">
      <c r="A811">
        <v>2009</v>
      </c>
      <c r="B811">
        <v>7</v>
      </c>
      <c r="C811" t="s">
        <v>1826</v>
      </c>
      <c r="D811" s="82">
        <v>39971</v>
      </c>
      <c r="E811" t="s">
        <v>1904</v>
      </c>
      <c r="F811" t="s">
        <v>2907</v>
      </c>
      <c r="G811">
        <v>40.951700000000002</v>
      </c>
      <c r="H811">
        <v>29.405000000000001</v>
      </c>
      <c r="I811" t="s">
        <v>2082</v>
      </c>
      <c r="J811" t="s">
        <v>1825</v>
      </c>
      <c r="K811" t="s">
        <v>1827</v>
      </c>
      <c r="L811" t="s">
        <v>1828</v>
      </c>
      <c r="M811" t="s">
        <v>1829</v>
      </c>
    </row>
    <row r="812" spans="1:13">
      <c r="A812">
        <v>2009</v>
      </c>
      <c r="B812">
        <v>8</v>
      </c>
      <c r="C812" t="s">
        <v>851</v>
      </c>
      <c r="D812" s="82">
        <v>39985</v>
      </c>
      <c r="E812" t="s">
        <v>1905</v>
      </c>
      <c r="F812" t="s">
        <v>2908</v>
      </c>
      <c r="G812">
        <v>52.078600000000002</v>
      </c>
      <c r="H812">
        <v>-1.01694</v>
      </c>
      <c r="I812" t="s">
        <v>2020</v>
      </c>
      <c r="J812" t="s">
        <v>850</v>
      </c>
      <c r="K812" t="s">
        <v>852</v>
      </c>
      <c r="L812" t="s">
        <v>853</v>
      </c>
      <c r="M812" t="s">
        <v>854</v>
      </c>
    </row>
    <row r="813" spans="1:13">
      <c r="A813">
        <v>2009</v>
      </c>
      <c r="B813">
        <v>9</v>
      </c>
      <c r="C813" t="s">
        <v>894</v>
      </c>
      <c r="D813" s="82">
        <v>40006</v>
      </c>
      <c r="E813" t="s">
        <v>1906</v>
      </c>
      <c r="F813" t="s">
        <v>2909</v>
      </c>
      <c r="G813">
        <v>50.335599999999999</v>
      </c>
      <c r="H813">
        <v>6.9474999999999998</v>
      </c>
      <c r="I813" t="s">
        <v>2027</v>
      </c>
      <c r="J813" t="s">
        <v>893</v>
      </c>
      <c r="K813" t="s">
        <v>895</v>
      </c>
      <c r="L813" t="s">
        <v>896</v>
      </c>
      <c r="M813" t="s">
        <v>761</v>
      </c>
    </row>
    <row r="814" spans="1:13">
      <c r="A814">
        <v>2009</v>
      </c>
      <c r="B814">
        <v>10</v>
      </c>
      <c r="C814" t="s">
        <v>1470</v>
      </c>
      <c r="D814" s="82">
        <v>40020</v>
      </c>
      <c r="E814" t="s">
        <v>1907</v>
      </c>
      <c r="F814" t="s">
        <v>2910</v>
      </c>
      <c r="G814">
        <v>47.578899999999997</v>
      </c>
      <c r="H814">
        <v>19.2486</v>
      </c>
      <c r="I814" t="s">
        <v>2071</v>
      </c>
      <c r="J814" t="s">
        <v>1469</v>
      </c>
      <c r="K814" t="s">
        <v>1471</v>
      </c>
      <c r="L814" t="s">
        <v>1472</v>
      </c>
      <c r="M814" t="s">
        <v>1473</v>
      </c>
    </row>
    <row r="815" spans="1:13">
      <c r="A815">
        <v>2009</v>
      </c>
      <c r="B815">
        <v>11</v>
      </c>
      <c r="C815" t="s">
        <v>1883</v>
      </c>
      <c r="D815" s="82">
        <v>40048</v>
      </c>
      <c r="E815" t="s">
        <v>1908</v>
      </c>
      <c r="F815" t="s">
        <v>2911</v>
      </c>
      <c r="G815">
        <v>39.4589</v>
      </c>
      <c r="H815">
        <v>-0.33166699999999999</v>
      </c>
      <c r="I815" t="s">
        <v>2083</v>
      </c>
      <c r="J815" t="s">
        <v>1409</v>
      </c>
      <c r="K815" t="s">
        <v>1884</v>
      </c>
      <c r="L815" t="s">
        <v>1885</v>
      </c>
      <c r="M815" t="s">
        <v>903</v>
      </c>
    </row>
    <row r="816" spans="1:13">
      <c r="A816">
        <v>2009</v>
      </c>
      <c r="B816">
        <v>12</v>
      </c>
      <c r="C816" t="s">
        <v>873</v>
      </c>
      <c r="D816" s="82">
        <v>40055</v>
      </c>
      <c r="E816" t="s">
        <v>1909</v>
      </c>
      <c r="F816" t="s">
        <v>2912</v>
      </c>
      <c r="G816">
        <v>50.437199999999997</v>
      </c>
      <c r="H816">
        <v>5.9713900000000004</v>
      </c>
      <c r="I816" t="s">
        <v>2024</v>
      </c>
      <c r="J816" t="s">
        <v>872</v>
      </c>
      <c r="K816" t="s">
        <v>874</v>
      </c>
      <c r="L816" t="s">
        <v>875</v>
      </c>
      <c r="M816" t="s">
        <v>244</v>
      </c>
    </row>
    <row r="817" spans="1:13">
      <c r="A817">
        <v>2009</v>
      </c>
      <c r="B817">
        <v>13</v>
      </c>
      <c r="C817" t="s">
        <v>883</v>
      </c>
      <c r="D817" s="82">
        <v>40069</v>
      </c>
      <c r="E817" t="s">
        <v>1910</v>
      </c>
      <c r="F817" t="s">
        <v>2913</v>
      </c>
      <c r="G817">
        <v>45.615600000000001</v>
      </c>
      <c r="H817">
        <v>9.28111</v>
      </c>
      <c r="I817" t="s">
        <v>2026</v>
      </c>
      <c r="J817" t="s">
        <v>882</v>
      </c>
      <c r="K817" t="s">
        <v>884</v>
      </c>
      <c r="L817" t="s">
        <v>885</v>
      </c>
      <c r="M817" t="s">
        <v>886</v>
      </c>
    </row>
    <row r="818" spans="1:13">
      <c r="A818">
        <v>2009</v>
      </c>
      <c r="B818">
        <v>14</v>
      </c>
      <c r="C818" t="s">
        <v>1890</v>
      </c>
      <c r="D818" s="82">
        <v>40083</v>
      </c>
      <c r="E818" t="s">
        <v>1911</v>
      </c>
      <c r="F818" t="s">
        <v>2914</v>
      </c>
      <c r="G818">
        <v>1.2914000000000001</v>
      </c>
      <c r="H818">
        <v>103.864</v>
      </c>
      <c r="I818" t="s">
        <v>2084</v>
      </c>
      <c r="J818" t="s">
        <v>1889</v>
      </c>
      <c r="K818" t="s">
        <v>1891</v>
      </c>
      <c r="L818" t="s">
        <v>1892</v>
      </c>
      <c r="M818" t="s">
        <v>1893</v>
      </c>
    </row>
    <row r="819" spans="1:13">
      <c r="A819">
        <v>2009</v>
      </c>
      <c r="B819">
        <v>15</v>
      </c>
      <c r="C819" t="s">
        <v>1494</v>
      </c>
      <c r="D819" s="82">
        <v>40090</v>
      </c>
      <c r="E819" t="s">
        <v>1912</v>
      </c>
      <c r="F819" t="s">
        <v>2915</v>
      </c>
      <c r="G819">
        <v>34.8431</v>
      </c>
      <c r="H819">
        <v>136.541</v>
      </c>
      <c r="I819" t="s">
        <v>2072</v>
      </c>
      <c r="J819" t="s">
        <v>1280</v>
      </c>
      <c r="K819" t="s">
        <v>1495</v>
      </c>
      <c r="L819" t="s">
        <v>1496</v>
      </c>
      <c r="M819" t="s">
        <v>375</v>
      </c>
    </row>
    <row r="820" spans="1:13">
      <c r="A820">
        <v>2009</v>
      </c>
      <c r="B820">
        <v>16</v>
      </c>
      <c r="C820" t="s">
        <v>1204</v>
      </c>
      <c r="D820" s="82">
        <v>40104</v>
      </c>
      <c r="E820" t="s">
        <v>1913</v>
      </c>
      <c r="F820" t="s">
        <v>2916</v>
      </c>
      <c r="G820">
        <v>-23.703600000000002</v>
      </c>
      <c r="H820">
        <v>-46.6997</v>
      </c>
      <c r="I820" t="s">
        <v>2056</v>
      </c>
      <c r="J820" t="s">
        <v>1203</v>
      </c>
      <c r="K820" t="s">
        <v>1205</v>
      </c>
      <c r="L820" t="s">
        <v>1206</v>
      </c>
      <c r="M820" t="s">
        <v>1207</v>
      </c>
    </row>
    <row r="821" spans="1:13">
      <c r="A821">
        <v>2009</v>
      </c>
      <c r="B821">
        <v>17</v>
      </c>
      <c r="C821" t="s">
        <v>1915</v>
      </c>
      <c r="D821" s="82">
        <v>40118</v>
      </c>
      <c r="E821" t="s">
        <v>1919</v>
      </c>
      <c r="F821" t="s">
        <v>2917</v>
      </c>
      <c r="G821">
        <v>24.467199999999998</v>
      </c>
      <c r="H821">
        <v>54.603099999999998</v>
      </c>
      <c r="I821" t="s">
        <v>2085</v>
      </c>
      <c r="J821" t="s">
        <v>1914</v>
      </c>
      <c r="K821" t="s">
        <v>1916</v>
      </c>
      <c r="L821" t="s">
        <v>1917</v>
      </c>
      <c r="M821" t="s">
        <v>1918</v>
      </c>
    </row>
    <row r="822" spans="1:13">
      <c r="A822">
        <v>2010</v>
      </c>
      <c r="B822">
        <v>1</v>
      </c>
      <c r="C822" t="s">
        <v>1788</v>
      </c>
      <c r="D822" s="82">
        <v>40251</v>
      </c>
      <c r="E822" t="s">
        <v>1921</v>
      </c>
      <c r="F822" t="s">
        <v>2918</v>
      </c>
      <c r="G822">
        <v>26.032499999999999</v>
      </c>
      <c r="H822">
        <v>50.510599999999997</v>
      </c>
      <c r="I822" t="s">
        <v>2080</v>
      </c>
      <c r="J822" t="s">
        <v>1787</v>
      </c>
      <c r="K822" t="s">
        <v>1789</v>
      </c>
      <c r="L822" t="s">
        <v>1790</v>
      </c>
      <c r="M822" t="s">
        <v>1791</v>
      </c>
    </row>
    <row r="823" spans="1:13">
      <c r="A823">
        <v>2010</v>
      </c>
      <c r="B823">
        <v>2</v>
      </c>
      <c r="C823" t="s">
        <v>1644</v>
      </c>
      <c r="D823" s="82">
        <v>40265</v>
      </c>
      <c r="E823" t="s">
        <v>1923</v>
      </c>
      <c r="F823" t="s">
        <v>2919</v>
      </c>
      <c r="G823">
        <v>-37.849699999999999</v>
      </c>
      <c r="H823">
        <v>144.96799999999999</v>
      </c>
      <c r="I823" t="s">
        <v>2078</v>
      </c>
      <c r="J823" t="s">
        <v>1450</v>
      </c>
      <c r="K823" t="s">
        <v>1645</v>
      </c>
      <c r="L823" t="s">
        <v>1646</v>
      </c>
      <c r="M823" t="s">
        <v>1454</v>
      </c>
    </row>
    <row r="824" spans="1:13">
      <c r="A824">
        <v>2010</v>
      </c>
      <c r="B824">
        <v>3</v>
      </c>
      <c r="C824" t="s">
        <v>1712</v>
      </c>
      <c r="D824" s="82">
        <v>40272</v>
      </c>
      <c r="E824" t="s">
        <v>1925</v>
      </c>
      <c r="F824" t="s">
        <v>2920</v>
      </c>
      <c r="G824">
        <v>2.7608299999999999</v>
      </c>
      <c r="H824">
        <v>101.738</v>
      </c>
      <c r="I824" t="s">
        <v>2079</v>
      </c>
      <c r="J824" t="s">
        <v>1711</v>
      </c>
      <c r="K824" t="s">
        <v>1713</v>
      </c>
      <c r="L824" t="s">
        <v>1714</v>
      </c>
      <c r="M824" t="s">
        <v>1715</v>
      </c>
    </row>
    <row r="825" spans="1:13">
      <c r="A825">
        <v>2010</v>
      </c>
      <c r="B825">
        <v>4</v>
      </c>
      <c r="C825" t="s">
        <v>1806</v>
      </c>
      <c r="D825" s="82">
        <v>40286</v>
      </c>
      <c r="E825" t="s">
        <v>1927</v>
      </c>
      <c r="F825" t="s">
        <v>2921</v>
      </c>
      <c r="G825">
        <v>31.338899999999999</v>
      </c>
      <c r="H825">
        <v>121.22</v>
      </c>
      <c r="I825" t="s">
        <v>2081</v>
      </c>
      <c r="J825" t="s">
        <v>1805</v>
      </c>
      <c r="K825" t="s">
        <v>1807</v>
      </c>
      <c r="L825" t="s">
        <v>1808</v>
      </c>
      <c r="M825" t="s">
        <v>255</v>
      </c>
    </row>
    <row r="826" spans="1:13">
      <c r="A826">
        <v>2010</v>
      </c>
      <c r="B826">
        <v>5</v>
      </c>
      <c r="C826" t="s">
        <v>1566</v>
      </c>
      <c r="D826" s="82">
        <v>40307</v>
      </c>
      <c r="E826" t="s">
        <v>1929</v>
      </c>
      <c r="F826" t="s">
        <v>2922</v>
      </c>
      <c r="G826">
        <v>41.57</v>
      </c>
      <c r="H826">
        <v>2.26111</v>
      </c>
      <c r="I826" t="s">
        <v>2075</v>
      </c>
      <c r="J826" t="s">
        <v>899</v>
      </c>
      <c r="K826" t="s">
        <v>1567</v>
      </c>
      <c r="L826" t="s">
        <v>1568</v>
      </c>
      <c r="M826" t="s">
        <v>903</v>
      </c>
    </row>
    <row r="827" spans="1:13">
      <c r="A827">
        <v>2010</v>
      </c>
      <c r="B827">
        <v>6</v>
      </c>
      <c r="C827" t="s">
        <v>857</v>
      </c>
      <c r="D827" s="82">
        <v>40314</v>
      </c>
      <c r="E827" t="s">
        <v>1931</v>
      </c>
      <c r="F827" t="s">
        <v>2923</v>
      </c>
      <c r="G827">
        <v>43.734699999999997</v>
      </c>
      <c r="H827">
        <v>7.42056</v>
      </c>
      <c r="I827" t="s">
        <v>2021</v>
      </c>
      <c r="J827" t="s">
        <v>856</v>
      </c>
      <c r="K827" t="s">
        <v>858</v>
      </c>
      <c r="L827" t="s">
        <v>859</v>
      </c>
      <c r="M827" t="s">
        <v>860</v>
      </c>
    </row>
    <row r="828" spans="1:13">
      <c r="A828">
        <v>2010</v>
      </c>
      <c r="B828">
        <v>7</v>
      </c>
      <c r="C828" t="s">
        <v>1826</v>
      </c>
      <c r="D828" s="82">
        <v>40328</v>
      </c>
      <c r="E828" t="s">
        <v>1933</v>
      </c>
      <c r="F828" t="s">
        <v>2924</v>
      </c>
      <c r="G828">
        <v>40.951700000000002</v>
      </c>
      <c r="H828">
        <v>29.405000000000001</v>
      </c>
      <c r="I828" t="s">
        <v>2082</v>
      </c>
      <c r="J828" t="s">
        <v>1825</v>
      </c>
      <c r="K828" t="s">
        <v>1827</v>
      </c>
      <c r="L828" t="s">
        <v>1828</v>
      </c>
      <c r="M828" t="s">
        <v>1829</v>
      </c>
    </row>
    <row r="829" spans="1:13">
      <c r="A829">
        <v>2010</v>
      </c>
      <c r="B829">
        <v>8</v>
      </c>
      <c r="C829" t="s">
        <v>1320</v>
      </c>
      <c r="D829" s="82">
        <v>40342</v>
      </c>
      <c r="E829" t="s">
        <v>1935</v>
      </c>
      <c r="F829" t="s">
        <v>2925</v>
      </c>
      <c r="G829">
        <v>45.5</v>
      </c>
      <c r="H829">
        <v>-73.522800000000004</v>
      </c>
      <c r="I829" t="s">
        <v>2063</v>
      </c>
      <c r="J829" t="s">
        <v>1115</v>
      </c>
      <c r="K829" t="s">
        <v>1321</v>
      </c>
      <c r="L829" t="s">
        <v>1322</v>
      </c>
      <c r="M829" t="s">
        <v>1119</v>
      </c>
    </row>
    <row r="830" spans="1:13">
      <c r="A830">
        <v>2010</v>
      </c>
      <c r="B830">
        <v>9</v>
      </c>
      <c r="C830" t="s">
        <v>1883</v>
      </c>
      <c r="D830" s="82">
        <v>40356</v>
      </c>
      <c r="E830" t="s">
        <v>1937</v>
      </c>
      <c r="F830" t="s">
        <v>2926</v>
      </c>
      <c r="G830">
        <v>39.4589</v>
      </c>
      <c r="H830">
        <v>-0.33166699999999999</v>
      </c>
      <c r="I830" t="s">
        <v>2083</v>
      </c>
      <c r="J830" t="s">
        <v>1409</v>
      </c>
      <c r="K830" t="s">
        <v>1884</v>
      </c>
      <c r="L830" t="s">
        <v>1885</v>
      </c>
      <c r="M830" t="s">
        <v>903</v>
      </c>
    </row>
    <row r="831" spans="1:13">
      <c r="A831">
        <v>2010</v>
      </c>
      <c r="B831">
        <v>10</v>
      </c>
      <c r="C831" t="s">
        <v>851</v>
      </c>
      <c r="D831" s="82">
        <v>40370</v>
      </c>
      <c r="E831" t="s">
        <v>1939</v>
      </c>
      <c r="F831" t="s">
        <v>2927</v>
      </c>
      <c r="G831">
        <v>52.078600000000002</v>
      </c>
      <c r="H831">
        <v>-1.01694</v>
      </c>
      <c r="I831" t="s">
        <v>2020</v>
      </c>
      <c r="J831" t="s">
        <v>850</v>
      </c>
      <c r="K831" t="s">
        <v>852</v>
      </c>
      <c r="L831" t="s">
        <v>853</v>
      </c>
      <c r="M831" t="s">
        <v>854</v>
      </c>
    </row>
    <row r="832" spans="1:13">
      <c r="A832">
        <v>2010</v>
      </c>
      <c r="B832">
        <v>11</v>
      </c>
      <c r="C832" t="s">
        <v>1162</v>
      </c>
      <c r="D832" s="82">
        <v>40384</v>
      </c>
      <c r="E832" t="s">
        <v>1941</v>
      </c>
      <c r="F832" t="s">
        <v>2928</v>
      </c>
      <c r="G832">
        <v>49.327800000000003</v>
      </c>
      <c r="H832">
        <v>8.5658300000000001</v>
      </c>
      <c r="I832" t="s">
        <v>2052</v>
      </c>
      <c r="J832" t="s">
        <v>893</v>
      </c>
      <c r="K832" t="s">
        <v>1163</v>
      </c>
      <c r="L832" t="s">
        <v>1164</v>
      </c>
      <c r="M832" t="s">
        <v>761</v>
      </c>
    </row>
    <row r="833" spans="1:13">
      <c r="A833">
        <v>2010</v>
      </c>
      <c r="B833">
        <v>12</v>
      </c>
      <c r="C833" t="s">
        <v>1470</v>
      </c>
      <c r="D833" s="82">
        <v>40391</v>
      </c>
      <c r="E833" t="s">
        <v>1943</v>
      </c>
      <c r="F833" t="s">
        <v>2929</v>
      </c>
      <c r="G833">
        <v>47.578899999999997</v>
      </c>
      <c r="H833">
        <v>19.2486</v>
      </c>
      <c r="I833" t="s">
        <v>2071</v>
      </c>
      <c r="J833" t="s">
        <v>1469</v>
      </c>
      <c r="K833" t="s">
        <v>1471</v>
      </c>
      <c r="L833" t="s">
        <v>1472</v>
      </c>
      <c r="M833" t="s">
        <v>1473</v>
      </c>
    </row>
    <row r="834" spans="1:13">
      <c r="A834">
        <v>2010</v>
      </c>
      <c r="B834">
        <v>13</v>
      </c>
      <c r="C834" t="s">
        <v>873</v>
      </c>
      <c r="D834" s="82">
        <v>40419</v>
      </c>
      <c r="E834" t="s">
        <v>1945</v>
      </c>
      <c r="F834" t="s">
        <v>2930</v>
      </c>
      <c r="G834">
        <v>50.437199999999997</v>
      </c>
      <c r="H834">
        <v>5.9713900000000004</v>
      </c>
      <c r="I834" t="s">
        <v>2024</v>
      </c>
      <c r="J834" t="s">
        <v>872</v>
      </c>
      <c r="K834" t="s">
        <v>874</v>
      </c>
      <c r="L834" t="s">
        <v>875</v>
      </c>
      <c r="M834" t="s">
        <v>244</v>
      </c>
    </row>
    <row r="835" spans="1:13">
      <c r="A835">
        <v>2010</v>
      </c>
      <c r="B835">
        <v>14</v>
      </c>
      <c r="C835" t="s">
        <v>883</v>
      </c>
      <c r="D835" s="82">
        <v>40433</v>
      </c>
      <c r="E835" t="s">
        <v>1947</v>
      </c>
      <c r="F835" t="s">
        <v>2931</v>
      </c>
      <c r="G835">
        <v>45.615600000000001</v>
      </c>
      <c r="H835">
        <v>9.28111</v>
      </c>
      <c r="I835" t="s">
        <v>2026</v>
      </c>
      <c r="J835" t="s">
        <v>882</v>
      </c>
      <c r="K835" t="s">
        <v>884</v>
      </c>
      <c r="L835" t="s">
        <v>885</v>
      </c>
      <c r="M835" t="s">
        <v>886</v>
      </c>
    </row>
    <row r="836" spans="1:13">
      <c r="A836">
        <v>2010</v>
      </c>
      <c r="B836">
        <v>15</v>
      </c>
      <c r="C836" t="s">
        <v>1890</v>
      </c>
      <c r="D836" s="82">
        <v>40447</v>
      </c>
      <c r="E836" t="s">
        <v>1949</v>
      </c>
      <c r="F836" t="s">
        <v>2932</v>
      </c>
      <c r="G836">
        <v>1.2914000000000001</v>
      </c>
      <c r="H836">
        <v>103.864</v>
      </c>
      <c r="I836" t="s">
        <v>2084</v>
      </c>
      <c r="J836" t="s">
        <v>1889</v>
      </c>
      <c r="K836" t="s">
        <v>1891</v>
      </c>
      <c r="L836" t="s">
        <v>1892</v>
      </c>
      <c r="M836" t="s">
        <v>1893</v>
      </c>
    </row>
    <row r="837" spans="1:13">
      <c r="A837">
        <v>2010</v>
      </c>
      <c r="B837">
        <v>16</v>
      </c>
      <c r="C837" t="s">
        <v>1494</v>
      </c>
      <c r="D837" s="82">
        <v>40461</v>
      </c>
      <c r="E837" t="s">
        <v>1951</v>
      </c>
      <c r="F837" t="s">
        <v>2933</v>
      </c>
      <c r="G837">
        <v>34.8431</v>
      </c>
      <c r="H837">
        <v>136.541</v>
      </c>
      <c r="I837" t="s">
        <v>2072</v>
      </c>
      <c r="J837" t="s">
        <v>1280</v>
      </c>
      <c r="K837" t="s">
        <v>1495</v>
      </c>
      <c r="L837" t="s">
        <v>1496</v>
      </c>
      <c r="M837" t="s">
        <v>375</v>
      </c>
    </row>
    <row r="838" spans="1:13">
      <c r="A838">
        <v>2010</v>
      </c>
      <c r="B838">
        <v>17</v>
      </c>
      <c r="C838" t="s">
        <v>1953</v>
      </c>
      <c r="D838" s="82">
        <v>40475</v>
      </c>
      <c r="E838" t="s">
        <v>1957</v>
      </c>
      <c r="F838" t="s">
        <v>2934</v>
      </c>
      <c r="G838">
        <v>34.7333</v>
      </c>
      <c r="H838">
        <v>126.417</v>
      </c>
      <c r="I838" t="s">
        <v>2086</v>
      </c>
      <c r="J838" t="s">
        <v>1952</v>
      </c>
      <c r="K838" t="s">
        <v>1954</v>
      </c>
      <c r="L838" t="s">
        <v>1955</v>
      </c>
      <c r="M838" t="s">
        <v>1956</v>
      </c>
    </row>
    <row r="839" spans="1:13">
      <c r="A839">
        <v>2010</v>
      </c>
      <c r="B839">
        <v>18</v>
      </c>
      <c r="C839" t="s">
        <v>1204</v>
      </c>
      <c r="D839" s="82">
        <v>40489</v>
      </c>
      <c r="E839" t="s">
        <v>1958</v>
      </c>
      <c r="F839" t="s">
        <v>2935</v>
      </c>
      <c r="G839">
        <v>-23.703600000000002</v>
      </c>
      <c r="H839">
        <v>-46.6997</v>
      </c>
      <c r="I839" t="s">
        <v>2056</v>
      </c>
      <c r="J839" t="s">
        <v>1203</v>
      </c>
      <c r="K839" t="s">
        <v>1205</v>
      </c>
      <c r="L839" t="s">
        <v>1206</v>
      </c>
      <c r="M839" t="s">
        <v>1207</v>
      </c>
    </row>
    <row r="840" spans="1:13">
      <c r="A840">
        <v>2010</v>
      </c>
      <c r="B840">
        <v>19</v>
      </c>
      <c r="C840" t="s">
        <v>1915</v>
      </c>
      <c r="D840" s="82">
        <v>40496</v>
      </c>
      <c r="E840" t="s">
        <v>1959</v>
      </c>
      <c r="F840" t="s">
        <v>2936</v>
      </c>
      <c r="G840">
        <v>24.467199999999998</v>
      </c>
      <c r="H840">
        <v>54.603099999999998</v>
      </c>
      <c r="I840" t="s">
        <v>2085</v>
      </c>
      <c r="J840" t="s">
        <v>1914</v>
      </c>
      <c r="K840" t="s">
        <v>1916</v>
      </c>
      <c r="L840" t="s">
        <v>1917</v>
      </c>
      <c r="M840" t="s">
        <v>1918</v>
      </c>
    </row>
    <row r="841" spans="1:13">
      <c r="A841">
        <v>2011</v>
      </c>
      <c r="B841">
        <v>1</v>
      </c>
      <c r="C841" t="s">
        <v>1644</v>
      </c>
      <c r="D841" s="82">
        <v>40629</v>
      </c>
      <c r="E841" t="s">
        <v>1960</v>
      </c>
      <c r="F841" t="s">
        <v>2937</v>
      </c>
      <c r="G841">
        <v>-37.849699999999999</v>
      </c>
      <c r="H841">
        <v>144.96799999999999</v>
      </c>
      <c r="I841" t="s">
        <v>2078</v>
      </c>
      <c r="J841" t="s">
        <v>1450</v>
      </c>
      <c r="K841" t="s">
        <v>1645</v>
      </c>
      <c r="L841" t="s">
        <v>1646</v>
      </c>
      <c r="M841" t="s">
        <v>1454</v>
      </c>
    </row>
    <row r="842" spans="1:13">
      <c r="A842">
        <v>2011</v>
      </c>
      <c r="B842">
        <v>2</v>
      </c>
      <c r="C842" t="s">
        <v>1712</v>
      </c>
      <c r="D842" s="82">
        <v>40643</v>
      </c>
      <c r="E842" t="s">
        <v>1961</v>
      </c>
      <c r="F842" t="s">
        <v>2938</v>
      </c>
      <c r="G842">
        <v>2.7608299999999999</v>
      </c>
      <c r="H842">
        <v>101.738</v>
      </c>
      <c r="I842" t="s">
        <v>2079</v>
      </c>
      <c r="J842" t="s">
        <v>1711</v>
      </c>
      <c r="K842" t="s">
        <v>1713</v>
      </c>
      <c r="L842" t="s">
        <v>1714</v>
      </c>
      <c r="M842" t="s">
        <v>1715</v>
      </c>
    </row>
    <row r="843" spans="1:13">
      <c r="A843">
        <v>2011</v>
      </c>
      <c r="B843">
        <v>3</v>
      </c>
      <c r="C843" t="s">
        <v>1806</v>
      </c>
      <c r="D843" s="82">
        <v>40650</v>
      </c>
      <c r="E843" t="s">
        <v>1962</v>
      </c>
      <c r="F843" t="s">
        <v>2939</v>
      </c>
      <c r="G843">
        <v>31.338899999999999</v>
      </c>
      <c r="H843">
        <v>121.22</v>
      </c>
      <c r="I843" t="s">
        <v>2081</v>
      </c>
      <c r="J843" t="s">
        <v>1805</v>
      </c>
      <c r="K843" t="s">
        <v>1807</v>
      </c>
      <c r="L843" t="s">
        <v>1808</v>
      </c>
      <c r="M843" t="s">
        <v>255</v>
      </c>
    </row>
    <row r="844" spans="1:13">
      <c r="A844">
        <v>2011</v>
      </c>
      <c r="B844">
        <v>4</v>
      </c>
      <c r="C844" t="s">
        <v>1826</v>
      </c>
      <c r="D844" s="82">
        <v>40671</v>
      </c>
      <c r="E844" t="s">
        <v>1963</v>
      </c>
      <c r="F844" t="s">
        <v>2940</v>
      </c>
      <c r="G844">
        <v>40.951700000000002</v>
      </c>
      <c r="H844">
        <v>29.405000000000001</v>
      </c>
      <c r="I844" t="s">
        <v>2082</v>
      </c>
      <c r="J844" t="s">
        <v>1825</v>
      </c>
      <c r="K844" t="s">
        <v>1827</v>
      </c>
      <c r="L844" t="s">
        <v>1828</v>
      </c>
      <c r="M844" t="s">
        <v>1829</v>
      </c>
    </row>
    <row r="845" spans="1:13">
      <c r="A845">
        <v>2011</v>
      </c>
      <c r="B845">
        <v>5</v>
      </c>
      <c r="C845" t="s">
        <v>1566</v>
      </c>
      <c r="D845" s="82">
        <v>40685</v>
      </c>
      <c r="E845" t="s">
        <v>1964</v>
      </c>
      <c r="F845" t="s">
        <v>2941</v>
      </c>
      <c r="G845">
        <v>41.57</v>
      </c>
      <c r="H845">
        <v>2.26111</v>
      </c>
      <c r="I845" t="s">
        <v>2075</v>
      </c>
      <c r="J845" t="s">
        <v>899</v>
      </c>
      <c r="K845" t="s">
        <v>1567</v>
      </c>
      <c r="L845" t="s">
        <v>1568</v>
      </c>
      <c r="M845" t="s">
        <v>903</v>
      </c>
    </row>
    <row r="846" spans="1:13">
      <c r="A846">
        <v>2011</v>
      </c>
      <c r="B846">
        <v>6</v>
      </c>
      <c r="C846" t="s">
        <v>857</v>
      </c>
      <c r="D846" s="82">
        <v>40692</v>
      </c>
      <c r="E846" t="s">
        <v>1965</v>
      </c>
      <c r="F846" t="s">
        <v>2942</v>
      </c>
      <c r="G846">
        <v>43.734699999999997</v>
      </c>
      <c r="H846">
        <v>7.42056</v>
      </c>
      <c r="I846" t="s">
        <v>2021</v>
      </c>
      <c r="J846" t="s">
        <v>856</v>
      </c>
      <c r="K846" t="s">
        <v>858</v>
      </c>
      <c r="L846" t="s">
        <v>859</v>
      </c>
      <c r="M846" t="s">
        <v>860</v>
      </c>
    </row>
    <row r="847" spans="1:13">
      <c r="A847">
        <v>2011</v>
      </c>
      <c r="B847">
        <v>7</v>
      </c>
      <c r="C847" t="s">
        <v>1320</v>
      </c>
      <c r="D847" s="82">
        <v>40706</v>
      </c>
      <c r="E847" t="s">
        <v>1966</v>
      </c>
      <c r="F847" t="s">
        <v>2943</v>
      </c>
      <c r="G847">
        <v>45.5</v>
      </c>
      <c r="H847">
        <v>-73.522800000000004</v>
      </c>
      <c r="I847" t="s">
        <v>2063</v>
      </c>
      <c r="J847" t="s">
        <v>1115</v>
      </c>
      <c r="K847" t="s">
        <v>1321</v>
      </c>
      <c r="L847" t="s">
        <v>1322</v>
      </c>
      <c r="M847" t="s">
        <v>1119</v>
      </c>
    </row>
    <row r="848" spans="1:13">
      <c r="A848">
        <v>2011</v>
      </c>
      <c r="B848">
        <v>8</v>
      </c>
      <c r="C848" t="s">
        <v>1883</v>
      </c>
      <c r="D848" s="82">
        <v>40720</v>
      </c>
      <c r="E848" t="s">
        <v>1967</v>
      </c>
      <c r="F848" t="s">
        <v>2944</v>
      </c>
      <c r="G848">
        <v>39.4589</v>
      </c>
      <c r="H848">
        <v>-0.33166699999999999</v>
      </c>
      <c r="I848" t="s">
        <v>2083</v>
      </c>
      <c r="J848" t="s">
        <v>1409</v>
      </c>
      <c r="K848" t="s">
        <v>1884</v>
      </c>
      <c r="L848" t="s">
        <v>1885</v>
      </c>
      <c r="M848" t="s">
        <v>903</v>
      </c>
    </row>
    <row r="849" spans="1:13">
      <c r="A849">
        <v>2011</v>
      </c>
      <c r="B849">
        <v>9</v>
      </c>
      <c r="C849" t="s">
        <v>851</v>
      </c>
      <c r="D849" s="82">
        <v>40734</v>
      </c>
      <c r="E849" t="s">
        <v>1968</v>
      </c>
      <c r="F849" t="s">
        <v>2945</v>
      </c>
      <c r="G849">
        <v>52.078600000000002</v>
      </c>
      <c r="H849">
        <v>-1.01694</v>
      </c>
      <c r="I849" t="s">
        <v>2020</v>
      </c>
      <c r="J849" t="s">
        <v>850</v>
      </c>
      <c r="K849" t="s">
        <v>852</v>
      </c>
      <c r="L849" t="s">
        <v>853</v>
      </c>
      <c r="M849" t="s">
        <v>854</v>
      </c>
    </row>
    <row r="850" spans="1:13">
      <c r="A850">
        <v>2011</v>
      </c>
      <c r="B850">
        <v>10</v>
      </c>
      <c r="C850" t="s">
        <v>894</v>
      </c>
      <c r="D850" s="82">
        <v>40748</v>
      </c>
      <c r="E850" t="s">
        <v>1969</v>
      </c>
      <c r="F850" t="s">
        <v>2946</v>
      </c>
      <c r="G850">
        <v>50.335599999999999</v>
      </c>
      <c r="H850">
        <v>6.9474999999999998</v>
      </c>
      <c r="I850" t="s">
        <v>2027</v>
      </c>
      <c r="J850" t="s">
        <v>893</v>
      </c>
      <c r="K850" t="s">
        <v>895</v>
      </c>
      <c r="L850" t="s">
        <v>896</v>
      </c>
      <c r="M850" t="s">
        <v>761</v>
      </c>
    </row>
    <row r="851" spans="1:13">
      <c r="A851">
        <v>2011</v>
      </c>
      <c r="B851">
        <v>11</v>
      </c>
      <c r="C851" t="s">
        <v>1470</v>
      </c>
      <c r="D851" s="82">
        <v>40755</v>
      </c>
      <c r="E851" t="s">
        <v>1970</v>
      </c>
      <c r="F851" t="s">
        <v>2947</v>
      </c>
      <c r="G851">
        <v>47.578899999999997</v>
      </c>
      <c r="H851">
        <v>19.2486</v>
      </c>
      <c r="I851" t="s">
        <v>2071</v>
      </c>
      <c r="J851" t="s">
        <v>1469</v>
      </c>
      <c r="K851" t="s">
        <v>1471</v>
      </c>
      <c r="L851" t="s">
        <v>1472</v>
      </c>
      <c r="M851" t="s">
        <v>1473</v>
      </c>
    </row>
    <row r="852" spans="1:13">
      <c r="A852">
        <v>2011</v>
      </c>
      <c r="B852">
        <v>12</v>
      </c>
      <c r="C852" t="s">
        <v>873</v>
      </c>
      <c r="D852" s="82">
        <v>40783</v>
      </c>
      <c r="E852" t="s">
        <v>1971</v>
      </c>
      <c r="F852" t="s">
        <v>2948</v>
      </c>
      <c r="G852">
        <v>50.437199999999997</v>
      </c>
      <c r="H852">
        <v>5.9713900000000004</v>
      </c>
      <c r="I852" t="s">
        <v>2024</v>
      </c>
      <c r="J852" t="s">
        <v>872</v>
      </c>
      <c r="K852" t="s">
        <v>874</v>
      </c>
      <c r="L852" t="s">
        <v>875</v>
      </c>
      <c r="M852" t="s">
        <v>244</v>
      </c>
    </row>
    <row r="853" spans="1:13">
      <c r="A853">
        <v>2011</v>
      </c>
      <c r="B853">
        <v>13</v>
      </c>
      <c r="C853" t="s">
        <v>883</v>
      </c>
      <c r="D853" s="82">
        <v>40797</v>
      </c>
      <c r="E853" t="s">
        <v>1972</v>
      </c>
      <c r="F853" t="s">
        <v>2949</v>
      </c>
      <c r="G853">
        <v>45.615600000000001</v>
      </c>
      <c r="H853">
        <v>9.28111</v>
      </c>
      <c r="I853" t="s">
        <v>2026</v>
      </c>
      <c r="J853" t="s">
        <v>882</v>
      </c>
      <c r="K853" t="s">
        <v>884</v>
      </c>
      <c r="L853" t="s">
        <v>885</v>
      </c>
      <c r="M853" t="s">
        <v>886</v>
      </c>
    </row>
    <row r="854" spans="1:13">
      <c r="A854">
        <v>2011</v>
      </c>
      <c r="B854">
        <v>14</v>
      </c>
      <c r="C854" t="s">
        <v>1890</v>
      </c>
      <c r="D854" s="82">
        <v>40811</v>
      </c>
      <c r="E854" t="s">
        <v>1973</v>
      </c>
      <c r="F854" t="s">
        <v>2950</v>
      </c>
      <c r="G854">
        <v>1.2914000000000001</v>
      </c>
      <c r="H854">
        <v>103.864</v>
      </c>
      <c r="I854" t="s">
        <v>2084</v>
      </c>
      <c r="J854" t="s">
        <v>1889</v>
      </c>
      <c r="K854" t="s">
        <v>1891</v>
      </c>
      <c r="L854" t="s">
        <v>1892</v>
      </c>
      <c r="M854" t="s">
        <v>1893</v>
      </c>
    </row>
    <row r="855" spans="1:13">
      <c r="A855">
        <v>2011</v>
      </c>
      <c r="B855">
        <v>15</v>
      </c>
      <c r="C855" t="s">
        <v>1494</v>
      </c>
      <c r="D855" s="82">
        <v>40825</v>
      </c>
      <c r="E855" t="s">
        <v>1974</v>
      </c>
      <c r="F855" t="s">
        <v>2951</v>
      </c>
      <c r="G855">
        <v>34.8431</v>
      </c>
      <c r="H855">
        <v>136.541</v>
      </c>
      <c r="I855" t="s">
        <v>2072</v>
      </c>
      <c r="J855" t="s">
        <v>1280</v>
      </c>
      <c r="K855" t="s">
        <v>1495</v>
      </c>
      <c r="L855" t="s">
        <v>1496</v>
      </c>
      <c r="M855" t="s">
        <v>375</v>
      </c>
    </row>
    <row r="856" spans="1:13">
      <c r="A856">
        <v>2011</v>
      </c>
      <c r="B856">
        <v>16</v>
      </c>
      <c r="C856" t="s">
        <v>1953</v>
      </c>
      <c r="D856" s="82">
        <v>40832</v>
      </c>
      <c r="E856" t="s">
        <v>1975</v>
      </c>
      <c r="F856" t="s">
        <v>2952</v>
      </c>
      <c r="G856">
        <v>34.7333</v>
      </c>
      <c r="H856">
        <v>126.417</v>
      </c>
      <c r="I856" t="s">
        <v>2086</v>
      </c>
      <c r="J856" t="s">
        <v>1952</v>
      </c>
      <c r="K856" t="s">
        <v>1954</v>
      </c>
      <c r="L856" t="s">
        <v>1955</v>
      </c>
      <c r="M856" t="s">
        <v>1956</v>
      </c>
    </row>
    <row r="857" spans="1:13">
      <c r="A857">
        <v>2011</v>
      </c>
      <c r="B857">
        <v>17</v>
      </c>
      <c r="C857" t="s">
        <v>1977</v>
      </c>
      <c r="D857" s="82">
        <v>40846</v>
      </c>
      <c r="E857" t="s">
        <v>1980</v>
      </c>
      <c r="F857" t="s">
        <v>2953</v>
      </c>
      <c r="G857">
        <v>28.4072</v>
      </c>
      <c r="H857">
        <v>77.514200000000002</v>
      </c>
      <c r="I857" t="s">
        <v>2087</v>
      </c>
      <c r="J857" t="s">
        <v>1976</v>
      </c>
      <c r="K857" t="s">
        <v>1978</v>
      </c>
      <c r="L857" t="s">
        <v>1979</v>
      </c>
      <c r="M857" t="s">
        <v>128</v>
      </c>
    </row>
    <row r="858" spans="1:13">
      <c r="A858">
        <v>2011</v>
      </c>
      <c r="B858">
        <v>18</v>
      </c>
      <c r="C858" t="s">
        <v>1915</v>
      </c>
      <c r="D858" s="82">
        <v>40860</v>
      </c>
      <c r="E858" t="s">
        <v>1982</v>
      </c>
      <c r="F858" t="s">
        <v>2954</v>
      </c>
      <c r="G858">
        <v>24.467199999999998</v>
      </c>
      <c r="H858">
        <v>54.603099999999998</v>
      </c>
      <c r="I858" t="s">
        <v>2085</v>
      </c>
      <c r="J858" t="s">
        <v>1914</v>
      </c>
      <c r="K858" t="s">
        <v>1916</v>
      </c>
      <c r="L858" t="s">
        <v>1917</v>
      </c>
      <c r="M858" t="s">
        <v>1918</v>
      </c>
    </row>
    <row r="859" spans="1:13">
      <c r="A859">
        <v>2011</v>
      </c>
      <c r="B859">
        <v>19</v>
      </c>
      <c r="C859" t="s">
        <v>1204</v>
      </c>
      <c r="D859" s="82">
        <v>40874</v>
      </c>
      <c r="E859" t="s">
        <v>1984</v>
      </c>
      <c r="F859" t="s">
        <v>2955</v>
      </c>
      <c r="G859">
        <v>-23.703600000000002</v>
      </c>
      <c r="H859">
        <v>-46.6997</v>
      </c>
      <c r="I859" t="s">
        <v>2056</v>
      </c>
      <c r="J859" t="s">
        <v>1203</v>
      </c>
      <c r="K859" t="s">
        <v>1205</v>
      </c>
      <c r="L859" t="s">
        <v>1206</v>
      </c>
      <c r="M859" t="s">
        <v>1207</v>
      </c>
    </row>
    <row r="860" spans="1:13">
      <c r="A860">
        <v>2012</v>
      </c>
      <c r="B860">
        <v>1</v>
      </c>
      <c r="C860" t="s">
        <v>1644</v>
      </c>
      <c r="D860" s="82">
        <v>40986</v>
      </c>
      <c r="E860" t="s">
        <v>1985</v>
      </c>
      <c r="F860" t="s">
        <v>2956</v>
      </c>
      <c r="G860">
        <v>-37.849699999999999</v>
      </c>
      <c r="H860">
        <v>144.96799999999999</v>
      </c>
      <c r="I860" t="s">
        <v>2078</v>
      </c>
      <c r="J860" t="s">
        <v>1450</v>
      </c>
      <c r="K860" t="s">
        <v>1645</v>
      </c>
      <c r="L860" t="s">
        <v>1646</v>
      </c>
      <c r="M860" t="s">
        <v>1454</v>
      </c>
    </row>
    <row r="861" spans="1:13">
      <c r="A861">
        <v>2012</v>
      </c>
      <c r="B861">
        <v>2</v>
      </c>
      <c r="C861" t="s">
        <v>1712</v>
      </c>
      <c r="D861" s="82">
        <v>40993</v>
      </c>
      <c r="E861" t="s">
        <v>1986</v>
      </c>
      <c r="F861" t="s">
        <v>2957</v>
      </c>
      <c r="G861">
        <v>2.7608299999999999</v>
      </c>
      <c r="H861">
        <v>101.738</v>
      </c>
      <c r="I861" t="s">
        <v>2079</v>
      </c>
      <c r="J861" t="s">
        <v>1711</v>
      </c>
      <c r="K861" t="s">
        <v>1713</v>
      </c>
      <c r="L861" t="s">
        <v>1714</v>
      </c>
      <c r="M861" t="s">
        <v>1715</v>
      </c>
    </row>
    <row r="862" spans="1:13">
      <c r="A862">
        <v>2012</v>
      </c>
      <c r="B862">
        <v>3</v>
      </c>
      <c r="C862" t="s">
        <v>1806</v>
      </c>
      <c r="D862" s="82">
        <v>41014</v>
      </c>
      <c r="E862" t="s">
        <v>1987</v>
      </c>
      <c r="F862" t="s">
        <v>2958</v>
      </c>
      <c r="G862">
        <v>31.338899999999999</v>
      </c>
      <c r="H862">
        <v>121.22</v>
      </c>
      <c r="I862" t="s">
        <v>2081</v>
      </c>
      <c r="J862" t="s">
        <v>1805</v>
      </c>
      <c r="K862" t="s">
        <v>1807</v>
      </c>
      <c r="L862" t="s">
        <v>1808</v>
      </c>
      <c r="M862" t="s">
        <v>255</v>
      </c>
    </row>
    <row r="863" spans="1:13">
      <c r="A863">
        <v>2012</v>
      </c>
      <c r="B863">
        <v>4</v>
      </c>
      <c r="C863" t="s">
        <v>1788</v>
      </c>
      <c r="D863" s="82">
        <v>41021</v>
      </c>
      <c r="E863" t="s">
        <v>1988</v>
      </c>
      <c r="F863" t="s">
        <v>2959</v>
      </c>
      <c r="G863">
        <v>26.032499999999999</v>
      </c>
      <c r="H863">
        <v>50.510599999999997</v>
      </c>
      <c r="I863" t="s">
        <v>2080</v>
      </c>
      <c r="J863" t="s">
        <v>1787</v>
      </c>
      <c r="K863" t="s">
        <v>1789</v>
      </c>
      <c r="L863" t="s">
        <v>1790</v>
      </c>
      <c r="M863" t="s">
        <v>1791</v>
      </c>
    </row>
    <row r="864" spans="1:13">
      <c r="A864">
        <v>2012</v>
      </c>
      <c r="B864">
        <v>5</v>
      </c>
      <c r="C864" t="s">
        <v>1566</v>
      </c>
      <c r="D864" s="82">
        <v>41042</v>
      </c>
      <c r="E864" t="s">
        <v>1989</v>
      </c>
      <c r="F864" t="s">
        <v>2960</v>
      </c>
      <c r="G864">
        <v>41.57</v>
      </c>
      <c r="H864">
        <v>2.26111</v>
      </c>
      <c r="I864" t="s">
        <v>2075</v>
      </c>
      <c r="J864" t="s">
        <v>899</v>
      </c>
      <c r="K864" t="s">
        <v>1567</v>
      </c>
      <c r="L864" t="s">
        <v>1568</v>
      </c>
      <c r="M864" t="s">
        <v>903</v>
      </c>
    </row>
    <row r="865" spans="1:13">
      <c r="A865">
        <v>2012</v>
      </c>
      <c r="B865">
        <v>6</v>
      </c>
      <c r="C865" t="s">
        <v>857</v>
      </c>
      <c r="D865" s="82">
        <v>41056</v>
      </c>
      <c r="E865" t="s">
        <v>1990</v>
      </c>
      <c r="F865" t="s">
        <v>2961</v>
      </c>
      <c r="G865">
        <v>43.734699999999997</v>
      </c>
      <c r="H865">
        <v>7.42056</v>
      </c>
      <c r="I865" t="s">
        <v>2021</v>
      </c>
      <c r="J865" t="s">
        <v>856</v>
      </c>
      <c r="K865" t="s">
        <v>858</v>
      </c>
      <c r="L865" t="s">
        <v>859</v>
      </c>
      <c r="M865" t="s">
        <v>860</v>
      </c>
    </row>
    <row r="866" spans="1:13">
      <c r="A866">
        <v>2012</v>
      </c>
      <c r="B866">
        <v>7</v>
      </c>
      <c r="C866" t="s">
        <v>1320</v>
      </c>
      <c r="D866" s="82">
        <v>41070</v>
      </c>
      <c r="E866" t="s">
        <v>1991</v>
      </c>
      <c r="F866" t="s">
        <v>2962</v>
      </c>
      <c r="G866">
        <v>45.5</v>
      </c>
      <c r="H866">
        <v>-73.522800000000004</v>
      </c>
      <c r="I866" t="s">
        <v>2063</v>
      </c>
      <c r="J866" t="s">
        <v>1115</v>
      </c>
      <c r="K866" t="s">
        <v>1321</v>
      </c>
      <c r="L866" t="s">
        <v>1322</v>
      </c>
      <c r="M866" t="s">
        <v>1119</v>
      </c>
    </row>
    <row r="867" spans="1:13">
      <c r="A867">
        <v>2012</v>
      </c>
      <c r="B867">
        <v>8</v>
      </c>
      <c r="C867" t="s">
        <v>1883</v>
      </c>
      <c r="D867" s="82">
        <v>41084</v>
      </c>
      <c r="E867" t="s">
        <v>1992</v>
      </c>
      <c r="F867" t="s">
        <v>2963</v>
      </c>
      <c r="G867">
        <v>39.4589</v>
      </c>
      <c r="H867">
        <v>-0.33166699999999999</v>
      </c>
      <c r="I867" t="s">
        <v>2083</v>
      </c>
      <c r="J867" t="s">
        <v>1409</v>
      </c>
      <c r="K867" t="s">
        <v>1884</v>
      </c>
      <c r="L867" t="s">
        <v>1885</v>
      </c>
      <c r="M867" t="s">
        <v>903</v>
      </c>
    </row>
    <row r="868" spans="1:13">
      <c r="A868">
        <v>2012</v>
      </c>
      <c r="B868">
        <v>9</v>
      </c>
      <c r="C868" t="s">
        <v>851</v>
      </c>
      <c r="D868" s="82">
        <v>41098</v>
      </c>
      <c r="E868" t="s">
        <v>1993</v>
      </c>
      <c r="F868" t="s">
        <v>2964</v>
      </c>
      <c r="G868">
        <v>52.078600000000002</v>
      </c>
      <c r="H868">
        <v>-1.01694</v>
      </c>
      <c r="I868" t="s">
        <v>2020</v>
      </c>
      <c r="J868" t="s">
        <v>850</v>
      </c>
      <c r="K868" t="s">
        <v>852</v>
      </c>
      <c r="L868" t="s">
        <v>853</v>
      </c>
      <c r="M868" t="s">
        <v>854</v>
      </c>
    </row>
    <row r="869" spans="1:13">
      <c r="A869">
        <v>2012</v>
      </c>
      <c r="B869">
        <v>10</v>
      </c>
      <c r="C869" t="s">
        <v>1162</v>
      </c>
      <c r="D869" s="82">
        <v>41112</v>
      </c>
      <c r="E869" t="s">
        <v>1994</v>
      </c>
      <c r="F869" t="s">
        <v>2965</v>
      </c>
      <c r="G869">
        <v>49.327800000000003</v>
      </c>
      <c r="H869">
        <v>8.5658300000000001</v>
      </c>
      <c r="I869" t="s">
        <v>2052</v>
      </c>
      <c r="J869" t="s">
        <v>893</v>
      </c>
      <c r="K869" t="s">
        <v>1163</v>
      </c>
      <c r="L869" t="s">
        <v>1164</v>
      </c>
      <c r="M869" t="s">
        <v>761</v>
      </c>
    </row>
    <row r="870" spans="1:13">
      <c r="A870">
        <v>2012</v>
      </c>
      <c r="B870">
        <v>11</v>
      </c>
      <c r="C870" t="s">
        <v>1470</v>
      </c>
      <c r="D870" s="82">
        <v>41119</v>
      </c>
      <c r="E870" t="s">
        <v>1995</v>
      </c>
      <c r="F870" t="s">
        <v>2966</v>
      </c>
      <c r="G870">
        <v>47.578899999999997</v>
      </c>
      <c r="H870">
        <v>19.2486</v>
      </c>
      <c r="I870" t="s">
        <v>2071</v>
      </c>
      <c r="J870" t="s">
        <v>1469</v>
      </c>
      <c r="K870" t="s">
        <v>1471</v>
      </c>
      <c r="L870" t="s">
        <v>1472</v>
      </c>
      <c r="M870" t="s">
        <v>1473</v>
      </c>
    </row>
    <row r="871" spans="1:13">
      <c r="A871">
        <v>2012</v>
      </c>
      <c r="B871">
        <v>12</v>
      </c>
      <c r="C871" t="s">
        <v>873</v>
      </c>
      <c r="D871" s="82">
        <v>41154</v>
      </c>
      <c r="E871" t="s">
        <v>1996</v>
      </c>
      <c r="F871" t="s">
        <v>2967</v>
      </c>
      <c r="G871">
        <v>50.437199999999997</v>
      </c>
      <c r="H871">
        <v>5.9713900000000004</v>
      </c>
      <c r="I871" t="s">
        <v>2024</v>
      </c>
      <c r="J871" t="s">
        <v>872</v>
      </c>
      <c r="K871" t="s">
        <v>874</v>
      </c>
      <c r="L871" t="s">
        <v>875</v>
      </c>
      <c r="M871" t="s">
        <v>244</v>
      </c>
    </row>
    <row r="872" spans="1:13">
      <c r="A872">
        <v>2012</v>
      </c>
      <c r="B872">
        <v>13</v>
      </c>
      <c r="C872" t="s">
        <v>883</v>
      </c>
      <c r="D872" s="82">
        <v>41161</v>
      </c>
      <c r="E872" t="s">
        <v>1997</v>
      </c>
      <c r="F872" t="s">
        <v>2968</v>
      </c>
      <c r="G872">
        <v>45.615600000000001</v>
      </c>
      <c r="H872">
        <v>9.28111</v>
      </c>
      <c r="I872" t="s">
        <v>2026</v>
      </c>
      <c r="J872" t="s">
        <v>882</v>
      </c>
      <c r="K872" t="s">
        <v>884</v>
      </c>
      <c r="L872" t="s">
        <v>885</v>
      </c>
      <c r="M872" t="s">
        <v>886</v>
      </c>
    </row>
    <row r="873" spans="1:13">
      <c r="A873">
        <v>2012</v>
      </c>
      <c r="B873">
        <v>14</v>
      </c>
      <c r="C873" t="s">
        <v>1890</v>
      </c>
      <c r="D873" s="82">
        <v>41175</v>
      </c>
      <c r="E873" t="s">
        <v>1998</v>
      </c>
      <c r="F873" t="s">
        <v>2969</v>
      </c>
      <c r="G873">
        <v>1.2914000000000001</v>
      </c>
      <c r="H873">
        <v>103.864</v>
      </c>
      <c r="I873" t="s">
        <v>2084</v>
      </c>
      <c r="J873" t="s">
        <v>1889</v>
      </c>
      <c r="K873" t="s">
        <v>1891</v>
      </c>
      <c r="L873" t="s">
        <v>1892</v>
      </c>
      <c r="M873" t="s">
        <v>1893</v>
      </c>
    </row>
    <row r="874" spans="1:13">
      <c r="A874">
        <v>2012</v>
      </c>
      <c r="B874">
        <v>15</v>
      </c>
      <c r="C874" t="s">
        <v>1494</v>
      </c>
      <c r="D874" s="82">
        <v>41189</v>
      </c>
      <c r="E874" t="s">
        <v>1999</v>
      </c>
      <c r="F874" t="s">
        <v>2970</v>
      </c>
      <c r="G874">
        <v>34.8431</v>
      </c>
      <c r="H874">
        <v>136.541</v>
      </c>
      <c r="I874" t="s">
        <v>2072</v>
      </c>
      <c r="J874" t="s">
        <v>1280</v>
      </c>
      <c r="K874" t="s">
        <v>1495</v>
      </c>
      <c r="L874" t="s">
        <v>1496</v>
      </c>
      <c r="M874" t="s">
        <v>375</v>
      </c>
    </row>
    <row r="875" spans="1:13">
      <c r="A875">
        <v>2012</v>
      </c>
      <c r="B875">
        <v>16</v>
      </c>
      <c r="C875" t="s">
        <v>1953</v>
      </c>
      <c r="D875" s="82">
        <v>41196</v>
      </c>
      <c r="E875" t="s">
        <v>2000</v>
      </c>
      <c r="F875" t="s">
        <v>2971</v>
      </c>
      <c r="G875">
        <v>34.7333</v>
      </c>
      <c r="H875">
        <v>126.417</v>
      </c>
      <c r="I875" t="s">
        <v>2086</v>
      </c>
      <c r="J875" t="s">
        <v>1952</v>
      </c>
      <c r="K875" t="s">
        <v>1954</v>
      </c>
      <c r="L875" t="s">
        <v>1955</v>
      </c>
      <c r="M875" t="s">
        <v>1956</v>
      </c>
    </row>
    <row r="876" spans="1:13">
      <c r="A876">
        <v>2012</v>
      </c>
      <c r="B876">
        <v>17</v>
      </c>
      <c r="C876" t="s">
        <v>1977</v>
      </c>
      <c r="D876" s="82">
        <v>41210</v>
      </c>
      <c r="E876" t="s">
        <v>2001</v>
      </c>
      <c r="F876" t="s">
        <v>2972</v>
      </c>
      <c r="G876">
        <v>28.4072</v>
      </c>
      <c r="H876">
        <v>77.514200000000002</v>
      </c>
      <c r="I876" t="s">
        <v>2087</v>
      </c>
      <c r="J876" t="s">
        <v>1976</v>
      </c>
      <c r="K876" t="s">
        <v>1978</v>
      </c>
      <c r="L876" t="s">
        <v>1979</v>
      </c>
      <c r="M876" t="s">
        <v>128</v>
      </c>
    </row>
    <row r="877" spans="1:13">
      <c r="A877">
        <v>2012</v>
      </c>
      <c r="B877">
        <v>18</v>
      </c>
      <c r="C877" t="s">
        <v>1915</v>
      </c>
      <c r="D877" s="82">
        <v>41217</v>
      </c>
      <c r="E877" t="s">
        <v>2002</v>
      </c>
      <c r="F877" t="s">
        <v>2973</v>
      </c>
      <c r="G877">
        <v>24.467199999999998</v>
      </c>
      <c r="H877">
        <v>54.603099999999998</v>
      </c>
      <c r="I877" t="s">
        <v>2085</v>
      </c>
      <c r="J877" t="s">
        <v>1914</v>
      </c>
      <c r="K877" t="s">
        <v>1916</v>
      </c>
      <c r="L877" t="s">
        <v>1917</v>
      </c>
      <c r="M877" t="s">
        <v>1918</v>
      </c>
    </row>
    <row r="878" spans="1:13">
      <c r="A878">
        <v>2012</v>
      </c>
      <c r="B878">
        <v>19</v>
      </c>
      <c r="C878" t="s">
        <v>2004</v>
      </c>
      <c r="D878" s="82">
        <v>41231</v>
      </c>
      <c r="E878" t="s">
        <v>2007</v>
      </c>
      <c r="F878" t="s">
        <v>2974</v>
      </c>
      <c r="G878">
        <v>30.1328</v>
      </c>
      <c r="H878">
        <v>-97.641099999999994</v>
      </c>
      <c r="I878" t="s">
        <v>2088</v>
      </c>
      <c r="J878" t="s">
        <v>2003</v>
      </c>
      <c r="K878" t="s">
        <v>2005</v>
      </c>
      <c r="L878" t="s">
        <v>2006</v>
      </c>
      <c r="M878" t="s">
        <v>1010</v>
      </c>
    </row>
    <row r="879" spans="1:13">
      <c r="A879">
        <v>2012</v>
      </c>
      <c r="B879">
        <v>20</v>
      </c>
      <c r="C879" t="s">
        <v>1204</v>
      </c>
      <c r="D879" s="82">
        <v>41238</v>
      </c>
      <c r="E879" t="s">
        <v>2008</v>
      </c>
      <c r="F879" t="s">
        <v>2975</v>
      </c>
      <c r="G879">
        <v>-23.703600000000002</v>
      </c>
      <c r="H879">
        <v>-46.6997</v>
      </c>
      <c r="I879" t="s">
        <v>2056</v>
      </c>
      <c r="J879" t="s">
        <v>1203</v>
      </c>
      <c r="K879" t="s">
        <v>1205</v>
      </c>
      <c r="L879" t="s">
        <v>1206</v>
      </c>
      <c r="M879" t="s">
        <v>1207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8"/>
  <dimension ref="A1:M14"/>
  <sheetViews>
    <sheetView workbookViewId="0">
      <selection activeCell="E20" sqref="E20"/>
    </sheetView>
  </sheetViews>
  <sheetFormatPr defaultColWidth="8.28515625" defaultRowHeight="15"/>
  <cols>
    <col min="1" max="1" width="8.85546875" style="37" customWidth="1"/>
    <col min="2" max="2" width="10.140625" customWidth="1"/>
    <col min="4" max="4" width="8.28515625" style="14"/>
    <col min="5" max="5" width="11.85546875" style="14" customWidth="1"/>
    <col min="6" max="6" width="8.28515625" style="14"/>
    <col min="7" max="7" width="12" style="14" customWidth="1"/>
    <col min="8" max="8" width="7" style="14" customWidth="1"/>
    <col min="9" max="9" width="18.85546875" style="14" customWidth="1"/>
    <col min="10" max="11" width="8.28515625" style="14"/>
    <col min="12" max="12" width="28.5703125" style="14" customWidth="1"/>
    <col min="13" max="16384" width="8.28515625" style="14"/>
  </cols>
  <sheetData>
    <row r="1" spans="1:13">
      <c r="A1" s="38" t="s">
        <v>412</v>
      </c>
      <c r="B1" s="6" t="s">
        <v>345</v>
      </c>
      <c r="C1" s="6" t="s">
        <v>387</v>
      </c>
    </row>
    <row r="2" spans="1:13" ht="18" customHeight="1">
      <c r="A2" s="37">
        <v>20</v>
      </c>
      <c r="B2" t="s">
        <v>350</v>
      </c>
      <c r="C2" s="21" t="s">
        <v>400</v>
      </c>
      <c r="M2" s="21"/>
    </row>
    <row r="3" spans="1:13">
      <c r="A3" s="37">
        <v>21</v>
      </c>
      <c r="B3" t="s">
        <v>344</v>
      </c>
      <c r="C3" s="21" t="s">
        <v>396</v>
      </c>
    </row>
    <row r="4" spans="1:13">
      <c r="A4" s="37">
        <v>22</v>
      </c>
      <c r="B4" t="s">
        <v>354</v>
      </c>
      <c r="C4" s="21" t="s">
        <v>399</v>
      </c>
    </row>
    <row r="5" spans="1:13">
      <c r="A5" s="37">
        <v>23</v>
      </c>
      <c r="B5" t="s">
        <v>403</v>
      </c>
      <c r="C5" s="21" t="s">
        <v>401</v>
      </c>
    </row>
    <row r="13" spans="1:13">
      <c r="F13" s="1" t="s">
        <v>662</v>
      </c>
    </row>
    <row r="14" spans="1:13">
      <c r="F14" s="21" t="s">
        <v>661</v>
      </c>
    </row>
  </sheetData>
  <hyperlinks>
    <hyperlink ref="C3" r:id="rId1"/>
    <hyperlink ref="C4" r:id="rId2"/>
    <hyperlink ref="C2" r:id="rId3"/>
    <hyperlink ref="C5" r:id="rId4"/>
    <hyperlink ref="F14" r:id="rId5"/>
  </hyperlinks>
  <pageMargins left="0.7" right="0.7" top="0.75" bottom="0.75" header="0.3" footer="0.3"/>
  <pageSetup orientation="portrait" horizontalDpi="1200" verticalDpi="1200" r:id="rId6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Q23"/>
  <sheetViews>
    <sheetView workbookViewId="0">
      <selection activeCell="M22" sqref="M22:M23"/>
    </sheetView>
  </sheetViews>
  <sheetFormatPr defaultRowHeight="11.25"/>
  <cols>
    <col min="1" max="1" width="6.28515625" style="49" customWidth="1"/>
    <col min="2" max="2" width="6.42578125" style="49" customWidth="1"/>
    <col min="3" max="3" width="9.5703125" style="49" customWidth="1"/>
    <col min="4" max="4" width="6.28515625" style="49" customWidth="1"/>
    <col min="5" max="5" width="9.140625" style="49"/>
    <col min="6" max="6" width="6.5703125" style="49" customWidth="1"/>
    <col min="7" max="7" width="4.28515625" style="49" customWidth="1"/>
    <col min="8" max="8" width="4" style="49" customWidth="1"/>
    <col min="9" max="9" width="5.42578125" style="49" customWidth="1"/>
    <col min="10" max="10" width="9.140625" style="49"/>
    <col min="11" max="11" width="6.140625" style="49" customWidth="1"/>
    <col min="12" max="12" width="8" style="49" customWidth="1"/>
    <col min="13" max="13" width="5.85546875" style="49" customWidth="1"/>
    <col min="14" max="14" width="7.5703125" style="49" customWidth="1"/>
    <col min="15" max="15" width="4.7109375" style="49" customWidth="1"/>
    <col min="16" max="16" width="7.42578125" style="49" customWidth="1"/>
    <col min="17" max="16384" width="9.140625" style="49"/>
  </cols>
  <sheetData>
    <row r="1" spans="1:17">
      <c r="A1" s="48" t="s">
        <v>349</v>
      </c>
      <c r="B1" s="48" t="s">
        <v>342</v>
      </c>
      <c r="C1" s="48" t="s">
        <v>343</v>
      </c>
      <c r="D1" s="48" t="s">
        <v>412</v>
      </c>
      <c r="E1" s="48" t="s">
        <v>134</v>
      </c>
      <c r="F1" s="48" t="s">
        <v>295</v>
      </c>
      <c r="G1" s="48" t="s">
        <v>86</v>
      </c>
      <c r="H1" s="48" t="s">
        <v>97</v>
      </c>
      <c r="I1" s="48" t="s">
        <v>346</v>
      </c>
      <c r="J1" s="48" t="s">
        <v>20</v>
      </c>
      <c r="K1" s="48" t="s">
        <v>94</v>
      </c>
      <c r="L1" s="48" t="s">
        <v>95</v>
      </c>
      <c r="M1" s="48" t="s">
        <v>243</v>
      </c>
      <c r="N1" s="48" t="s">
        <v>821</v>
      </c>
      <c r="O1" s="48" t="s">
        <v>316</v>
      </c>
      <c r="P1" s="48" t="s">
        <v>345</v>
      </c>
      <c r="Q1" s="49" t="s">
        <v>387</v>
      </c>
    </row>
    <row r="2" spans="1:17">
      <c r="A2" s="49">
        <v>101</v>
      </c>
      <c r="B2" s="49">
        <v>100</v>
      </c>
      <c r="C2" s="50">
        <v>40852</v>
      </c>
      <c r="D2" s="49">
        <v>20</v>
      </c>
      <c r="E2" s="49" t="s">
        <v>9</v>
      </c>
      <c r="F2" s="49" t="s">
        <v>82</v>
      </c>
      <c r="G2" s="49" t="s">
        <v>351</v>
      </c>
      <c r="H2" s="49" t="s">
        <v>2977</v>
      </c>
      <c r="I2" s="49" t="s">
        <v>348</v>
      </c>
      <c r="J2" s="49" t="s">
        <v>2979</v>
      </c>
      <c r="K2" s="49">
        <v>41.976641000000001</v>
      </c>
      <c r="L2" s="49">
        <v>-87.863689999999991</v>
      </c>
      <c r="M2" s="49" t="s">
        <v>2992</v>
      </c>
      <c r="N2" s="49" t="s">
        <v>822</v>
      </c>
      <c r="O2" s="49" t="s">
        <v>394</v>
      </c>
      <c r="P2" s="49" t="s">
        <v>350</v>
      </c>
      <c r="Q2" s="49" t="s">
        <v>400</v>
      </c>
    </row>
    <row r="3" spans="1:17">
      <c r="A3" s="49">
        <v>101</v>
      </c>
      <c r="B3" s="49">
        <v>90</v>
      </c>
      <c r="C3" s="50">
        <v>40860</v>
      </c>
      <c r="D3" s="49">
        <v>21</v>
      </c>
      <c r="E3" s="49" t="s">
        <v>9</v>
      </c>
      <c r="F3" s="49" t="s">
        <v>82</v>
      </c>
      <c r="G3" s="49" t="s">
        <v>351</v>
      </c>
      <c r="H3" s="49" t="s">
        <v>2977</v>
      </c>
      <c r="I3" s="49" t="s">
        <v>348</v>
      </c>
      <c r="J3" s="49" t="s">
        <v>2979</v>
      </c>
      <c r="K3" s="49">
        <v>41.976641000000001</v>
      </c>
      <c r="L3" s="49">
        <v>-87.863689999999991</v>
      </c>
      <c r="M3" s="49" t="s">
        <v>2992</v>
      </c>
      <c r="N3" s="49" t="s">
        <v>822</v>
      </c>
      <c r="O3" s="49" t="s">
        <v>394</v>
      </c>
      <c r="P3" s="49" t="s">
        <v>344</v>
      </c>
      <c r="Q3" s="49" t="s">
        <v>396</v>
      </c>
    </row>
    <row r="4" spans="1:17">
      <c r="A4" s="49">
        <v>102</v>
      </c>
      <c r="B4" s="49">
        <v>120</v>
      </c>
      <c r="C4" s="50">
        <v>40851</v>
      </c>
      <c r="D4" s="49">
        <v>22</v>
      </c>
      <c r="E4" s="49" t="s">
        <v>9</v>
      </c>
      <c r="F4" s="49" t="s">
        <v>82</v>
      </c>
      <c r="G4" s="49" t="s">
        <v>366</v>
      </c>
      <c r="H4" s="49" t="s">
        <v>367</v>
      </c>
      <c r="I4" s="49" t="s">
        <v>353</v>
      </c>
      <c r="J4" s="49" t="s">
        <v>2981</v>
      </c>
      <c r="K4" s="49">
        <v>30.029015600000001</v>
      </c>
      <c r="L4" s="49">
        <v>-90.052273299999996</v>
      </c>
      <c r="M4" s="49" t="s">
        <v>2993</v>
      </c>
      <c r="O4" s="49" t="s">
        <v>393</v>
      </c>
      <c r="P4" s="49" t="s">
        <v>354</v>
      </c>
      <c r="Q4" s="49" t="s">
        <v>399</v>
      </c>
    </row>
    <row r="5" spans="1:17">
      <c r="A5" s="49">
        <v>103</v>
      </c>
      <c r="B5" s="49">
        <v>80</v>
      </c>
      <c r="C5" s="50">
        <v>40802</v>
      </c>
      <c r="D5" s="49">
        <v>22</v>
      </c>
      <c r="E5" s="49" t="s">
        <v>374</v>
      </c>
      <c r="F5" s="49" t="s">
        <v>375</v>
      </c>
      <c r="H5" s="49" t="s">
        <v>379</v>
      </c>
      <c r="I5" s="49" t="s">
        <v>355</v>
      </c>
      <c r="J5" s="49" t="s">
        <v>664</v>
      </c>
      <c r="K5" s="49">
        <v>34.637648899999988</v>
      </c>
      <c r="L5" s="49">
        <v>135.41451040000001</v>
      </c>
      <c r="M5" s="49" t="s">
        <v>665</v>
      </c>
      <c r="O5" s="49" t="s">
        <v>395</v>
      </c>
      <c r="P5" s="49" t="s">
        <v>354</v>
      </c>
      <c r="Q5" s="49" t="s">
        <v>399</v>
      </c>
    </row>
    <row r="6" spans="1:17">
      <c r="A6" s="49">
        <v>104</v>
      </c>
      <c r="B6" s="49">
        <v>67</v>
      </c>
      <c r="C6" s="50">
        <v>40794</v>
      </c>
      <c r="D6" s="49">
        <v>22</v>
      </c>
      <c r="E6" s="49" t="s">
        <v>368</v>
      </c>
      <c r="F6" s="49" t="s">
        <v>369</v>
      </c>
      <c r="H6" s="49" t="s">
        <v>370</v>
      </c>
      <c r="I6" s="49" t="s">
        <v>356</v>
      </c>
      <c r="J6" s="49" t="s">
        <v>2983</v>
      </c>
      <c r="K6" s="49">
        <v>37.519820899999999</v>
      </c>
      <c r="L6" s="49">
        <v>127.1227901</v>
      </c>
      <c r="M6" s="49" t="s">
        <v>2995</v>
      </c>
      <c r="N6" s="49" t="s">
        <v>822</v>
      </c>
      <c r="P6" s="49" t="s">
        <v>354</v>
      </c>
      <c r="Q6" s="49" t="s">
        <v>399</v>
      </c>
    </row>
    <row r="7" spans="1:17">
      <c r="A7" s="49">
        <v>105</v>
      </c>
      <c r="B7" s="49">
        <v>50</v>
      </c>
      <c r="C7" s="50">
        <v>40809</v>
      </c>
      <c r="D7" s="49">
        <v>22</v>
      </c>
      <c r="E7" s="49" t="s">
        <v>372</v>
      </c>
      <c r="F7" s="49" t="s">
        <v>373</v>
      </c>
      <c r="H7" s="49" t="s">
        <v>389</v>
      </c>
      <c r="I7" s="49" t="s">
        <v>392</v>
      </c>
      <c r="J7" s="49" t="s">
        <v>391</v>
      </c>
      <c r="K7" s="49">
        <v>13.8448335</v>
      </c>
      <c r="L7" s="49">
        <v>100.36101789999999</v>
      </c>
      <c r="M7" s="49" t="s">
        <v>420</v>
      </c>
      <c r="N7" s="49" t="s">
        <v>822</v>
      </c>
      <c r="P7" s="49" t="s">
        <v>354</v>
      </c>
      <c r="Q7" s="49" t="s">
        <v>399</v>
      </c>
    </row>
    <row r="8" spans="1:17">
      <c r="A8" s="49">
        <v>106</v>
      </c>
      <c r="B8" s="49">
        <v>20</v>
      </c>
      <c r="C8" s="50">
        <v>40717</v>
      </c>
      <c r="D8" s="49">
        <v>22</v>
      </c>
      <c r="E8" s="49" t="s">
        <v>2984</v>
      </c>
      <c r="F8" s="49" t="s">
        <v>1046</v>
      </c>
      <c r="G8" s="49" t="s">
        <v>2985</v>
      </c>
      <c r="H8" s="49" t="s">
        <v>2986</v>
      </c>
      <c r="I8" s="49" t="s">
        <v>358</v>
      </c>
      <c r="J8" s="49" t="s">
        <v>2989</v>
      </c>
      <c r="K8" s="49">
        <v>-33.855778899999997</v>
      </c>
      <c r="L8" s="49">
        <v>25.5731146</v>
      </c>
      <c r="M8" s="49" t="s">
        <v>2998</v>
      </c>
      <c r="P8" s="49" t="s">
        <v>354</v>
      </c>
      <c r="Q8" s="49" t="s">
        <v>399</v>
      </c>
    </row>
    <row r="9" spans="1:17">
      <c r="A9" s="49">
        <v>107</v>
      </c>
      <c r="B9" s="49">
        <v>40</v>
      </c>
      <c r="C9" s="50">
        <v>40717</v>
      </c>
      <c r="D9" s="49">
        <v>23</v>
      </c>
      <c r="E9" s="49" t="s">
        <v>376</v>
      </c>
      <c r="F9" s="49" t="s">
        <v>377</v>
      </c>
      <c r="G9" s="49" t="s">
        <v>382</v>
      </c>
      <c r="H9" s="49" t="s">
        <v>2990</v>
      </c>
      <c r="I9" s="49" t="s">
        <v>360</v>
      </c>
      <c r="J9" s="49" t="s">
        <v>2991</v>
      </c>
      <c r="K9" s="49">
        <v>52.313125900000003</v>
      </c>
      <c r="L9" s="49">
        <v>4.9405650999999997</v>
      </c>
      <c r="M9" s="49" t="s">
        <v>2999</v>
      </c>
      <c r="P9" s="49" t="s">
        <v>403</v>
      </c>
      <c r="Q9" s="49" t="s">
        <v>401</v>
      </c>
    </row>
    <row r="22" spans="13:13">
      <c r="M22" s="1"/>
    </row>
    <row r="23" spans="13:13" ht="15">
      <c r="M23" s="21"/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I18"/>
  <sheetViews>
    <sheetView workbookViewId="0">
      <selection activeCell="Q7" sqref="Q7"/>
    </sheetView>
  </sheetViews>
  <sheetFormatPr defaultColWidth="9.140625" defaultRowHeight="15"/>
  <cols>
    <col min="1" max="1" width="10.85546875" customWidth="1"/>
    <col min="2" max="2" width="12" customWidth="1"/>
    <col min="3" max="3" width="11.28515625" customWidth="1"/>
  </cols>
  <sheetData>
    <row r="1" spans="1:4">
      <c r="A1" s="6" t="s">
        <v>349</v>
      </c>
      <c r="B1" s="6" t="s">
        <v>342</v>
      </c>
      <c r="C1" s="6" t="s">
        <v>343</v>
      </c>
      <c r="D1" s="6" t="s">
        <v>412</v>
      </c>
    </row>
    <row r="2" spans="1:4" ht="20.25" customHeight="1">
      <c r="A2">
        <v>101</v>
      </c>
      <c r="B2">
        <v>100</v>
      </c>
      <c r="C2" s="32">
        <v>40852</v>
      </c>
      <c r="D2">
        <v>20</v>
      </c>
    </row>
    <row r="3" spans="1:4">
      <c r="A3">
        <v>101</v>
      </c>
      <c r="B3">
        <v>90</v>
      </c>
      <c r="C3" s="32">
        <v>40860</v>
      </c>
      <c r="D3">
        <v>21</v>
      </c>
    </row>
    <row r="4" spans="1:4">
      <c r="A4">
        <v>102</v>
      </c>
      <c r="B4">
        <v>120</v>
      </c>
      <c r="C4" s="32">
        <v>40851</v>
      </c>
      <c r="D4">
        <v>22</v>
      </c>
    </row>
    <row r="5" spans="1:4">
      <c r="A5">
        <v>103</v>
      </c>
      <c r="B5">
        <v>80</v>
      </c>
      <c r="C5" s="32">
        <v>40802</v>
      </c>
      <c r="D5">
        <v>22</v>
      </c>
    </row>
    <row r="6" spans="1:4">
      <c r="A6">
        <v>104</v>
      </c>
      <c r="B6">
        <v>67</v>
      </c>
      <c r="C6" s="32">
        <v>40794</v>
      </c>
      <c r="D6">
        <v>22</v>
      </c>
    </row>
    <row r="7" spans="1:4">
      <c r="A7">
        <v>105</v>
      </c>
      <c r="B7">
        <v>50</v>
      </c>
      <c r="C7" s="32">
        <v>40809</v>
      </c>
      <c r="D7">
        <v>22</v>
      </c>
    </row>
    <row r="8" spans="1:4">
      <c r="A8">
        <v>106</v>
      </c>
      <c r="B8">
        <v>20</v>
      </c>
      <c r="C8" s="32">
        <v>40717</v>
      </c>
      <c r="D8">
        <v>22</v>
      </c>
    </row>
    <row r="9" spans="1:4">
      <c r="A9">
        <v>107</v>
      </c>
      <c r="B9">
        <v>40</v>
      </c>
      <c r="C9" s="32">
        <v>40717</v>
      </c>
      <c r="D9">
        <v>23</v>
      </c>
    </row>
    <row r="17" spans="9:9">
      <c r="I17" s="1" t="s">
        <v>662</v>
      </c>
    </row>
    <row r="18" spans="9:9">
      <c r="I18" s="21" t="s">
        <v>661</v>
      </c>
    </row>
  </sheetData>
  <hyperlinks>
    <hyperlink ref="I18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5"/>
  <dimension ref="A1:Q20"/>
  <sheetViews>
    <sheetView topLeftCell="A10" workbookViewId="0">
      <selection activeCell="O22" sqref="O22"/>
    </sheetView>
  </sheetViews>
  <sheetFormatPr defaultColWidth="8.28515625" defaultRowHeight="11.25"/>
  <cols>
    <col min="1" max="1" width="6.28515625" style="14" customWidth="1"/>
    <col min="2" max="2" width="8.28515625" style="14"/>
    <col min="3" max="3" width="26.42578125" style="16" customWidth="1"/>
    <col min="4" max="4" width="9.42578125" style="16" customWidth="1"/>
    <col min="5" max="6" width="8.28515625" style="14"/>
    <col min="7" max="7" width="10.85546875" style="14" customWidth="1"/>
    <col min="8" max="8" width="8.28515625" style="14"/>
    <col min="9" max="9" width="11.85546875" style="14" customWidth="1"/>
    <col min="10" max="10" width="8.28515625" style="14"/>
    <col min="11" max="11" width="12" style="14" customWidth="1"/>
    <col min="12" max="12" width="7" style="14" customWidth="1"/>
    <col min="13" max="13" width="18.85546875" style="14" customWidth="1"/>
    <col min="14" max="15" width="8.28515625" style="14"/>
    <col min="16" max="16" width="28.5703125" style="14" customWidth="1"/>
    <col min="17" max="16384" width="8.28515625" style="14"/>
  </cols>
  <sheetData>
    <row r="1" spans="1:17" ht="22.5">
      <c r="A1" s="12" t="s">
        <v>17</v>
      </c>
      <c r="B1" s="12" t="s">
        <v>0</v>
      </c>
      <c r="C1" s="13" t="s">
        <v>87</v>
      </c>
      <c r="D1" s="13" t="s">
        <v>499</v>
      </c>
      <c r="E1" s="17" t="s">
        <v>134</v>
      </c>
      <c r="F1" s="17" t="s">
        <v>10</v>
      </c>
      <c r="G1" s="17" t="s">
        <v>86</v>
      </c>
      <c r="H1" s="17" t="s">
        <v>97</v>
      </c>
      <c r="I1" s="17" t="s">
        <v>89</v>
      </c>
      <c r="J1" s="17" t="s">
        <v>133</v>
      </c>
      <c r="K1" s="17" t="s">
        <v>90</v>
      </c>
      <c r="L1" s="17" t="s">
        <v>107</v>
      </c>
      <c r="M1" s="17" t="s">
        <v>20</v>
      </c>
      <c r="N1" s="17" t="s">
        <v>143</v>
      </c>
      <c r="O1" s="17" t="s">
        <v>144</v>
      </c>
      <c r="P1" s="18" t="s">
        <v>242</v>
      </c>
      <c r="Q1" s="12" t="s">
        <v>316</v>
      </c>
    </row>
    <row r="2" spans="1:17" ht="37.5" customHeight="1">
      <c r="A2" s="14">
        <v>1</v>
      </c>
      <c r="B2" s="14" t="s">
        <v>621</v>
      </c>
      <c r="C2" s="15" t="s">
        <v>68</v>
      </c>
      <c r="D2" s="14" t="str">
        <f>B2</f>
        <v>Google</v>
      </c>
      <c r="E2" s="14" t="s">
        <v>9</v>
      </c>
      <c r="F2" s="14" t="s">
        <v>82</v>
      </c>
      <c r="G2" s="14" t="s">
        <v>78</v>
      </c>
      <c r="H2" s="14" t="s">
        <v>73</v>
      </c>
      <c r="I2" s="14" t="s">
        <v>3022</v>
      </c>
      <c r="K2" s="14">
        <v>1600</v>
      </c>
      <c r="L2" s="14">
        <v>94043</v>
      </c>
      <c r="M2" s="14" t="s">
        <v>3023</v>
      </c>
      <c r="N2" s="14">
        <v>37.422176999999998</v>
      </c>
      <c r="O2" s="14">
        <v>-122.083099</v>
      </c>
      <c r="P2" s="14" t="str">
        <f>"&lt;b&gt;" &amp; B2 &amp; "&lt;/b&gt;&lt;br&gt;" &amp; SUBSTITUTE(M2,",","&lt;br&gt;") &amp; "&lt;br&gt;"</f>
        <v>&lt;b&gt;Google&lt;/b&gt;&lt;br&gt;1600 Amphitheatre Parkway&lt;br&gt; Mountain View&lt;br&gt; CA 94043&lt;br&gt; USA&lt;br&gt;</v>
      </c>
      <c r="Q2" s="21" t="s">
        <v>622</v>
      </c>
    </row>
    <row r="3" spans="1:17" ht="33.75">
      <c r="A3" s="14">
        <v>2</v>
      </c>
      <c r="B3" s="14" t="s">
        <v>2</v>
      </c>
      <c r="C3" s="15" t="s">
        <v>194</v>
      </c>
      <c r="D3" s="14" t="str">
        <f t="shared" ref="D3:D12" si="0">B3</f>
        <v>Smiths</v>
      </c>
      <c r="E3" s="14" t="s">
        <v>101</v>
      </c>
      <c r="F3" s="14" t="s">
        <v>244</v>
      </c>
      <c r="G3" s="14" t="s">
        <v>100</v>
      </c>
      <c r="H3" s="14" t="s">
        <v>3024</v>
      </c>
      <c r="I3" s="14" t="s">
        <v>245</v>
      </c>
      <c r="K3" s="14">
        <v>16</v>
      </c>
      <c r="L3" s="14">
        <v>1000</v>
      </c>
      <c r="M3" s="14" t="s">
        <v>116</v>
      </c>
      <c r="N3" s="14">
        <v>50.838259400000013</v>
      </c>
      <c r="O3" s="14">
        <v>4.3600903999999998</v>
      </c>
      <c r="P3" s="14" t="str">
        <f t="shared" ref="P3:P12" si="1">"&lt;b&gt;" &amp; B3 &amp; "&lt;/b&gt;&lt;br&gt;" &amp; SUBSTITUTE(M3,",","&lt;br&gt;") &amp; "&lt;br&gt;"</f>
        <v>&lt;b&gt;Smiths&lt;/b&gt;&lt;br&gt;Boulevard de Waterloo 16&lt;br&gt; 1000 City of Brussels&lt;br&gt; Belgium&lt;br&gt;</v>
      </c>
    </row>
    <row r="4" spans="1:17" ht="22.5">
      <c r="A4" s="14">
        <v>5</v>
      </c>
      <c r="B4" s="14" t="s">
        <v>14</v>
      </c>
      <c r="C4" s="15" t="s">
        <v>69</v>
      </c>
      <c r="D4" s="14" t="str">
        <f t="shared" si="0"/>
        <v>Schneider</v>
      </c>
      <c r="E4" s="14" t="s">
        <v>246</v>
      </c>
      <c r="F4" s="14" t="s">
        <v>105</v>
      </c>
      <c r="G4" s="14" t="s">
        <v>3025</v>
      </c>
      <c r="H4" s="14" t="s">
        <v>104</v>
      </c>
      <c r="L4" s="14">
        <v>45701</v>
      </c>
      <c r="M4" s="14" t="s">
        <v>238</v>
      </c>
      <c r="N4" s="14">
        <v>37.983715500000002</v>
      </c>
      <c r="O4" s="14">
        <v>23.729309700000002</v>
      </c>
      <c r="P4" s="14" t="str">
        <f t="shared" si="1"/>
        <v>&lt;b&gt;Schneider&lt;/b&gt;&lt;br&gt;Athens&lt;br&gt; Greece&lt;br&gt;</v>
      </c>
    </row>
    <row r="5" spans="1:17" ht="22.5">
      <c r="A5" s="14">
        <v>6</v>
      </c>
      <c r="B5" s="14" t="s">
        <v>3</v>
      </c>
      <c r="C5" s="15" t="s">
        <v>109</v>
      </c>
      <c r="D5" s="14" t="str">
        <f t="shared" si="0"/>
        <v>Jones</v>
      </c>
      <c r="E5" s="14" t="s">
        <v>103</v>
      </c>
      <c r="F5" s="14" t="s">
        <v>102</v>
      </c>
      <c r="G5" s="14" t="s">
        <v>111</v>
      </c>
      <c r="H5" s="14" t="s">
        <v>110</v>
      </c>
      <c r="M5" s="14" t="s">
        <v>112</v>
      </c>
      <c r="N5" s="14">
        <v>55.953251999999999</v>
      </c>
      <c r="O5" s="14">
        <v>-3.1882670000000002</v>
      </c>
      <c r="P5" s="14" t="str">
        <f t="shared" si="1"/>
        <v>&lt;b&gt;Jones&lt;/b&gt;&lt;br&gt;Edinburgh&lt;br&gt; City of Edinburgh&lt;br&gt; UK&lt;br&gt;</v>
      </c>
    </row>
    <row r="6" spans="1:17" ht="45">
      <c r="A6" s="14">
        <v>7</v>
      </c>
      <c r="B6" s="14" t="s">
        <v>118</v>
      </c>
      <c r="C6" s="16" t="s">
        <v>117</v>
      </c>
      <c r="D6" s="14" t="str">
        <f t="shared" si="0"/>
        <v>google russia</v>
      </c>
      <c r="E6" s="14" t="s">
        <v>120</v>
      </c>
      <c r="F6" s="14" t="s">
        <v>247</v>
      </c>
      <c r="G6" s="14" t="s">
        <v>3026</v>
      </c>
      <c r="H6" s="14" t="s">
        <v>119</v>
      </c>
      <c r="I6" s="14" t="s">
        <v>3027</v>
      </c>
      <c r="J6" s="14" t="s">
        <v>3252</v>
      </c>
      <c r="K6" s="14">
        <v>7</v>
      </c>
      <c r="L6" s="14">
        <v>115035</v>
      </c>
      <c r="M6" s="14" t="s">
        <v>3028</v>
      </c>
      <c r="N6" s="14">
        <v>55.746668999999997</v>
      </c>
      <c r="O6" s="14">
        <v>37.626409000000002</v>
      </c>
      <c r="P6" s="14" t="str">
        <f t="shared" si="1"/>
        <v>&lt;b&gt;google russia&lt;/b&gt;&lt;br&gt;ulitsa Balchug&lt;br&gt; 7&lt;br&gt; Moscow&lt;br&gt; Russian Federation&lt;br&gt; 115035&lt;br&gt;</v>
      </c>
    </row>
    <row r="7" spans="1:17" ht="45">
      <c r="A7" s="14">
        <v>8</v>
      </c>
      <c r="B7" s="14" t="s">
        <v>122</v>
      </c>
      <c r="C7" s="16" t="s">
        <v>121</v>
      </c>
      <c r="D7" s="14" t="str">
        <f t="shared" si="0"/>
        <v>google ghana</v>
      </c>
      <c r="E7" s="14" t="s">
        <v>125</v>
      </c>
      <c r="F7" s="14" t="s">
        <v>248</v>
      </c>
      <c r="G7" s="14" t="s">
        <v>124</v>
      </c>
      <c r="H7" s="14" t="s">
        <v>123</v>
      </c>
      <c r="I7" s="14" t="s">
        <v>3029</v>
      </c>
      <c r="J7" s="14" t="s">
        <v>249</v>
      </c>
      <c r="M7" s="14" t="s">
        <v>3030</v>
      </c>
      <c r="N7" s="14">
        <v>5.5659042999999997</v>
      </c>
      <c r="O7" s="14">
        <v>-0.1934785</v>
      </c>
      <c r="P7" s="14" t="str">
        <f t="shared" si="1"/>
        <v>&lt;b&gt;google ghana&lt;/b&gt;&lt;br&gt;Independence Avenue&lt;br&gt; Accra&lt;br&gt; Ghana&lt;br&gt;</v>
      </c>
    </row>
    <row r="8" spans="1:17" ht="45">
      <c r="A8" s="14">
        <v>9</v>
      </c>
      <c r="B8" s="14" t="s">
        <v>126</v>
      </c>
      <c r="C8" s="16" t="s">
        <v>161</v>
      </c>
      <c r="D8" s="14" t="str">
        <f t="shared" si="0"/>
        <v>Google India Pvt Ltd</v>
      </c>
      <c r="E8" s="14" t="s">
        <v>250</v>
      </c>
      <c r="F8" s="14" t="s">
        <v>128</v>
      </c>
      <c r="G8" s="14" t="s">
        <v>3031</v>
      </c>
      <c r="H8" s="14" t="s">
        <v>127</v>
      </c>
      <c r="J8" s="14" t="s">
        <v>819</v>
      </c>
      <c r="L8" s="14">
        <v>122008</v>
      </c>
      <c r="M8" s="14" t="s">
        <v>3253</v>
      </c>
      <c r="N8" s="14">
        <v>28.4948607</v>
      </c>
      <c r="O8" s="14">
        <v>77.089272399999999</v>
      </c>
      <c r="P8" s="14" t="str">
        <f t="shared" si="1"/>
        <v>&lt;b&gt;Google India Pvt Ltd&lt;/b&gt;&lt;br&gt;DLF Building No 8 Tower B&lt;br&gt; DLF City II&lt;br&gt; Sector 24&lt;br&gt; Gurgaon&lt;br&gt; Haryana 122008&lt;br&gt; India&lt;br&gt;</v>
      </c>
    </row>
    <row r="9" spans="1:17" ht="22.5">
      <c r="A9" s="14">
        <v>10</v>
      </c>
      <c r="B9" s="14" t="s">
        <v>130</v>
      </c>
      <c r="C9" s="16" t="s">
        <v>129</v>
      </c>
      <c r="D9" s="14" t="str">
        <f t="shared" si="0"/>
        <v>google argentina</v>
      </c>
      <c r="E9" s="14" t="s">
        <v>251</v>
      </c>
      <c r="F9" s="14" t="s">
        <v>252</v>
      </c>
      <c r="H9" s="14" t="s">
        <v>253</v>
      </c>
      <c r="M9" s="14" t="s">
        <v>3032</v>
      </c>
      <c r="N9" s="14">
        <v>-34.603723199999997</v>
      </c>
      <c r="O9" s="14">
        <v>-58.381593100000003</v>
      </c>
      <c r="P9" s="14" t="str">
        <f t="shared" si="1"/>
        <v>&lt;b&gt;google argentina&lt;/b&gt;&lt;br&gt;Buenos Aires&lt;br&gt; Argentina&lt;br&gt;</v>
      </c>
    </row>
    <row r="10" spans="1:17" ht="45">
      <c r="A10" s="14">
        <v>11</v>
      </c>
      <c r="B10" s="14" t="s">
        <v>132</v>
      </c>
      <c r="C10" s="16" t="s">
        <v>131</v>
      </c>
      <c r="D10" s="14" t="str">
        <f t="shared" si="0"/>
        <v>google guangzhou</v>
      </c>
      <c r="E10" s="14" t="s">
        <v>254</v>
      </c>
      <c r="F10" s="14" t="s">
        <v>255</v>
      </c>
      <c r="G10" s="14" t="s">
        <v>256</v>
      </c>
      <c r="H10" s="14" t="s">
        <v>257</v>
      </c>
      <c r="J10" s="14" t="s">
        <v>258</v>
      </c>
      <c r="L10" s="14">
        <v>510620</v>
      </c>
      <c r="M10" s="14" t="s">
        <v>3033</v>
      </c>
      <c r="N10" s="14">
        <v>23.138833300000002</v>
      </c>
      <c r="O10" s="14">
        <v>113.3205796</v>
      </c>
      <c r="P10" s="14" t="str">
        <f t="shared" si="1"/>
        <v>&lt;b&gt;google guangzhou&lt;/b&gt;&lt;br&gt;Tianhe&lt;br&gt; Guangzhou&lt;br&gt; Guangdong&lt;br&gt; China&lt;br&gt; 510620&lt;br&gt;</v>
      </c>
    </row>
    <row r="11" spans="1:17" ht="45">
      <c r="A11" s="14">
        <v>12</v>
      </c>
      <c r="B11" s="14" t="s">
        <v>136</v>
      </c>
      <c r="C11" s="16" t="s">
        <v>135</v>
      </c>
      <c r="D11" s="14" t="str">
        <f t="shared" si="0"/>
        <v>Google Cairo</v>
      </c>
      <c r="E11" s="14" t="s">
        <v>259</v>
      </c>
      <c r="F11" s="14" t="s">
        <v>137</v>
      </c>
      <c r="G11" s="14" t="s">
        <v>3034</v>
      </c>
      <c r="I11" s="14" t="s">
        <v>820</v>
      </c>
      <c r="M11" s="14" t="s">
        <v>3035</v>
      </c>
      <c r="N11" s="14">
        <v>30.083306499999999</v>
      </c>
      <c r="O11" s="14">
        <v>31.3419025</v>
      </c>
      <c r="P11" s="14" t="str">
        <f t="shared" si="1"/>
        <v>&lt;b&gt;Google Cairo&lt;/b&gt;&lt;br&gt;Al Maza&lt;br&gt; Cairo Governorate&lt;br&gt; Egypt&lt;br&gt;</v>
      </c>
    </row>
    <row r="12" spans="1:17" ht="33.75">
      <c r="A12" s="14">
        <v>13</v>
      </c>
      <c r="B12" s="14" t="s">
        <v>348</v>
      </c>
      <c r="C12" s="16" t="s">
        <v>347</v>
      </c>
      <c r="D12" s="14" t="str">
        <f t="shared" si="0"/>
        <v>Rosemount theatre</v>
      </c>
      <c r="E12" s="14" t="s">
        <v>9</v>
      </c>
      <c r="F12" s="14" t="s">
        <v>82</v>
      </c>
      <c r="G12" s="14" t="s">
        <v>351</v>
      </c>
      <c r="H12" s="14" t="s">
        <v>2977</v>
      </c>
      <c r="I12" s="14" t="s">
        <v>2978</v>
      </c>
      <c r="K12" s="14">
        <v>5400</v>
      </c>
      <c r="L12" s="14">
        <v>60018</v>
      </c>
      <c r="M12" s="14" t="s">
        <v>2979</v>
      </c>
      <c r="N12" s="14">
        <v>41.976641000000001</v>
      </c>
      <c r="O12" s="14">
        <v>-87.863689999999991</v>
      </c>
      <c r="P12" s="14" t="str">
        <f t="shared" si="1"/>
        <v>&lt;b&gt;Rosemount theatre&lt;/b&gt;&lt;br&gt;5400 North River Road&lt;br&gt; Des Plaines&lt;br&gt; IL 60018&lt;br&gt; USA&lt;br&gt;</v>
      </c>
    </row>
    <row r="16" spans="1:17">
      <c r="A16" s="19" t="s">
        <v>271</v>
      </c>
    </row>
    <row r="19" spans="13:13">
      <c r="M19" s="1" t="s">
        <v>662</v>
      </c>
    </row>
    <row r="20" spans="13:13" ht="15">
      <c r="M20" s="21" t="s">
        <v>661</v>
      </c>
    </row>
  </sheetData>
  <hyperlinks>
    <hyperlink ref="M20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"/>
  <dimension ref="A1:U14"/>
  <sheetViews>
    <sheetView workbookViewId="0">
      <selection activeCell="L7" sqref="L7"/>
    </sheetView>
  </sheetViews>
  <sheetFormatPr defaultColWidth="8.28515625" defaultRowHeight="15"/>
  <cols>
    <col min="1" max="1" width="12.140625" style="37" customWidth="1"/>
    <col min="2" max="2" width="19.28515625" customWidth="1"/>
    <col min="3" max="3" width="27.85546875" customWidth="1"/>
    <col min="4" max="4" width="9.42578125" style="16" customWidth="1"/>
    <col min="5" max="5" width="10.5703125" customWidth="1"/>
    <col min="6" max="6" width="12.5703125" customWidth="1"/>
    <col min="7" max="7" width="13.5703125" customWidth="1"/>
    <col min="8" max="8" width="9.7109375" customWidth="1"/>
    <col min="9" max="9" width="16.5703125" customWidth="1"/>
    <col min="10" max="10" width="14.85546875" customWidth="1"/>
    <col min="12" max="12" width="12.140625" style="14" customWidth="1"/>
    <col min="13" max="13" width="11.85546875" style="14" customWidth="1"/>
    <col min="14" max="14" width="8.28515625" style="14"/>
    <col min="15" max="15" width="12" style="14" customWidth="1"/>
    <col min="16" max="16" width="7" style="14" customWidth="1"/>
    <col min="17" max="17" width="18.85546875" style="14" customWidth="1"/>
    <col min="18" max="19" width="8.28515625" style="14"/>
    <col min="20" max="20" width="28.5703125" style="14" customWidth="1"/>
    <col min="21" max="16384" width="8.28515625" style="14"/>
  </cols>
  <sheetData>
    <row r="1" spans="1:21" ht="23.25">
      <c r="A1" s="38" t="s">
        <v>434</v>
      </c>
      <c r="B1" s="6" t="s">
        <v>433</v>
      </c>
      <c r="C1" s="13" t="s">
        <v>87</v>
      </c>
      <c r="D1" s="13" t="s">
        <v>499</v>
      </c>
      <c r="E1" s="17" t="s">
        <v>134</v>
      </c>
      <c r="F1" s="17" t="s">
        <v>10</v>
      </c>
      <c r="G1" s="17" t="s">
        <v>86</v>
      </c>
      <c r="H1" s="17" t="s">
        <v>97</v>
      </c>
      <c r="I1" s="17" t="s">
        <v>89</v>
      </c>
      <c r="J1" s="17" t="s">
        <v>133</v>
      </c>
      <c r="K1" s="17" t="s">
        <v>90</v>
      </c>
      <c r="L1" s="17" t="s">
        <v>107</v>
      </c>
      <c r="M1" s="17" t="s">
        <v>20</v>
      </c>
      <c r="N1" s="17" t="s">
        <v>143</v>
      </c>
      <c r="O1" s="17" t="s">
        <v>144</v>
      </c>
      <c r="P1" s="18" t="s">
        <v>242</v>
      </c>
      <c r="Q1" s="12" t="s">
        <v>316</v>
      </c>
      <c r="R1" s="14" t="s">
        <v>435</v>
      </c>
      <c r="S1" s="14" t="s">
        <v>473</v>
      </c>
      <c r="T1" s="14" t="s">
        <v>472</v>
      </c>
    </row>
    <row r="2" spans="1:21" ht="18" customHeight="1">
      <c r="A2" s="37">
        <v>201</v>
      </c>
      <c r="B2" s="39" t="s">
        <v>452</v>
      </c>
      <c r="C2" s="41" t="s">
        <v>451</v>
      </c>
      <c r="D2" s="14" t="str">
        <f>B2</f>
        <v>Collonge-Bellerive</v>
      </c>
      <c r="E2" s="39" t="s">
        <v>467</v>
      </c>
      <c r="F2" s="39" t="s">
        <v>468</v>
      </c>
      <c r="G2" s="40"/>
      <c r="H2" s="37" t="s">
        <v>452</v>
      </c>
      <c r="I2" s="37"/>
      <c r="J2" s="39"/>
      <c r="K2" s="14"/>
      <c r="L2" s="21">
        <v>1245</v>
      </c>
      <c r="M2" s="14" t="s">
        <v>451</v>
      </c>
      <c r="N2" s="14">
        <v>46.256861299999997</v>
      </c>
      <c r="O2" s="14">
        <v>6.2029084999999986</v>
      </c>
      <c r="P2" s="14" t="str">
        <f>CONCATENATE("&lt;b&gt;",B2,"&lt;/b&gt;&lt;br&gt;",H2,"&lt;br&gt;",F2)</f>
        <v>&lt;b&gt;Collonge-Bellerive&lt;/b&gt;&lt;br&gt;Collonge-Bellerive&lt;br&gt;Switzerland</v>
      </c>
      <c r="Q2" s="21" t="s">
        <v>486</v>
      </c>
      <c r="R2" s="14">
        <v>1000</v>
      </c>
      <c r="S2" s="14">
        <v>1000</v>
      </c>
      <c r="U2" s="21"/>
    </row>
    <row r="3" spans="1:21" ht="32.25" customHeight="1">
      <c r="A3" s="37">
        <v>202</v>
      </c>
      <c r="B3" s="39" t="s">
        <v>470</v>
      </c>
      <c r="C3" s="45" t="s">
        <v>471</v>
      </c>
      <c r="D3" s="14" t="str">
        <f t="shared" ref="D3:D4" si="0">B3</f>
        <v>Istana Nurul Iman</v>
      </c>
      <c r="E3" t="s">
        <v>447</v>
      </c>
      <c r="F3" t="s">
        <v>481</v>
      </c>
      <c r="G3" s="40" t="s">
        <v>3039</v>
      </c>
      <c r="H3" s="37" t="s">
        <v>474</v>
      </c>
      <c r="I3" s="37"/>
      <c r="J3" s="39"/>
      <c r="L3" s="21"/>
      <c r="M3" s="14" t="s">
        <v>3254</v>
      </c>
      <c r="N3" s="14">
        <v>4.8711560999999994</v>
      </c>
      <c r="O3" s="14">
        <v>114.9197964</v>
      </c>
      <c r="P3" s="14" t="str">
        <f t="shared" ref="P3:P4" si="1">CONCATENATE("&lt;b&gt;",B3,"&lt;/b&gt;&lt;br&gt;",H3,"&lt;br&gt;",F3)</f>
        <v>&lt;b&gt;Istana Nurul Iman&lt;/b&gt;&lt;br&gt;Bandar Seri Begawan&lt;br&gt;Brunei</v>
      </c>
      <c r="Q3" s="21" t="s">
        <v>485</v>
      </c>
      <c r="R3" s="14">
        <v>2000</v>
      </c>
      <c r="S3" s="14">
        <v>2000</v>
      </c>
      <c r="T3" s="21" t="str">
        <f>CONCATENATE("&lt;a href='http://en.wikipedia.org/wiki/Istana_Nurul_Iman'&gt;",B3,"&lt;/a&gt;")</f>
        <v>&lt;a href='http://en.wikipedia.org/wiki/Istana_Nurul_Iman'&gt;Istana Nurul Iman&lt;/a&gt;</v>
      </c>
    </row>
    <row r="4" spans="1:21" ht="18" customHeight="1">
      <c r="A4" s="37">
        <v>203</v>
      </c>
      <c r="B4" s="39" t="s">
        <v>457</v>
      </c>
      <c r="C4" s="41" t="s">
        <v>458</v>
      </c>
      <c r="D4" s="14" t="str">
        <f t="shared" si="0"/>
        <v>Kings Palace</v>
      </c>
      <c r="E4" s="39" t="s">
        <v>436</v>
      </c>
      <c r="F4" s="39" t="s">
        <v>469</v>
      </c>
      <c r="G4" s="40"/>
      <c r="H4" s="37" t="s">
        <v>3255</v>
      </c>
      <c r="I4" s="37"/>
      <c r="J4" s="39"/>
      <c r="K4" s="14"/>
      <c r="L4" s="21"/>
      <c r="M4" s="14" t="s">
        <v>3256</v>
      </c>
      <c r="N4" s="14">
        <v>24.711666699999999</v>
      </c>
      <c r="O4" s="14">
        <v>46.724166699999998</v>
      </c>
      <c r="P4" s="14" t="str">
        <f t="shared" si="1"/>
        <v>&lt;b&gt;Kings Palace&lt;/b&gt;&lt;br&gt;Riyadh&lt;br&gt;Saudi Arabia</v>
      </c>
      <c r="Q4" s="21" t="s">
        <v>492</v>
      </c>
      <c r="R4" s="14">
        <v>400</v>
      </c>
      <c r="S4" s="14">
        <v>5000</v>
      </c>
      <c r="U4" s="21"/>
    </row>
    <row r="5" spans="1:21">
      <c r="D5" s="14"/>
    </row>
    <row r="6" spans="1:21">
      <c r="D6" s="14"/>
    </row>
    <row r="7" spans="1:21">
      <c r="D7" s="14"/>
    </row>
    <row r="8" spans="1:21">
      <c r="D8" s="14"/>
    </row>
    <row r="9" spans="1:21">
      <c r="D9" s="14"/>
    </row>
    <row r="10" spans="1:21">
      <c r="D10" s="14"/>
    </row>
    <row r="11" spans="1:21">
      <c r="D11" s="14"/>
    </row>
    <row r="12" spans="1:21">
      <c r="D12" s="14"/>
    </row>
    <row r="13" spans="1:21">
      <c r="G13" s="1" t="s">
        <v>662</v>
      </c>
    </row>
    <row r="14" spans="1:21">
      <c r="G14" s="21" t="s">
        <v>661</v>
      </c>
    </row>
  </sheetData>
  <hyperlinks>
    <hyperlink ref="T3" r:id="rId1" display="http://en.wikipedia.org/wiki/Istana_Nurul_Iman"/>
    <hyperlink ref="Q3" r:id="rId2"/>
    <hyperlink ref="Q4" r:id="rId3"/>
    <hyperlink ref="Q2" r:id="rId4"/>
    <hyperlink ref="G14" r:id="rId5"/>
  </hyperlinks>
  <pageMargins left="0.7" right="0.7" top="0.75" bottom="0.75" header="0.3" footer="0.3"/>
  <pageSetup orientation="portrait" horizontalDpi="1200" verticalDpi="1200" r:id="rId6"/>
  <legacyDrawing r:id="rId7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1:P12"/>
  <sheetViews>
    <sheetView workbookViewId="0">
      <selection activeCell="H11" sqref="H11:H12"/>
    </sheetView>
  </sheetViews>
  <sheetFormatPr defaultColWidth="8.28515625" defaultRowHeight="15"/>
  <cols>
    <col min="1" max="1" width="12.140625" style="37" customWidth="1"/>
    <col min="2" max="2" width="12.42578125" customWidth="1"/>
    <col min="3" max="3" width="11.85546875" style="14" customWidth="1"/>
    <col min="4" max="4" width="16.5703125" style="14" customWidth="1"/>
    <col min="5" max="5" width="11" customWidth="1"/>
    <col min="6" max="6" width="16.5703125" customWidth="1"/>
    <col min="7" max="7" width="10.42578125" customWidth="1"/>
    <col min="8" max="8" width="11.7109375" customWidth="1"/>
    <col min="9" max="9" width="11.85546875" customWidth="1"/>
    <col min="10" max="10" width="19.42578125" customWidth="1"/>
    <col min="11" max="11" width="25.5703125" customWidth="1"/>
    <col min="12" max="12" width="12.5703125" customWidth="1"/>
    <col min="13" max="13" width="13.5703125" customWidth="1"/>
    <col min="14" max="14" width="9.7109375" customWidth="1"/>
    <col min="15" max="15" width="12.140625" style="14" customWidth="1"/>
    <col min="16" max="16384" width="8.28515625" style="14"/>
  </cols>
  <sheetData>
    <row r="1" spans="1:16">
      <c r="A1" s="38" t="s">
        <v>456</v>
      </c>
      <c r="B1" s="6" t="s">
        <v>430</v>
      </c>
      <c r="C1" s="6" t="s">
        <v>459</v>
      </c>
      <c r="D1" s="6" t="s">
        <v>429</v>
      </c>
      <c r="E1" s="6" t="s">
        <v>445</v>
      </c>
      <c r="F1" s="6" t="s">
        <v>453</v>
      </c>
      <c r="G1" s="6" t="s">
        <v>480</v>
      </c>
      <c r="H1" s="6" t="s">
        <v>448</v>
      </c>
      <c r="I1" s="6" t="s">
        <v>443</v>
      </c>
      <c r="J1" s="6" t="s">
        <v>487</v>
      </c>
      <c r="K1" s="6" t="s">
        <v>444</v>
      </c>
      <c r="L1" s="6" t="s">
        <v>437</v>
      </c>
      <c r="M1" s="6" t="s">
        <v>439</v>
      </c>
      <c r="N1" s="6" t="s">
        <v>438</v>
      </c>
      <c r="O1" s="6" t="s">
        <v>450</v>
      </c>
    </row>
    <row r="2" spans="1:16" ht="18" customHeight="1">
      <c r="A2" s="37">
        <v>20</v>
      </c>
      <c r="B2" s="46">
        <v>20250</v>
      </c>
      <c r="C2" s="47">
        <v>18000</v>
      </c>
      <c r="D2" s="47">
        <v>2000</v>
      </c>
      <c r="E2" s="39" t="s">
        <v>440</v>
      </c>
      <c r="F2" s="39" t="s">
        <v>454</v>
      </c>
      <c r="G2" s="39" t="s">
        <v>469</v>
      </c>
      <c r="H2" s="37">
        <v>1744</v>
      </c>
      <c r="I2" s="39">
        <f ca="1">YEAR(TODAY())-H2</f>
        <v>269</v>
      </c>
      <c r="J2" s="21" t="s">
        <v>484</v>
      </c>
      <c r="K2" s="39" t="s">
        <v>441</v>
      </c>
      <c r="L2" s="39">
        <v>21000</v>
      </c>
      <c r="M2" s="40">
        <v>8980</v>
      </c>
      <c r="N2" s="37">
        <f ca="1">YEAR(NOW())-YEAR(M2)</f>
        <v>89</v>
      </c>
      <c r="O2" s="21" t="s">
        <v>490</v>
      </c>
      <c r="P2" s="21"/>
    </row>
    <row r="3" spans="1:16">
      <c r="A3" s="37">
        <v>21</v>
      </c>
      <c r="B3" s="46">
        <v>576500</v>
      </c>
      <c r="C3" s="47">
        <v>37000</v>
      </c>
      <c r="D3" s="47">
        <v>25000</v>
      </c>
      <c r="E3" t="s">
        <v>446</v>
      </c>
      <c r="F3" t="s">
        <v>455</v>
      </c>
      <c r="G3" t="s">
        <v>481</v>
      </c>
      <c r="H3" s="37">
        <v>1363</v>
      </c>
      <c r="I3" s="39">
        <f ca="1">YEAR(TODAY())-H3</f>
        <v>650</v>
      </c>
      <c r="J3" s="21" t="s">
        <v>493</v>
      </c>
      <c r="K3" s="39" t="s">
        <v>442</v>
      </c>
      <c r="L3">
        <v>20000</v>
      </c>
      <c r="M3" s="40">
        <v>16998</v>
      </c>
      <c r="N3" s="37">
        <f ca="1">YEAR(NOW())-YEAR(M3)</f>
        <v>67</v>
      </c>
      <c r="O3" s="21" t="s">
        <v>491</v>
      </c>
    </row>
    <row r="11" spans="1:16">
      <c r="H11" s="1" t="s">
        <v>662</v>
      </c>
    </row>
    <row r="12" spans="1:16">
      <c r="H12" s="21" t="s">
        <v>661</v>
      </c>
    </row>
  </sheetData>
  <hyperlinks>
    <hyperlink ref="O2" r:id="rId1" display="http://en.wikipedia.org/wiki/Abdullah_of_Saudi_Arabia"/>
    <hyperlink ref="O3" r:id="rId2" display="http://en.wikipedia.org/wiki/Haji_Hassanal_Bolkiah"/>
    <hyperlink ref="J2" r:id="rId3"/>
    <hyperlink ref="J3" r:id="rId4"/>
    <hyperlink ref="H12" r:id="rId5"/>
  </hyperlinks>
  <pageMargins left="0.7" right="0.7" top="0.75" bottom="0.75" header="0.3" footer="0.3"/>
  <pageSetup orientation="portrait" horizontalDpi="1200" verticalDpi="1200" r:id="rId6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"/>
  <dimension ref="A1:I10"/>
  <sheetViews>
    <sheetView workbookViewId="0">
      <selection activeCell="I9" sqref="I9:I10"/>
    </sheetView>
  </sheetViews>
  <sheetFormatPr defaultColWidth="9.140625" defaultRowHeight="15"/>
  <cols>
    <col min="1" max="1" width="12.7109375" customWidth="1"/>
    <col min="2" max="2" width="10.140625" customWidth="1"/>
  </cols>
  <sheetData>
    <row r="1" spans="1:9">
      <c r="A1" s="6" t="s">
        <v>434</v>
      </c>
      <c r="B1" s="6" t="s">
        <v>456</v>
      </c>
      <c r="C1" s="6"/>
    </row>
    <row r="2" spans="1:9">
      <c r="A2">
        <v>203</v>
      </c>
      <c r="B2">
        <v>20</v>
      </c>
    </row>
    <row r="3" spans="1:9" ht="20.25" customHeight="1">
      <c r="A3">
        <v>201</v>
      </c>
      <c r="B3">
        <v>20</v>
      </c>
    </row>
    <row r="4" spans="1:9">
      <c r="A4">
        <v>202</v>
      </c>
      <c r="B4">
        <v>21</v>
      </c>
    </row>
    <row r="9" spans="1:9">
      <c r="I9" s="1" t="s">
        <v>662</v>
      </c>
    </row>
    <row r="10" spans="1:9">
      <c r="I10" s="21" t="s">
        <v>661</v>
      </c>
    </row>
  </sheetData>
  <hyperlinks>
    <hyperlink ref="I10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"/>
  <dimension ref="A1:AA10"/>
  <sheetViews>
    <sheetView workbookViewId="0">
      <selection activeCell="F9" sqref="F9:F10"/>
    </sheetView>
  </sheetViews>
  <sheetFormatPr defaultColWidth="15.5703125" defaultRowHeight="15"/>
  <cols>
    <col min="1" max="2" width="15.5703125" style="37"/>
    <col min="3" max="4" width="12" style="37" customWidth="1"/>
    <col min="5" max="16384" width="15.5703125" style="37"/>
  </cols>
  <sheetData>
    <row r="1" spans="1:27">
      <c r="A1" s="37" t="s">
        <v>434</v>
      </c>
      <c r="B1" s="37" t="s">
        <v>456</v>
      </c>
      <c r="C1" s="37" t="s">
        <v>94</v>
      </c>
      <c r="D1" s="37" t="s">
        <v>95</v>
      </c>
      <c r="E1" s="37" t="s">
        <v>433</v>
      </c>
      <c r="F1" s="37" t="s">
        <v>243</v>
      </c>
      <c r="G1" s="37" t="s">
        <v>134</v>
      </c>
      <c r="H1" s="37" t="s">
        <v>10</v>
      </c>
      <c r="I1" s="37" t="s">
        <v>435</v>
      </c>
      <c r="J1" s="37" t="s">
        <v>86</v>
      </c>
      <c r="K1" s="37" t="s">
        <v>97</v>
      </c>
      <c r="L1" s="37" t="s">
        <v>20</v>
      </c>
      <c r="M1" s="37" t="s">
        <v>473</v>
      </c>
      <c r="N1" s="37" t="s">
        <v>472</v>
      </c>
      <c r="O1" s="37" t="s">
        <v>316</v>
      </c>
      <c r="P1" s="37" t="s">
        <v>480</v>
      </c>
      <c r="Q1" s="37" t="s">
        <v>445</v>
      </c>
      <c r="R1" s="37" t="s">
        <v>443</v>
      </c>
      <c r="S1" s="37" t="s">
        <v>460</v>
      </c>
      <c r="T1" s="37" t="s">
        <v>449</v>
      </c>
      <c r="U1" s="37" t="s">
        <v>450</v>
      </c>
      <c r="V1" s="37" t="s">
        <v>444</v>
      </c>
      <c r="W1" s="37" t="s">
        <v>437</v>
      </c>
      <c r="X1" s="37" t="s">
        <v>438</v>
      </c>
      <c r="Y1" s="37" t="s">
        <v>430</v>
      </c>
      <c r="Z1" s="37" t="s">
        <v>459</v>
      </c>
      <c r="AA1" s="37" t="s">
        <v>429</v>
      </c>
    </row>
    <row r="2" spans="1:27">
      <c r="A2" s="37">
        <v>203</v>
      </c>
      <c r="B2" s="37">
        <v>20</v>
      </c>
      <c r="C2" s="37">
        <v>24.711666699999999</v>
      </c>
      <c r="D2" s="37">
        <v>46.724166699999998</v>
      </c>
      <c r="E2" s="37" t="s">
        <v>457</v>
      </c>
      <c r="F2" s="37" t="s">
        <v>3257</v>
      </c>
      <c r="G2" s="37" t="s">
        <v>436</v>
      </c>
      <c r="H2" s="37" t="s">
        <v>469</v>
      </c>
      <c r="I2" s="37">
        <v>400</v>
      </c>
      <c r="K2" s="37" t="s">
        <v>3255</v>
      </c>
      <c r="L2" s="37" t="s">
        <v>3256</v>
      </c>
      <c r="M2" s="37">
        <v>5000</v>
      </c>
      <c r="O2" s="37" t="s">
        <v>492</v>
      </c>
      <c r="P2" s="37" t="s">
        <v>469</v>
      </c>
      <c r="Q2" s="37" t="s">
        <v>440</v>
      </c>
      <c r="R2" s="37">
        <v>269</v>
      </c>
      <c r="S2" s="37" t="s">
        <v>454</v>
      </c>
      <c r="T2" s="37" t="s">
        <v>484</v>
      </c>
      <c r="U2" s="37" t="s">
        <v>490</v>
      </c>
      <c r="V2" s="37" t="s">
        <v>606</v>
      </c>
      <c r="W2" s="37">
        <v>21000</v>
      </c>
      <c r="X2" s="37">
        <v>89</v>
      </c>
      <c r="Y2" s="37">
        <v>20250</v>
      </c>
      <c r="Z2" s="37">
        <v>18000</v>
      </c>
      <c r="AA2" s="37">
        <v>2000</v>
      </c>
    </row>
    <row r="3" spans="1:27">
      <c r="A3" s="37">
        <v>201</v>
      </c>
      <c r="B3" s="37">
        <v>20</v>
      </c>
      <c r="C3" s="37">
        <v>46.256861299999997</v>
      </c>
      <c r="D3" s="37">
        <v>6.2029084999999986</v>
      </c>
      <c r="E3" s="37" t="s">
        <v>452</v>
      </c>
      <c r="F3" s="37" t="s">
        <v>607</v>
      </c>
      <c r="G3" s="37" t="s">
        <v>467</v>
      </c>
      <c r="H3" s="37" t="s">
        <v>468</v>
      </c>
      <c r="I3" s="37">
        <v>1000</v>
      </c>
      <c r="K3" s="37" t="s">
        <v>452</v>
      </c>
      <c r="L3" s="37" t="s">
        <v>451</v>
      </c>
      <c r="M3" s="37">
        <v>1000</v>
      </c>
      <c r="O3" s="37" t="s">
        <v>486</v>
      </c>
      <c r="P3" s="37" t="s">
        <v>469</v>
      </c>
      <c r="Q3" s="37" t="s">
        <v>440</v>
      </c>
      <c r="R3" s="37">
        <v>269</v>
      </c>
      <c r="S3" s="37" t="s">
        <v>454</v>
      </c>
      <c r="T3" s="37" t="s">
        <v>484</v>
      </c>
      <c r="U3" s="37" t="s">
        <v>490</v>
      </c>
      <c r="V3" s="37" t="s">
        <v>606</v>
      </c>
      <c r="W3" s="37">
        <v>21000</v>
      </c>
      <c r="X3" s="37">
        <v>89</v>
      </c>
      <c r="Y3" s="37">
        <v>20250</v>
      </c>
      <c r="Z3" s="37">
        <v>18000</v>
      </c>
      <c r="AA3" s="37">
        <v>2000</v>
      </c>
    </row>
    <row r="4" spans="1:27">
      <c r="A4" s="37">
        <v>202</v>
      </c>
      <c r="B4" s="37">
        <v>21</v>
      </c>
      <c r="C4" s="37">
        <v>4.8711560999999994</v>
      </c>
      <c r="D4" s="37">
        <v>114.9197964</v>
      </c>
      <c r="E4" s="37" t="s">
        <v>470</v>
      </c>
      <c r="F4" s="37" t="s">
        <v>3258</v>
      </c>
      <c r="G4" s="37" t="s">
        <v>447</v>
      </c>
      <c r="H4" s="37" t="s">
        <v>481</v>
      </c>
      <c r="I4" s="37">
        <v>2000</v>
      </c>
      <c r="J4" s="37" t="s">
        <v>3039</v>
      </c>
      <c r="K4" s="37" t="s">
        <v>474</v>
      </c>
      <c r="L4" s="37" t="s">
        <v>3254</v>
      </c>
      <c r="M4" s="37">
        <v>2000</v>
      </c>
      <c r="N4" s="37" t="s">
        <v>608</v>
      </c>
      <c r="O4" s="37" t="s">
        <v>485</v>
      </c>
      <c r="P4" s="37" t="s">
        <v>481</v>
      </c>
      <c r="Q4" s="37" t="s">
        <v>446</v>
      </c>
      <c r="R4" s="37">
        <v>650</v>
      </c>
      <c r="S4" s="37" t="s">
        <v>455</v>
      </c>
      <c r="T4" s="37" t="s">
        <v>493</v>
      </c>
      <c r="U4" s="37" t="s">
        <v>491</v>
      </c>
      <c r="V4" s="37" t="s">
        <v>442</v>
      </c>
      <c r="W4" s="37">
        <v>20000</v>
      </c>
      <c r="X4" s="37">
        <v>67</v>
      </c>
      <c r="Y4" s="37">
        <v>576500</v>
      </c>
      <c r="Z4" s="37">
        <v>37000</v>
      </c>
      <c r="AA4" s="37">
        <v>25000</v>
      </c>
    </row>
    <row r="9" spans="1:27">
      <c r="F9" s="1"/>
    </row>
    <row r="10" spans="1:27">
      <c r="F10" s="2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2"/>
  <dimension ref="A1:N17"/>
  <sheetViews>
    <sheetView workbookViewId="0">
      <selection activeCell="I16" sqref="I16:I17"/>
    </sheetView>
  </sheetViews>
  <sheetFormatPr defaultRowHeight="15"/>
  <cols>
    <col min="1" max="1" width="12.85546875" style="9" customWidth="1"/>
    <col min="2" max="4" width="9.140625" style="9"/>
    <col min="5" max="5" width="16.85546875" style="9" customWidth="1"/>
    <col min="6" max="7" width="9.140625" style="9"/>
    <col min="8" max="8" width="16.140625" style="9" customWidth="1"/>
    <col min="9" max="16384" width="9.140625" style="9"/>
  </cols>
  <sheetData>
    <row r="1" spans="1:14">
      <c r="A1" s="8" t="s">
        <v>17</v>
      </c>
      <c r="B1" s="8" t="s">
        <v>8</v>
      </c>
      <c r="C1" s="8" t="s">
        <v>1</v>
      </c>
      <c r="D1" s="8" t="s">
        <v>7</v>
      </c>
      <c r="E1" s="8" t="s">
        <v>134</v>
      </c>
      <c r="F1" s="8" t="s">
        <v>295</v>
      </c>
      <c r="G1" s="8" t="s">
        <v>0</v>
      </c>
      <c r="H1" s="8" t="s">
        <v>86</v>
      </c>
      <c r="I1" s="8" t="s">
        <v>97</v>
      </c>
      <c r="J1" s="8" t="s">
        <v>20</v>
      </c>
      <c r="K1" s="8" t="s">
        <v>94</v>
      </c>
      <c r="L1" s="8" t="s">
        <v>95</v>
      </c>
      <c r="M1" s="8" t="s">
        <v>243</v>
      </c>
      <c r="N1" s="9" t="s">
        <v>316</v>
      </c>
    </row>
    <row r="2" spans="1:14">
      <c r="A2" s="9">
        <v>1</v>
      </c>
      <c r="B2" s="9">
        <v>100</v>
      </c>
      <c r="C2" s="9">
        <v>1</v>
      </c>
      <c r="D2" s="9" t="s">
        <v>4</v>
      </c>
      <c r="E2" s="9" t="s">
        <v>9</v>
      </c>
      <c r="F2" s="9" t="s">
        <v>82</v>
      </c>
      <c r="G2" s="9" t="s">
        <v>621</v>
      </c>
      <c r="H2" s="9" t="s">
        <v>78</v>
      </c>
      <c r="I2" s="9" t="s">
        <v>73</v>
      </c>
      <c r="J2" s="9" t="s">
        <v>3023</v>
      </c>
      <c r="K2" s="9">
        <v>37.422176999999998</v>
      </c>
      <c r="L2" s="9">
        <v>-122.083099</v>
      </c>
      <c r="M2" s="9" t="s">
        <v>3036</v>
      </c>
      <c r="N2" s="9" t="s">
        <v>622</v>
      </c>
    </row>
    <row r="3" spans="1:14">
      <c r="A3" s="9">
        <v>2</v>
      </c>
      <c r="B3" s="9">
        <v>20</v>
      </c>
      <c r="C3" s="9">
        <v>23</v>
      </c>
      <c r="D3" s="9" t="s">
        <v>5</v>
      </c>
      <c r="E3" s="9" t="s">
        <v>101</v>
      </c>
      <c r="F3" s="9" t="s">
        <v>244</v>
      </c>
      <c r="G3" s="9" t="s">
        <v>2</v>
      </c>
      <c r="H3" s="9" t="s">
        <v>100</v>
      </c>
      <c r="I3" s="9" t="s">
        <v>3024</v>
      </c>
      <c r="J3" s="9" t="s">
        <v>116</v>
      </c>
      <c r="K3" s="9">
        <v>50.838259400000013</v>
      </c>
      <c r="L3" s="9">
        <v>4.3600903999999998</v>
      </c>
      <c r="M3" s="9" t="s">
        <v>289</v>
      </c>
    </row>
    <row r="4" spans="1:14">
      <c r="A4" s="9">
        <v>1</v>
      </c>
      <c r="B4" s="9">
        <v>12</v>
      </c>
      <c r="C4" s="9">
        <v>2</v>
      </c>
      <c r="D4" s="9" t="s">
        <v>6</v>
      </c>
      <c r="E4" s="9" t="s">
        <v>9</v>
      </c>
      <c r="F4" s="9" t="s">
        <v>82</v>
      </c>
      <c r="G4" s="9" t="s">
        <v>621</v>
      </c>
      <c r="H4" s="9" t="s">
        <v>78</v>
      </c>
      <c r="I4" s="9" t="s">
        <v>73</v>
      </c>
      <c r="J4" s="9" t="s">
        <v>3023</v>
      </c>
      <c r="K4" s="9">
        <v>37.422176999999998</v>
      </c>
      <c r="L4" s="9">
        <v>-122.083099</v>
      </c>
      <c r="M4" s="9" t="s">
        <v>3036</v>
      </c>
      <c r="N4" s="9" t="s">
        <v>622</v>
      </c>
    </row>
    <row r="5" spans="1:14">
      <c r="A5" s="9">
        <v>8</v>
      </c>
      <c r="B5" s="9">
        <v>67</v>
      </c>
      <c r="C5" s="9">
        <v>4</v>
      </c>
      <c r="D5" s="9" t="s">
        <v>13</v>
      </c>
      <c r="E5" s="9" t="s">
        <v>125</v>
      </c>
      <c r="F5" s="9" t="s">
        <v>248</v>
      </c>
      <c r="G5" s="9" t="s">
        <v>122</v>
      </c>
      <c r="H5" s="9" t="s">
        <v>124</v>
      </c>
      <c r="I5" s="9" t="s">
        <v>123</v>
      </c>
      <c r="J5" s="9" t="s">
        <v>3030</v>
      </c>
      <c r="K5" s="9">
        <v>5.5659042999999997</v>
      </c>
      <c r="L5" s="9">
        <v>-0.1934785</v>
      </c>
      <c r="M5" s="9" t="s">
        <v>3037</v>
      </c>
    </row>
    <row r="6" spans="1:14">
      <c r="A6" s="9">
        <v>1</v>
      </c>
      <c r="B6" s="9">
        <v>100</v>
      </c>
      <c r="C6" s="9">
        <v>58</v>
      </c>
      <c r="D6" s="9" t="s">
        <v>12</v>
      </c>
      <c r="E6" s="9" t="s">
        <v>9</v>
      </c>
      <c r="F6" s="9" t="s">
        <v>82</v>
      </c>
      <c r="G6" s="9" t="s">
        <v>621</v>
      </c>
      <c r="H6" s="9" t="s">
        <v>78</v>
      </c>
      <c r="I6" s="9" t="s">
        <v>73</v>
      </c>
      <c r="J6" s="9" t="s">
        <v>3023</v>
      </c>
      <c r="K6" s="9">
        <v>37.422176999999998</v>
      </c>
      <c r="L6" s="9">
        <v>-122.083099</v>
      </c>
      <c r="M6" s="9" t="s">
        <v>3036</v>
      </c>
      <c r="N6" s="9" t="s">
        <v>622</v>
      </c>
    </row>
    <row r="7" spans="1:14">
      <c r="A7" s="9">
        <v>2</v>
      </c>
      <c r="B7" s="9">
        <v>11</v>
      </c>
      <c r="C7" s="9">
        <v>17</v>
      </c>
      <c r="D7" s="9" t="s">
        <v>6</v>
      </c>
      <c r="E7" s="9" t="s">
        <v>101</v>
      </c>
      <c r="F7" s="9" t="s">
        <v>244</v>
      </c>
      <c r="G7" s="9" t="s">
        <v>2</v>
      </c>
      <c r="H7" s="9" t="s">
        <v>100</v>
      </c>
      <c r="I7" s="9" t="s">
        <v>3024</v>
      </c>
      <c r="J7" s="9" t="s">
        <v>116</v>
      </c>
      <c r="K7" s="9">
        <v>50.838259400000013</v>
      </c>
      <c r="L7" s="9">
        <v>4.3600903999999998</v>
      </c>
      <c r="M7" s="9" t="s">
        <v>289</v>
      </c>
    </row>
    <row r="8" spans="1:14">
      <c r="A8" s="9">
        <v>6</v>
      </c>
      <c r="B8" s="9">
        <v>20</v>
      </c>
      <c r="C8" s="9">
        <v>80</v>
      </c>
      <c r="D8" s="9" t="s">
        <v>13</v>
      </c>
      <c r="E8" s="9" t="s">
        <v>103</v>
      </c>
      <c r="F8" s="9" t="s">
        <v>102</v>
      </c>
      <c r="G8" s="9" t="s">
        <v>3</v>
      </c>
      <c r="H8" s="9" t="s">
        <v>111</v>
      </c>
      <c r="I8" s="9" t="s">
        <v>110</v>
      </c>
      <c r="J8" s="9" t="s">
        <v>112</v>
      </c>
      <c r="K8" s="9">
        <v>55.953251999999999</v>
      </c>
      <c r="L8" s="9">
        <v>-3.1882670000000002</v>
      </c>
      <c r="M8" s="9" t="s">
        <v>290</v>
      </c>
    </row>
    <row r="9" spans="1:14">
      <c r="A9" s="9">
        <v>7</v>
      </c>
      <c r="B9" s="9">
        <v>40</v>
      </c>
      <c r="C9" s="9">
        <v>12</v>
      </c>
      <c r="D9" s="9" t="s">
        <v>12</v>
      </c>
      <c r="E9" s="9" t="s">
        <v>120</v>
      </c>
      <c r="F9" s="9" t="s">
        <v>247</v>
      </c>
      <c r="G9" s="9" t="s">
        <v>118</v>
      </c>
      <c r="H9" s="9" t="s">
        <v>3026</v>
      </c>
      <c r="I9" s="9" t="s">
        <v>119</v>
      </c>
      <c r="J9" s="9" t="s">
        <v>3028</v>
      </c>
      <c r="K9" s="9">
        <v>55.746668999999997</v>
      </c>
      <c r="L9" s="9">
        <v>37.626409000000002</v>
      </c>
      <c r="M9" s="9" t="s">
        <v>3038</v>
      </c>
    </row>
    <row r="16" spans="1:14">
      <c r="I16" s="1"/>
    </row>
    <row r="17" spans="9:9">
      <c r="I17" s="21"/>
    </row>
  </sheetData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9"/>
  <dimension ref="A1:I14"/>
  <sheetViews>
    <sheetView workbookViewId="0">
      <selection activeCell="I13" sqref="I13:I14"/>
    </sheetView>
  </sheetViews>
  <sheetFormatPr defaultColWidth="9.140625" defaultRowHeight="15"/>
  <cols>
    <col min="1" max="1" width="12.7109375" customWidth="1"/>
    <col min="2" max="3" width="11.28515625" customWidth="1"/>
    <col min="4" max="4" width="10.140625" customWidth="1"/>
  </cols>
  <sheetData>
    <row r="1" spans="1:9">
      <c r="A1" s="6" t="s">
        <v>17</v>
      </c>
      <c r="B1" s="6" t="s">
        <v>8</v>
      </c>
      <c r="C1" s="6" t="s">
        <v>1</v>
      </c>
      <c r="D1" s="6" t="s">
        <v>7</v>
      </c>
    </row>
    <row r="2" spans="1:9" ht="20.25" customHeight="1">
      <c r="A2">
        <v>1</v>
      </c>
      <c r="B2">
        <v>100</v>
      </c>
      <c r="C2">
        <v>1</v>
      </c>
      <c r="D2" t="s">
        <v>4</v>
      </c>
    </row>
    <row r="3" spans="1:9">
      <c r="A3">
        <v>2</v>
      </c>
      <c r="B3">
        <v>20</v>
      </c>
      <c r="C3">
        <v>23</v>
      </c>
      <c r="D3" t="s">
        <v>5</v>
      </c>
    </row>
    <row r="4" spans="1:9">
      <c r="A4">
        <v>1</v>
      </c>
      <c r="B4">
        <v>12</v>
      </c>
      <c r="C4">
        <v>2</v>
      </c>
      <c r="D4" t="s">
        <v>6</v>
      </c>
    </row>
    <row r="5" spans="1:9">
      <c r="A5">
        <v>8</v>
      </c>
      <c r="B5">
        <v>67</v>
      </c>
      <c r="C5">
        <v>4</v>
      </c>
      <c r="D5" t="s">
        <v>13</v>
      </c>
    </row>
    <row r="6" spans="1:9">
      <c r="A6">
        <v>1</v>
      </c>
      <c r="B6">
        <v>100</v>
      </c>
      <c r="C6">
        <v>58</v>
      </c>
      <c r="D6" t="s">
        <v>12</v>
      </c>
    </row>
    <row r="7" spans="1:9">
      <c r="A7">
        <v>2</v>
      </c>
      <c r="B7">
        <v>11</v>
      </c>
      <c r="C7">
        <v>17</v>
      </c>
      <c r="D7" t="s">
        <v>6</v>
      </c>
    </row>
    <row r="8" spans="1:9">
      <c r="A8">
        <v>6</v>
      </c>
      <c r="B8">
        <v>20</v>
      </c>
      <c r="C8">
        <v>80</v>
      </c>
      <c r="D8" t="s">
        <v>13</v>
      </c>
    </row>
    <row r="9" spans="1:9">
      <c r="A9">
        <v>7</v>
      </c>
      <c r="B9">
        <v>40</v>
      </c>
      <c r="C9">
        <v>12</v>
      </c>
      <c r="D9" t="s">
        <v>12</v>
      </c>
    </row>
    <row r="13" spans="1:9">
      <c r="I13" s="1" t="s">
        <v>662</v>
      </c>
    </row>
    <row r="14" spans="1:9">
      <c r="I14" s="21" t="s">
        <v>661</v>
      </c>
    </row>
  </sheetData>
  <hyperlinks>
    <hyperlink ref="I14" r:id="rId1"/>
  </hyperlinks>
  <pageMargins left="0.7" right="0.7" top="0.75" bottom="0.75" header="0.3" footer="0.3"/>
  <pageSetup orientation="portrait" horizontalDpi="1200" verticalDpi="1200"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33"/>
  <dimension ref="A1:Q52"/>
  <sheetViews>
    <sheetView topLeftCell="A29" workbookViewId="0">
      <selection activeCell="J51" sqref="J51:J52"/>
    </sheetView>
  </sheetViews>
  <sheetFormatPr defaultColWidth="8.28515625" defaultRowHeight="20.100000000000001" customHeight="1"/>
  <cols>
    <col min="1" max="1" width="10.7109375" style="62" customWidth="1"/>
    <col min="2" max="2" width="10.140625" style="14" customWidth="1"/>
    <col min="3" max="3" width="11.85546875" style="14" customWidth="1"/>
    <col min="4" max="4" width="8.28515625" style="14"/>
    <col min="5" max="5" width="12" style="14" customWidth="1"/>
    <col min="6" max="6" width="7" style="14" customWidth="1"/>
    <col min="7" max="7" width="18.85546875" style="14" customWidth="1"/>
    <col min="8" max="9" width="8.28515625" style="14"/>
    <col min="10" max="10" width="28.5703125" style="14" customWidth="1"/>
    <col min="11" max="16384" width="8.28515625" style="14"/>
  </cols>
  <sheetData>
    <row r="1" spans="1:17" ht="20.100000000000001" customHeight="1">
      <c r="A1" s="61" t="s">
        <v>513</v>
      </c>
      <c r="B1" s="61" t="s">
        <v>517</v>
      </c>
      <c r="C1" s="61" t="s">
        <v>526</v>
      </c>
      <c r="D1" s="12" t="s">
        <v>535</v>
      </c>
      <c r="E1" s="14" t="s">
        <v>94</v>
      </c>
      <c r="F1" s="14" t="s">
        <v>95</v>
      </c>
      <c r="G1" s="14" t="s">
        <v>557</v>
      </c>
      <c r="H1" s="14" t="s">
        <v>243</v>
      </c>
      <c r="I1" s="14" t="s">
        <v>134</v>
      </c>
      <c r="J1" s="14" t="s">
        <v>10</v>
      </c>
      <c r="K1" s="14" t="s">
        <v>86</v>
      </c>
      <c r="L1" s="14" t="s">
        <v>97</v>
      </c>
      <c r="M1" s="14" t="s">
        <v>20</v>
      </c>
      <c r="N1" s="14" t="s">
        <v>514</v>
      </c>
      <c r="O1" s="14" t="s">
        <v>317</v>
      </c>
      <c r="P1" s="14" t="s">
        <v>518</v>
      </c>
      <c r="Q1" s="14" t="s">
        <v>316</v>
      </c>
    </row>
    <row r="2" spans="1:17" ht="20.100000000000001" customHeight="1">
      <c r="A2" s="62">
        <v>20</v>
      </c>
      <c r="B2" s="14">
        <v>1</v>
      </c>
      <c r="C2" s="14">
        <v>1</v>
      </c>
      <c r="D2" s="14">
        <v>201</v>
      </c>
      <c r="E2" s="14">
        <v>51.501364000000002</v>
      </c>
      <c r="F2" s="14">
        <v>-0.14188999999999999</v>
      </c>
      <c r="G2" s="14" t="s">
        <v>542</v>
      </c>
      <c r="H2" s="14" t="s">
        <v>569</v>
      </c>
      <c r="I2" s="14" t="s">
        <v>103</v>
      </c>
      <c r="J2" s="14" t="s">
        <v>102</v>
      </c>
      <c r="K2" s="34" t="s">
        <v>810</v>
      </c>
      <c r="L2" s="14" t="s">
        <v>565</v>
      </c>
      <c r="M2" s="14" t="s">
        <v>3013</v>
      </c>
      <c r="N2" s="14" t="s">
        <v>520</v>
      </c>
      <c r="O2" s="14" t="s">
        <v>527</v>
      </c>
      <c r="P2" s="14" t="s">
        <v>519</v>
      </c>
      <c r="Q2" s="14" t="s">
        <v>666</v>
      </c>
    </row>
    <row r="3" spans="1:17" ht="20.100000000000001" customHeight="1">
      <c r="A3" s="62">
        <v>21</v>
      </c>
      <c r="B3" s="14">
        <v>1</v>
      </c>
      <c r="C3" s="14">
        <v>1</v>
      </c>
      <c r="D3" s="14">
        <v>201</v>
      </c>
      <c r="E3" s="14">
        <v>51.501364000000002</v>
      </c>
      <c r="F3" s="14">
        <v>-0.14188999999999999</v>
      </c>
      <c r="G3" s="14" t="s">
        <v>542</v>
      </c>
      <c r="H3" s="14" t="s">
        <v>569</v>
      </c>
      <c r="I3" s="14" t="s">
        <v>103</v>
      </c>
      <c r="J3" s="14" t="s">
        <v>102</v>
      </c>
      <c r="K3" s="14" t="s">
        <v>810</v>
      </c>
      <c r="L3" s="14" t="s">
        <v>565</v>
      </c>
      <c r="M3" s="14" t="s">
        <v>3013</v>
      </c>
      <c r="N3" s="14" t="s">
        <v>521</v>
      </c>
      <c r="O3" s="14" t="s">
        <v>528</v>
      </c>
      <c r="P3" s="14" t="s">
        <v>519</v>
      </c>
      <c r="Q3" s="14" t="s">
        <v>666</v>
      </c>
    </row>
    <row r="4" spans="1:17" ht="20.100000000000001" customHeight="1">
      <c r="A4" s="62">
        <v>23</v>
      </c>
      <c r="B4" s="14">
        <v>1</v>
      </c>
      <c r="C4" s="14">
        <v>2</v>
      </c>
      <c r="D4" s="14">
        <v>201</v>
      </c>
      <c r="E4" s="14">
        <v>51.501364000000002</v>
      </c>
      <c r="F4" s="14">
        <v>-0.14188999999999999</v>
      </c>
      <c r="G4" s="14" t="s">
        <v>542</v>
      </c>
      <c r="H4" s="14" t="s">
        <v>569</v>
      </c>
      <c r="I4" s="14" t="s">
        <v>103</v>
      </c>
      <c r="J4" s="14" t="s">
        <v>102</v>
      </c>
      <c r="K4" s="14" t="s">
        <v>810</v>
      </c>
      <c r="L4" s="14" t="s">
        <v>565</v>
      </c>
      <c r="M4" s="14" t="s">
        <v>3013</v>
      </c>
      <c r="N4" s="14" t="s">
        <v>523</v>
      </c>
      <c r="O4" s="14" t="s">
        <v>529</v>
      </c>
      <c r="P4" s="14" t="s">
        <v>519</v>
      </c>
      <c r="Q4" s="14" t="s">
        <v>666</v>
      </c>
    </row>
    <row r="5" spans="1:17" ht="20.100000000000001" customHeight="1">
      <c r="A5" s="62">
        <v>25</v>
      </c>
      <c r="B5" s="14">
        <v>1</v>
      </c>
      <c r="C5" s="14">
        <v>2</v>
      </c>
      <c r="D5" s="14">
        <v>201</v>
      </c>
      <c r="E5" s="14">
        <v>51.501364000000002</v>
      </c>
      <c r="F5" s="14">
        <v>-0.14188999999999999</v>
      </c>
      <c r="G5" s="14" t="s">
        <v>542</v>
      </c>
      <c r="H5" s="14" t="s">
        <v>569</v>
      </c>
      <c r="I5" s="14" t="s">
        <v>103</v>
      </c>
      <c r="J5" s="14" t="s">
        <v>102</v>
      </c>
      <c r="K5" s="14" t="s">
        <v>810</v>
      </c>
      <c r="L5" s="14" t="s">
        <v>565</v>
      </c>
      <c r="M5" s="14" t="s">
        <v>3013</v>
      </c>
      <c r="N5" s="14" t="s">
        <v>525</v>
      </c>
      <c r="O5" s="14" t="s">
        <v>577</v>
      </c>
      <c r="P5" s="14" t="s">
        <v>519</v>
      </c>
      <c r="Q5" s="14" t="s">
        <v>666</v>
      </c>
    </row>
    <row r="6" spans="1:17" ht="20.100000000000001" customHeight="1">
      <c r="A6" s="62">
        <v>22</v>
      </c>
      <c r="B6" s="14">
        <v>1</v>
      </c>
      <c r="C6" s="14">
        <v>2</v>
      </c>
      <c r="D6" s="14">
        <v>201</v>
      </c>
      <c r="E6" s="14">
        <v>51.501364000000002</v>
      </c>
      <c r="F6" s="14">
        <v>-0.14188999999999999</v>
      </c>
      <c r="G6" s="14" t="s">
        <v>542</v>
      </c>
      <c r="H6" s="14" t="s">
        <v>569</v>
      </c>
      <c r="I6" s="14" t="s">
        <v>103</v>
      </c>
      <c r="J6" s="14" t="s">
        <v>102</v>
      </c>
      <c r="K6" s="14" t="s">
        <v>810</v>
      </c>
      <c r="L6" s="14" t="s">
        <v>565</v>
      </c>
      <c r="M6" s="14" t="s">
        <v>3013</v>
      </c>
      <c r="N6" s="14" t="s">
        <v>522</v>
      </c>
      <c r="O6" s="14" t="s">
        <v>530</v>
      </c>
      <c r="P6" s="14" t="s">
        <v>519</v>
      </c>
      <c r="Q6" s="14" t="s">
        <v>666</v>
      </c>
    </row>
    <row r="7" spans="1:17" ht="20.100000000000001" customHeight="1">
      <c r="A7" s="62">
        <v>24</v>
      </c>
      <c r="B7" s="14">
        <v>1</v>
      </c>
      <c r="C7" s="14">
        <v>2</v>
      </c>
      <c r="D7" s="14">
        <v>201</v>
      </c>
      <c r="E7" s="14">
        <v>51.501364000000002</v>
      </c>
      <c r="F7" s="14">
        <v>-0.14188999999999999</v>
      </c>
      <c r="G7" s="14" t="s">
        <v>542</v>
      </c>
      <c r="H7" s="14" t="s">
        <v>569</v>
      </c>
      <c r="I7" s="14" t="s">
        <v>103</v>
      </c>
      <c r="J7" s="14" t="s">
        <v>102</v>
      </c>
      <c r="K7" s="14" t="s">
        <v>810</v>
      </c>
      <c r="L7" s="14" t="s">
        <v>565</v>
      </c>
      <c r="M7" s="14" t="s">
        <v>3013</v>
      </c>
      <c r="N7" s="14" t="s">
        <v>524</v>
      </c>
      <c r="O7" s="14" t="s">
        <v>531</v>
      </c>
      <c r="P7" s="14" t="s">
        <v>519</v>
      </c>
      <c r="Q7" s="14" t="s">
        <v>666</v>
      </c>
    </row>
    <row r="8" spans="1:17" ht="20.100000000000001" customHeight="1">
      <c r="A8" s="62">
        <v>26</v>
      </c>
      <c r="B8" s="14">
        <v>1</v>
      </c>
      <c r="C8" s="14">
        <v>3</v>
      </c>
      <c r="D8" s="14">
        <v>201</v>
      </c>
      <c r="E8" s="14">
        <v>51.501364000000002</v>
      </c>
      <c r="F8" s="14">
        <v>-0.14188999999999999</v>
      </c>
      <c r="G8" s="14" t="s">
        <v>542</v>
      </c>
      <c r="H8" s="14" t="s">
        <v>569</v>
      </c>
      <c r="I8" s="14" t="s">
        <v>103</v>
      </c>
      <c r="J8" s="14" t="s">
        <v>102</v>
      </c>
      <c r="K8" s="14" t="s">
        <v>810</v>
      </c>
      <c r="L8" s="14" t="s">
        <v>565</v>
      </c>
      <c r="M8" s="14" t="s">
        <v>3013</v>
      </c>
      <c r="N8" s="14" t="s">
        <v>533</v>
      </c>
      <c r="O8" s="14" t="s">
        <v>532</v>
      </c>
      <c r="P8" s="14" t="s">
        <v>519</v>
      </c>
      <c r="Q8" s="14" t="s">
        <v>666</v>
      </c>
    </row>
    <row r="9" spans="1:17" ht="20.100000000000001" customHeight="1">
      <c r="A9" s="62">
        <v>30</v>
      </c>
      <c r="B9" s="14">
        <v>1</v>
      </c>
      <c r="C9" s="14">
        <v>3</v>
      </c>
      <c r="D9" s="14">
        <v>201</v>
      </c>
      <c r="E9" s="14">
        <v>51.501364000000002</v>
      </c>
      <c r="F9" s="14">
        <v>-0.14188999999999999</v>
      </c>
      <c r="G9" s="14" t="s">
        <v>542</v>
      </c>
      <c r="H9" s="14" t="s">
        <v>569</v>
      </c>
      <c r="I9" s="14" t="s">
        <v>103</v>
      </c>
      <c r="J9" s="14" t="s">
        <v>102</v>
      </c>
      <c r="K9" s="14" t="s">
        <v>810</v>
      </c>
      <c r="L9" s="14" t="s">
        <v>565</v>
      </c>
      <c r="M9" s="14" t="s">
        <v>3013</v>
      </c>
      <c r="N9" s="14" t="s">
        <v>601</v>
      </c>
      <c r="O9" s="14" t="s">
        <v>600</v>
      </c>
      <c r="P9" s="14" t="s">
        <v>519</v>
      </c>
      <c r="Q9" s="14" t="s">
        <v>666</v>
      </c>
    </row>
    <row r="10" spans="1:17" ht="20.100000000000001" customHeight="1">
      <c r="A10" s="62">
        <v>22</v>
      </c>
      <c r="B10" s="14">
        <v>3</v>
      </c>
      <c r="C10" s="14">
        <v>1</v>
      </c>
      <c r="D10" s="14">
        <v>204</v>
      </c>
      <c r="E10" s="14">
        <v>51.424085099999999</v>
      </c>
      <c r="F10" s="14">
        <v>-0.61777110000000002</v>
      </c>
      <c r="G10" s="14" t="s">
        <v>548</v>
      </c>
      <c r="H10" s="14" t="s">
        <v>3250</v>
      </c>
      <c r="I10" s="14" t="s">
        <v>103</v>
      </c>
      <c r="J10" s="14" t="s">
        <v>102</v>
      </c>
      <c r="K10" s="14" t="s">
        <v>3244</v>
      </c>
      <c r="L10" s="14" t="s">
        <v>519</v>
      </c>
      <c r="M10" s="14" t="s">
        <v>3246</v>
      </c>
      <c r="N10" s="14" t="s">
        <v>522</v>
      </c>
      <c r="O10" s="14" t="s">
        <v>530</v>
      </c>
      <c r="P10" s="14" t="s">
        <v>536</v>
      </c>
      <c r="Q10" s="14" t="s">
        <v>582</v>
      </c>
    </row>
    <row r="11" spans="1:17" ht="20.100000000000001" customHeight="1">
      <c r="A11" s="62">
        <v>25</v>
      </c>
      <c r="B11" s="14">
        <v>8</v>
      </c>
      <c r="C11" s="14">
        <v>1</v>
      </c>
      <c r="D11" s="14">
        <v>206</v>
      </c>
      <c r="E11" s="14">
        <v>51.691686799999999</v>
      </c>
      <c r="F11" s="14">
        <v>-2.1743469000000002</v>
      </c>
      <c r="G11" s="14" t="s">
        <v>552</v>
      </c>
      <c r="H11" s="14" t="s">
        <v>574</v>
      </c>
      <c r="I11" s="14" t="s">
        <v>103</v>
      </c>
      <c r="J11" s="14" t="s">
        <v>102</v>
      </c>
      <c r="K11" s="14" t="s">
        <v>573</v>
      </c>
      <c r="M11" s="14" t="s">
        <v>815</v>
      </c>
      <c r="N11" s="14" t="s">
        <v>525</v>
      </c>
      <c r="O11" s="14" t="s">
        <v>577</v>
      </c>
      <c r="P11" s="14" t="s">
        <v>629</v>
      </c>
      <c r="Q11" s="14" t="s">
        <v>584</v>
      </c>
    </row>
    <row r="12" spans="1:17" ht="20.100000000000001" customHeight="1">
      <c r="A12" s="62">
        <v>28</v>
      </c>
      <c r="B12" s="14">
        <v>7</v>
      </c>
      <c r="C12" s="14">
        <v>1</v>
      </c>
      <c r="D12" s="14">
        <v>203</v>
      </c>
      <c r="E12" s="14">
        <v>51.504045300000001</v>
      </c>
      <c r="F12" s="14">
        <v>-0.13855339999999999</v>
      </c>
      <c r="G12" s="14" t="s">
        <v>547</v>
      </c>
      <c r="H12" s="14" t="s">
        <v>570</v>
      </c>
      <c r="I12" s="14" t="s">
        <v>103</v>
      </c>
      <c r="J12" s="14" t="s">
        <v>102</v>
      </c>
      <c r="K12" s="14" t="s">
        <v>810</v>
      </c>
      <c r="L12" s="14" t="s">
        <v>565</v>
      </c>
      <c r="M12" s="14" t="s">
        <v>811</v>
      </c>
      <c r="N12" s="14" t="s">
        <v>579</v>
      </c>
      <c r="O12" s="14" t="s">
        <v>578</v>
      </c>
      <c r="P12" s="14" t="s">
        <v>592</v>
      </c>
      <c r="Q12" s="14" t="s">
        <v>581</v>
      </c>
    </row>
    <row r="13" spans="1:17" ht="20.100000000000001" customHeight="1">
      <c r="A13" s="62">
        <v>23</v>
      </c>
      <c r="B13" s="14">
        <v>7</v>
      </c>
      <c r="C13" s="14">
        <v>1</v>
      </c>
      <c r="D13" s="14">
        <v>203</v>
      </c>
      <c r="E13" s="14">
        <v>51.504045300000001</v>
      </c>
      <c r="F13" s="14">
        <v>-0.13855339999999999</v>
      </c>
      <c r="G13" s="14" t="s">
        <v>547</v>
      </c>
      <c r="H13" s="14" t="s">
        <v>570</v>
      </c>
      <c r="I13" s="14" t="s">
        <v>103</v>
      </c>
      <c r="J13" s="14" t="s">
        <v>102</v>
      </c>
      <c r="K13" s="14" t="s">
        <v>810</v>
      </c>
      <c r="L13" s="14" t="s">
        <v>565</v>
      </c>
      <c r="M13" s="14" t="s">
        <v>811</v>
      </c>
      <c r="N13" s="14" t="s">
        <v>523</v>
      </c>
      <c r="O13" s="14" t="s">
        <v>529</v>
      </c>
      <c r="P13" s="14" t="s">
        <v>592</v>
      </c>
      <c r="Q13" s="14" t="s">
        <v>581</v>
      </c>
    </row>
    <row r="14" spans="1:17" ht="20.100000000000001" customHeight="1">
      <c r="A14" s="62">
        <v>30</v>
      </c>
      <c r="B14" s="14">
        <v>7</v>
      </c>
      <c r="C14" s="14">
        <v>2</v>
      </c>
      <c r="D14" s="14">
        <v>203</v>
      </c>
      <c r="E14" s="14">
        <v>51.504045300000001</v>
      </c>
      <c r="F14" s="14">
        <v>-0.13855339999999999</v>
      </c>
      <c r="G14" s="14" t="s">
        <v>547</v>
      </c>
      <c r="H14" s="14" t="s">
        <v>570</v>
      </c>
      <c r="I14" s="14" t="s">
        <v>103</v>
      </c>
      <c r="J14" s="14" t="s">
        <v>102</v>
      </c>
      <c r="K14" s="14" t="s">
        <v>810</v>
      </c>
      <c r="L14" s="14" t="s">
        <v>565</v>
      </c>
      <c r="M14" s="14" t="s">
        <v>811</v>
      </c>
      <c r="N14" s="14" t="s">
        <v>601</v>
      </c>
      <c r="O14" s="14" t="s">
        <v>600</v>
      </c>
      <c r="P14" s="14" t="s">
        <v>592</v>
      </c>
      <c r="Q14" s="14" t="s">
        <v>581</v>
      </c>
    </row>
    <row r="15" spans="1:17" ht="20.100000000000001" customHeight="1">
      <c r="A15" s="62">
        <v>29</v>
      </c>
      <c r="B15" s="14">
        <v>2</v>
      </c>
      <c r="C15" s="14">
        <v>1</v>
      </c>
      <c r="D15" s="14">
        <v>202</v>
      </c>
      <c r="E15" s="14">
        <v>51.505152000000002</v>
      </c>
      <c r="F15" s="14">
        <v>-0.187662</v>
      </c>
      <c r="G15" s="14" t="s">
        <v>544</v>
      </c>
      <c r="H15" s="14" t="s">
        <v>817</v>
      </c>
      <c r="I15" s="14" t="s">
        <v>103</v>
      </c>
      <c r="J15" s="14" t="s">
        <v>102</v>
      </c>
      <c r="K15" s="14" t="s">
        <v>810</v>
      </c>
      <c r="L15" s="14" t="s">
        <v>565</v>
      </c>
      <c r="M15" s="14" t="s">
        <v>3016</v>
      </c>
      <c r="N15" s="14" t="s">
        <v>588</v>
      </c>
      <c r="O15" s="14" t="s">
        <v>589</v>
      </c>
      <c r="P15" s="14" t="s">
        <v>593</v>
      </c>
      <c r="Q15" s="14" t="s">
        <v>580</v>
      </c>
    </row>
    <row r="16" spans="1:17" ht="20.100000000000001" customHeight="1">
      <c r="A16" s="62">
        <v>23</v>
      </c>
      <c r="B16" s="14">
        <v>2</v>
      </c>
      <c r="C16" s="14">
        <v>1</v>
      </c>
      <c r="D16" s="14">
        <v>202</v>
      </c>
      <c r="E16" s="14">
        <v>51.505152000000002</v>
      </c>
      <c r="F16" s="14">
        <v>-0.187662</v>
      </c>
      <c r="G16" s="14" t="s">
        <v>544</v>
      </c>
      <c r="H16" s="14" t="s">
        <v>817</v>
      </c>
      <c r="I16" s="14" t="s">
        <v>103</v>
      </c>
      <c r="J16" s="14" t="s">
        <v>102</v>
      </c>
      <c r="K16" s="14" t="s">
        <v>810</v>
      </c>
      <c r="L16" s="14" t="s">
        <v>565</v>
      </c>
      <c r="M16" s="14" t="s">
        <v>3016</v>
      </c>
      <c r="N16" s="14" t="s">
        <v>523</v>
      </c>
      <c r="O16" s="14" t="s">
        <v>529</v>
      </c>
      <c r="P16" s="14" t="s">
        <v>593</v>
      </c>
      <c r="Q16" s="14" t="s">
        <v>580</v>
      </c>
    </row>
    <row r="17" spans="1:17" ht="20.100000000000001" customHeight="1">
      <c r="A17" s="62">
        <v>26</v>
      </c>
      <c r="B17" s="14">
        <v>2</v>
      </c>
      <c r="C17" s="14">
        <v>2</v>
      </c>
      <c r="D17" s="14">
        <v>202</v>
      </c>
      <c r="E17" s="14">
        <v>51.505152000000002</v>
      </c>
      <c r="F17" s="14">
        <v>-0.187662</v>
      </c>
      <c r="G17" s="14" t="s">
        <v>544</v>
      </c>
      <c r="H17" s="14" t="s">
        <v>817</v>
      </c>
      <c r="I17" s="14" t="s">
        <v>103</v>
      </c>
      <c r="J17" s="14" t="s">
        <v>102</v>
      </c>
      <c r="K17" s="14" t="s">
        <v>810</v>
      </c>
      <c r="L17" s="14" t="s">
        <v>565</v>
      </c>
      <c r="M17" s="14" t="s">
        <v>3016</v>
      </c>
      <c r="N17" s="14" t="s">
        <v>533</v>
      </c>
      <c r="O17" s="14" t="s">
        <v>532</v>
      </c>
      <c r="P17" s="14" t="s">
        <v>593</v>
      </c>
      <c r="Q17" s="14" t="s">
        <v>580</v>
      </c>
    </row>
    <row r="18" spans="1:17" ht="20.100000000000001" customHeight="1">
      <c r="A18" s="62">
        <v>30</v>
      </c>
      <c r="B18" s="14">
        <v>2</v>
      </c>
      <c r="C18" s="14">
        <v>2</v>
      </c>
      <c r="D18" s="14">
        <v>202</v>
      </c>
      <c r="E18" s="14">
        <v>51.505152000000002</v>
      </c>
      <c r="F18" s="14">
        <v>-0.187662</v>
      </c>
      <c r="G18" s="14" t="s">
        <v>544</v>
      </c>
      <c r="H18" s="14" t="s">
        <v>817</v>
      </c>
      <c r="I18" s="14" t="s">
        <v>103</v>
      </c>
      <c r="J18" s="14" t="s">
        <v>102</v>
      </c>
      <c r="K18" s="14" t="s">
        <v>810</v>
      </c>
      <c r="L18" s="14" t="s">
        <v>565</v>
      </c>
      <c r="M18" s="14" t="s">
        <v>3016</v>
      </c>
      <c r="N18" s="14" t="s">
        <v>601</v>
      </c>
      <c r="O18" s="14" t="s">
        <v>600</v>
      </c>
      <c r="P18" s="14" t="s">
        <v>593</v>
      </c>
      <c r="Q18" s="14" t="s">
        <v>580</v>
      </c>
    </row>
    <row r="19" spans="1:17" ht="20.100000000000001" customHeight="1">
      <c r="A19" s="62">
        <v>24</v>
      </c>
      <c r="B19" s="14">
        <v>5</v>
      </c>
      <c r="C19" s="14">
        <v>1</v>
      </c>
      <c r="D19" s="14">
        <v>205</v>
      </c>
      <c r="E19" s="14">
        <v>51.362124599999987</v>
      </c>
      <c r="F19" s="14">
        <v>-0.69518799999999992</v>
      </c>
      <c r="G19" s="14" t="s">
        <v>551</v>
      </c>
      <c r="H19" s="14" t="s">
        <v>571</v>
      </c>
      <c r="I19" s="14" t="s">
        <v>103</v>
      </c>
      <c r="J19" s="14" t="s">
        <v>102</v>
      </c>
      <c r="K19" s="14" t="s">
        <v>566</v>
      </c>
      <c r="L19" s="14" t="s">
        <v>568</v>
      </c>
      <c r="M19" s="14" t="s">
        <v>814</v>
      </c>
      <c r="N19" s="14" t="s">
        <v>524</v>
      </c>
      <c r="O19" s="14" t="s">
        <v>531</v>
      </c>
      <c r="P19" s="14" t="s">
        <v>538</v>
      </c>
      <c r="Q19" s="14" t="s">
        <v>583</v>
      </c>
    </row>
    <row r="20" spans="1:17" ht="20.100000000000001" customHeight="1">
      <c r="A20" s="62">
        <v>31</v>
      </c>
      <c r="B20" s="14">
        <v>5</v>
      </c>
      <c r="C20" s="14">
        <v>1</v>
      </c>
      <c r="D20" s="14">
        <v>205</v>
      </c>
      <c r="E20" s="14">
        <v>51.362124599999987</v>
      </c>
      <c r="F20" s="14">
        <v>-0.69518799999999992</v>
      </c>
      <c r="G20" s="14" t="s">
        <v>551</v>
      </c>
      <c r="H20" s="14" t="s">
        <v>571</v>
      </c>
      <c r="I20" s="14" t="s">
        <v>103</v>
      </c>
      <c r="J20" s="14" t="s">
        <v>102</v>
      </c>
      <c r="K20" s="14" t="s">
        <v>566</v>
      </c>
      <c r="L20" s="14" t="s">
        <v>568</v>
      </c>
      <c r="M20" s="14" t="s">
        <v>814</v>
      </c>
      <c r="N20" s="14" t="s">
        <v>605</v>
      </c>
      <c r="O20" s="14" t="s">
        <v>604</v>
      </c>
      <c r="P20" s="14" t="s">
        <v>538</v>
      </c>
      <c r="Q20" s="14" t="s">
        <v>583</v>
      </c>
    </row>
    <row r="21" spans="1:17" ht="20.100000000000001" customHeight="1">
      <c r="A21" s="62">
        <v>20</v>
      </c>
      <c r="B21" s="14">
        <v>1</v>
      </c>
      <c r="C21" s="14">
        <v>1</v>
      </c>
      <c r="D21" s="14">
        <v>207</v>
      </c>
      <c r="E21" s="14">
        <v>57.0406604</v>
      </c>
      <c r="F21" s="14">
        <v>-3.2298551</v>
      </c>
      <c r="G21" s="14" t="s">
        <v>585</v>
      </c>
      <c r="H21" s="14" t="s">
        <v>3020</v>
      </c>
      <c r="I21" s="14" t="s">
        <v>103</v>
      </c>
      <c r="J21" s="14" t="s">
        <v>102</v>
      </c>
      <c r="K21" s="14" t="s">
        <v>587</v>
      </c>
      <c r="L21" s="14" t="s">
        <v>3017</v>
      </c>
      <c r="M21" s="14" t="s">
        <v>3018</v>
      </c>
      <c r="N21" s="14" t="s">
        <v>520</v>
      </c>
      <c r="O21" s="14" t="s">
        <v>527</v>
      </c>
      <c r="P21" s="14" t="s">
        <v>519</v>
      </c>
      <c r="Q21" s="14" t="s">
        <v>667</v>
      </c>
    </row>
    <row r="22" spans="1:17" ht="20.100000000000001" customHeight="1">
      <c r="A22" s="62">
        <v>21</v>
      </c>
      <c r="B22" s="14">
        <v>1</v>
      </c>
      <c r="C22" s="14">
        <v>1</v>
      </c>
      <c r="D22" s="14">
        <v>207</v>
      </c>
      <c r="E22" s="14">
        <v>57.0406604</v>
      </c>
      <c r="F22" s="14">
        <v>-3.2298551</v>
      </c>
      <c r="G22" s="14" t="s">
        <v>585</v>
      </c>
      <c r="H22" s="14" t="s">
        <v>3020</v>
      </c>
      <c r="I22" s="14" t="s">
        <v>103</v>
      </c>
      <c r="J22" s="14" t="s">
        <v>102</v>
      </c>
      <c r="K22" s="14" t="s">
        <v>587</v>
      </c>
      <c r="L22" s="14" t="s">
        <v>3017</v>
      </c>
      <c r="M22" s="14" t="s">
        <v>3018</v>
      </c>
      <c r="N22" s="14" t="s">
        <v>521</v>
      </c>
      <c r="O22" s="14" t="s">
        <v>528</v>
      </c>
      <c r="P22" s="14" t="s">
        <v>519</v>
      </c>
      <c r="Q22" s="14" t="s">
        <v>667</v>
      </c>
    </row>
    <row r="23" spans="1:17" ht="20.100000000000001" customHeight="1">
      <c r="A23" s="62">
        <v>27</v>
      </c>
      <c r="B23" s="14">
        <v>4</v>
      </c>
      <c r="C23" s="14">
        <v>1</v>
      </c>
      <c r="D23" s="14">
        <v>202</v>
      </c>
      <c r="E23" s="14">
        <v>51.505152000000002</v>
      </c>
      <c r="F23" s="14">
        <v>-0.187662</v>
      </c>
      <c r="G23" s="14" t="s">
        <v>544</v>
      </c>
      <c r="H23" s="14" t="s">
        <v>817</v>
      </c>
      <c r="I23" s="14" t="s">
        <v>103</v>
      </c>
      <c r="J23" s="14" t="s">
        <v>102</v>
      </c>
      <c r="K23" s="14" t="s">
        <v>810</v>
      </c>
      <c r="L23" s="14" t="s">
        <v>565</v>
      </c>
      <c r="M23" s="14" t="s">
        <v>3016</v>
      </c>
      <c r="N23" s="14" t="s">
        <v>540</v>
      </c>
      <c r="O23" s="14" t="s">
        <v>541</v>
      </c>
      <c r="P23" s="14" t="s">
        <v>537</v>
      </c>
      <c r="Q23" s="14" t="s">
        <v>580</v>
      </c>
    </row>
    <row r="24" spans="1:17" ht="20.100000000000001" customHeight="1">
      <c r="A24" s="62">
        <v>26</v>
      </c>
      <c r="B24" s="14">
        <v>4</v>
      </c>
      <c r="C24" s="14">
        <v>1</v>
      </c>
      <c r="D24" s="14">
        <v>202</v>
      </c>
      <c r="E24" s="14">
        <v>51.505152000000002</v>
      </c>
      <c r="F24" s="14">
        <v>-0.187662</v>
      </c>
      <c r="G24" s="14" t="s">
        <v>544</v>
      </c>
      <c r="H24" s="14" t="s">
        <v>817</v>
      </c>
      <c r="I24" s="14" t="s">
        <v>103</v>
      </c>
      <c r="J24" s="14" t="s">
        <v>102</v>
      </c>
      <c r="K24" s="14" t="s">
        <v>810</v>
      </c>
      <c r="L24" s="14" t="s">
        <v>565</v>
      </c>
      <c r="M24" s="14" t="s">
        <v>3016</v>
      </c>
      <c r="N24" s="14" t="s">
        <v>533</v>
      </c>
      <c r="O24" s="14" t="s">
        <v>532</v>
      </c>
      <c r="P24" s="14" t="s">
        <v>537</v>
      </c>
      <c r="Q24" s="14" t="s">
        <v>580</v>
      </c>
    </row>
    <row r="25" spans="1:17" ht="20.100000000000001" customHeight="1">
      <c r="A25" s="62">
        <v>20</v>
      </c>
      <c r="B25" s="14">
        <v>1</v>
      </c>
      <c r="C25" s="14">
        <v>1</v>
      </c>
      <c r="D25" s="14">
        <v>208</v>
      </c>
      <c r="E25" s="14">
        <v>51.483812299999997</v>
      </c>
      <c r="F25" s="14">
        <v>-0.60462369999999999</v>
      </c>
      <c r="G25" s="14" t="s">
        <v>625</v>
      </c>
      <c r="H25" s="14" t="s">
        <v>3021</v>
      </c>
      <c r="I25" s="14" t="s">
        <v>103</v>
      </c>
      <c r="J25" s="14" t="s">
        <v>102</v>
      </c>
      <c r="K25" s="14" t="s">
        <v>3247</v>
      </c>
      <c r="L25" s="14" t="s">
        <v>519</v>
      </c>
      <c r="M25" s="14" t="s">
        <v>3248</v>
      </c>
      <c r="N25" s="14" t="s">
        <v>520</v>
      </c>
      <c r="O25" s="14" t="s">
        <v>527</v>
      </c>
      <c r="P25" s="14" t="s">
        <v>519</v>
      </c>
      <c r="Q25" s="14" t="s">
        <v>626</v>
      </c>
    </row>
    <row r="26" spans="1:17" ht="20.100000000000001" customHeight="1">
      <c r="A26" s="62">
        <v>21</v>
      </c>
      <c r="B26" s="14">
        <v>1</v>
      </c>
      <c r="C26" s="14">
        <v>1</v>
      </c>
      <c r="D26" s="14">
        <v>208</v>
      </c>
      <c r="E26" s="14">
        <v>51.483812299999997</v>
      </c>
      <c r="F26" s="14">
        <v>-0.60462369999999999</v>
      </c>
      <c r="G26" s="14" t="s">
        <v>625</v>
      </c>
      <c r="H26" s="14" t="s">
        <v>3021</v>
      </c>
      <c r="I26" s="14" t="s">
        <v>103</v>
      </c>
      <c r="J26" s="14" t="s">
        <v>102</v>
      </c>
      <c r="K26" s="14" t="s">
        <v>3247</v>
      </c>
      <c r="L26" s="14" t="s">
        <v>519</v>
      </c>
      <c r="M26" s="14" t="s">
        <v>3248</v>
      </c>
      <c r="N26" s="14" t="s">
        <v>521</v>
      </c>
      <c r="O26" s="14" t="s">
        <v>528</v>
      </c>
      <c r="P26" s="14" t="s">
        <v>519</v>
      </c>
      <c r="Q26" s="14" t="s">
        <v>626</v>
      </c>
    </row>
    <row r="27" spans="1:17" ht="20.100000000000001" customHeight="1">
      <c r="A27" s="62">
        <v>32</v>
      </c>
      <c r="B27" s="14">
        <v>8</v>
      </c>
      <c r="C27" s="14">
        <v>1</v>
      </c>
      <c r="D27" s="14">
        <v>206</v>
      </c>
      <c r="E27" s="14">
        <v>51.691686799999999</v>
      </c>
      <c r="F27" s="14">
        <v>-2.1743469000000002</v>
      </c>
      <c r="G27" s="14" t="s">
        <v>552</v>
      </c>
      <c r="H27" s="14" t="s">
        <v>574</v>
      </c>
      <c r="I27" s="14" t="s">
        <v>103</v>
      </c>
      <c r="J27" s="14" t="s">
        <v>102</v>
      </c>
      <c r="K27" s="14" t="s">
        <v>573</v>
      </c>
      <c r="M27" s="14" t="s">
        <v>815</v>
      </c>
      <c r="N27" s="14" t="s">
        <v>628</v>
      </c>
      <c r="O27" s="14" t="s">
        <v>627</v>
      </c>
      <c r="P27" s="14" t="s">
        <v>629</v>
      </c>
      <c r="Q27" s="14" t="s">
        <v>584</v>
      </c>
    </row>
    <row r="28" spans="1:17" ht="20.100000000000001" customHeight="1">
      <c r="A28" s="62">
        <v>33</v>
      </c>
      <c r="B28" s="14">
        <v>9</v>
      </c>
      <c r="C28" s="14">
        <v>1</v>
      </c>
      <c r="D28" s="14">
        <v>206</v>
      </c>
      <c r="E28" s="14">
        <v>51.691686799999999</v>
      </c>
      <c r="F28" s="14">
        <v>-2.1743469000000002</v>
      </c>
      <c r="G28" s="14" t="s">
        <v>552</v>
      </c>
      <c r="H28" s="14" t="s">
        <v>574</v>
      </c>
      <c r="I28" s="14" t="s">
        <v>103</v>
      </c>
      <c r="J28" s="14" t="s">
        <v>102</v>
      </c>
      <c r="K28" s="14" t="s">
        <v>573</v>
      </c>
      <c r="M28" s="14" t="s">
        <v>815</v>
      </c>
      <c r="N28" s="14" t="s">
        <v>631</v>
      </c>
      <c r="O28" s="14" t="s">
        <v>630</v>
      </c>
      <c r="P28" s="14" t="s">
        <v>632</v>
      </c>
      <c r="Q28" s="14" t="s">
        <v>584</v>
      </c>
    </row>
    <row r="29" spans="1:17" ht="20.100000000000001" customHeight="1">
      <c r="A29" s="62">
        <v>25</v>
      </c>
      <c r="B29" s="14">
        <v>9</v>
      </c>
      <c r="C29" s="14">
        <v>1</v>
      </c>
      <c r="D29" s="14">
        <v>206</v>
      </c>
      <c r="E29" s="14">
        <v>51.691686799999999</v>
      </c>
      <c r="F29" s="14">
        <v>-2.1743469000000002</v>
      </c>
      <c r="G29" s="14" t="s">
        <v>552</v>
      </c>
      <c r="H29" s="14" t="s">
        <v>574</v>
      </c>
      <c r="I29" s="14" t="s">
        <v>103</v>
      </c>
      <c r="J29" s="14" t="s">
        <v>102</v>
      </c>
      <c r="K29" s="14" t="s">
        <v>573</v>
      </c>
      <c r="M29" s="14" t="s">
        <v>815</v>
      </c>
      <c r="N29" s="14" t="s">
        <v>525</v>
      </c>
      <c r="O29" s="14" t="s">
        <v>577</v>
      </c>
      <c r="P29" s="14" t="s">
        <v>632</v>
      </c>
      <c r="Q29" s="14" t="s">
        <v>584</v>
      </c>
    </row>
    <row r="30" spans="1:17" ht="20.100000000000001" customHeight="1">
      <c r="A30" s="62">
        <v>36</v>
      </c>
      <c r="B30" s="14">
        <v>8</v>
      </c>
      <c r="C30" s="14">
        <v>2</v>
      </c>
      <c r="D30" s="14">
        <v>206</v>
      </c>
      <c r="E30" s="14">
        <v>51.691686799999999</v>
      </c>
      <c r="F30" s="14">
        <v>-2.1743469000000002</v>
      </c>
      <c r="G30" s="14" t="s">
        <v>552</v>
      </c>
      <c r="H30" s="14" t="s">
        <v>574</v>
      </c>
      <c r="I30" s="14" t="s">
        <v>103</v>
      </c>
      <c r="J30" s="14" t="s">
        <v>102</v>
      </c>
      <c r="K30" s="14" t="s">
        <v>573</v>
      </c>
      <c r="M30" s="14" t="s">
        <v>815</v>
      </c>
      <c r="N30" s="14" t="s">
        <v>638</v>
      </c>
      <c r="O30" s="14" t="s">
        <v>637</v>
      </c>
      <c r="P30" s="14" t="s">
        <v>629</v>
      </c>
      <c r="Q30" s="14" t="s">
        <v>584</v>
      </c>
    </row>
    <row r="31" spans="1:17" ht="20.100000000000001" customHeight="1">
      <c r="A31" s="62">
        <v>42</v>
      </c>
      <c r="B31" s="14">
        <v>8</v>
      </c>
      <c r="C31" s="14">
        <v>2</v>
      </c>
      <c r="D31" s="14">
        <v>206</v>
      </c>
      <c r="E31" s="14">
        <v>51.691686799999999</v>
      </c>
      <c r="F31" s="14">
        <v>-2.1743469000000002</v>
      </c>
      <c r="G31" s="14" t="s">
        <v>552</v>
      </c>
      <c r="H31" s="14" t="s">
        <v>574</v>
      </c>
      <c r="I31" s="14" t="s">
        <v>103</v>
      </c>
      <c r="J31" s="14" t="s">
        <v>102</v>
      </c>
      <c r="K31" s="14" t="s">
        <v>573</v>
      </c>
      <c r="M31" s="14" t="s">
        <v>815</v>
      </c>
      <c r="N31" s="14" t="s">
        <v>650</v>
      </c>
      <c r="O31" s="14" t="s">
        <v>649</v>
      </c>
      <c r="P31" s="14" t="s">
        <v>629</v>
      </c>
      <c r="Q31" s="14" t="s">
        <v>584</v>
      </c>
    </row>
    <row r="32" spans="1:17" ht="20.100000000000001" customHeight="1">
      <c r="A32" s="62">
        <v>41</v>
      </c>
      <c r="B32" s="14">
        <v>5</v>
      </c>
      <c r="C32" s="14">
        <v>2</v>
      </c>
      <c r="D32" s="14">
        <v>205</v>
      </c>
      <c r="E32" s="14">
        <v>51.362124599999987</v>
      </c>
      <c r="F32" s="14">
        <v>-0.69518799999999992</v>
      </c>
      <c r="G32" s="14" t="s">
        <v>551</v>
      </c>
      <c r="H32" s="14" t="s">
        <v>571</v>
      </c>
      <c r="I32" s="14" t="s">
        <v>103</v>
      </c>
      <c r="J32" s="14" t="s">
        <v>102</v>
      </c>
      <c r="K32" s="14" t="s">
        <v>566</v>
      </c>
      <c r="L32" s="14" t="s">
        <v>568</v>
      </c>
      <c r="M32" s="14" t="s">
        <v>814</v>
      </c>
      <c r="N32" s="14" t="s">
        <v>648</v>
      </c>
      <c r="O32" s="14" t="s">
        <v>647</v>
      </c>
      <c r="P32" s="14" t="s">
        <v>538</v>
      </c>
      <c r="Q32" s="14" t="s">
        <v>583</v>
      </c>
    </row>
    <row r="33" spans="1:17" ht="20.100000000000001" customHeight="1">
      <c r="A33" s="62">
        <v>40</v>
      </c>
      <c r="B33" s="14">
        <v>5</v>
      </c>
      <c r="C33" s="14">
        <v>2</v>
      </c>
      <c r="D33" s="14">
        <v>205</v>
      </c>
      <c r="E33" s="14">
        <v>51.362124599999987</v>
      </c>
      <c r="F33" s="14">
        <v>-0.69518799999999992</v>
      </c>
      <c r="G33" s="14" t="s">
        <v>551</v>
      </c>
      <c r="H33" s="14" t="s">
        <v>571</v>
      </c>
      <c r="I33" s="14" t="s">
        <v>103</v>
      </c>
      <c r="J33" s="14" t="s">
        <v>102</v>
      </c>
      <c r="K33" s="14" t="s">
        <v>566</v>
      </c>
      <c r="L33" s="14" t="s">
        <v>568</v>
      </c>
      <c r="M33" s="14" t="s">
        <v>814</v>
      </c>
      <c r="N33" s="14" t="s">
        <v>646</v>
      </c>
      <c r="O33" s="14" t="s">
        <v>645</v>
      </c>
      <c r="P33" s="14" t="s">
        <v>538</v>
      </c>
      <c r="Q33" s="14" t="s">
        <v>583</v>
      </c>
    </row>
    <row r="34" spans="1:17" ht="20.100000000000001" customHeight="1">
      <c r="A34" s="62">
        <v>42</v>
      </c>
      <c r="B34" s="14">
        <v>11</v>
      </c>
      <c r="C34" s="14">
        <v>1</v>
      </c>
      <c r="D34" s="14">
        <v>206</v>
      </c>
      <c r="E34" s="14">
        <v>51.691686799999999</v>
      </c>
      <c r="F34" s="14">
        <v>-2.1743469000000002</v>
      </c>
      <c r="G34" s="14" t="s">
        <v>552</v>
      </c>
      <c r="H34" s="14" t="s">
        <v>574</v>
      </c>
      <c r="I34" s="14" t="s">
        <v>103</v>
      </c>
      <c r="J34" s="14" t="s">
        <v>102</v>
      </c>
      <c r="K34" s="14" t="s">
        <v>573</v>
      </c>
      <c r="M34" s="14" t="s">
        <v>815</v>
      </c>
      <c r="N34" s="14" t="s">
        <v>650</v>
      </c>
      <c r="O34" s="14" t="s">
        <v>649</v>
      </c>
      <c r="P34" s="14" t="s">
        <v>629</v>
      </c>
      <c r="Q34" s="14" t="s">
        <v>584</v>
      </c>
    </row>
    <row r="35" spans="1:17" ht="20.100000000000001" customHeight="1">
      <c r="A35" s="62">
        <v>35</v>
      </c>
      <c r="B35" s="14">
        <v>11</v>
      </c>
      <c r="C35" s="14">
        <v>1</v>
      </c>
      <c r="D35" s="14">
        <v>206</v>
      </c>
      <c r="E35" s="14">
        <v>51.691686799999999</v>
      </c>
      <c r="F35" s="14">
        <v>-2.1743469000000002</v>
      </c>
      <c r="G35" s="14" t="s">
        <v>552</v>
      </c>
      <c r="H35" s="14" t="s">
        <v>574</v>
      </c>
      <c r="I35" s="14" t="s">
        <v>103</v>
      </c>
      <c r="J35" s="14" t="s">
        <v>102</v>
      </c>
      <c r="K35" s="14" t="s">
        <v>573</v>
      </c>
      <c r="M35" s="14" t="s">
        <v>815</v>
      </c>
      <c r="N35" s="14" t="s">
        <v>636</v>
      </c>
      <c r="O35" s="14" t="s">
        <v>635</v>
      </c>
      <c r="P35" s="14" t="s">
        <v>629</v>
      </c>
      <c r="Q35" s="14" t="s">
        <v>584</v>
      </c>
    </row>
    <row r="36" spans="1:17" ht="20.100000000000001" customHeight="1">
      <c r="A36" s="62">
        <v>43</v>
      </c>
      <c r="B36" s="14">
        <v>11</v>
      </c>
      <c r="C36" s="14">
        <v>2</v>
      </c>
      <c r="D36" s="14">
        <v>206</v>
      </c>
      <c r="E36" s="14">
        <v>51.691686799999999</v>
      </c>
      <c r="F36" s="14">
        <v>-2.1743469000000002</v>
      </c>
      <c r="G36" s="14" t="s">
        <v>552</v>
      </c>
      <c r="H36" s="14" t="s">
        <v>574</v>
      </c>
      <c r="I36" s="14" t="s">
        <v>103</v>
      </c>
      <c r="J36" s="14" t="s">
        <v>102</v>
      </c>
      <c r="K36" s="14" t="s">
        <v>573</v>
      </c>
      <c r="M36" s="14" t="s">
        <v>815</v>
      </c>
      <c r="N36" s="14" t="s">
        <v>654</v>
      </c>
      <c r="O36" s="14" t="s">
        <v>653</v>
      </c>
      <c r="P36" s="14" t="s">
        <v>629</v>
      </c>
      <c r="Q36" s="14" t="s">
        <v>584</v>
      </c>
    </row>
    <row r="37" spans="1:17" ht="20.100000000000001" customHeight="1">
      <c r="A37" s="62">
        <v>36</v>
      </c>
      <c r="B37" s="14">
        <v>10</v>
      </c>
      <c r="C37" s="14">
        <v>1</v>
      </c>
      <c r="D37" s="14">
        <v>206</v>
      </c>
      <c r="E37" s="14">
        <v>51.691686799999999</v>
      </c>
      <c r="F37" s="14">
        <v>-2.1743469000000002</v>
      </c>
      <c r="G37" s="14" t="s">
        <v>552</v>
      </c>
      <c r="H37" s="14" t="s">
        <v>574</v>
      </c>
      <c r="I37" s="14" t="s">
        <v>103</v>
      </c>
      <c r="J37" s="14" t="s">
        <v>102</v>
      </c>
      <c r="K37" s="14" t="s">
        <v>573</v>
      </c>
      <c r="M37" s="14" t="s">
        <v>815</v>
      </c>
      <c r="N37" s="14" t="s">
        <v>638</v>
      </c>
      <c r="O37" s="14" t="s">
        <v>637</v>
      </c>
      <c r="P37" s="14" t="s">
        <v>651</v>
      </c>
      <c r="Q37" s="14" t="s">
        <v>584</v>
      </c>
    </row>
    <row r="38" spans="1:17" ht="20.100000000000001" customHeight="1">
      <c r="A38" s="62">
        <v>34</v>
      </c>
      <c r="B38" s="14">
        <v>10</v>
      </c>
      <c r="C38" s="14">
        <v>1</v>
      </c>
      <c r="D38" s="14">
        <v>206</v>
      </c>
      <c r="E38" s="14">
        <v>51.691686799999999</v>
      </c>
      <c r="F38" s="14">
        <v>-2.1743469000000002</v>
      </c>
      <c r="G38" s="14" t="s">
        <v>552</v>
      </c>
      <c r="H38" s="14" t="s">
        <v>574</v>
      </c>
      <c r="I38" s="14" t="s">
        <v>103</v>
      </c>
      <c r="J38" s="14" t="s">
        <v>102</v>
      </c>
      <c r="K38" s="14" t="s">
        <v>573</v>
      </c>
      <c r="M38" s="14" t="s">
        <v>815</v>
      </c>
      <c r="N38" s="14" t="s">
        <v>634</v>
      </c>
      <c r="O38" s="14" t="s">
        <v>633</v>
      </c>
      <c r="P38" s="14" t="s">
        <v>651</v>
      </c>
      <c r="Q38" s="14" t="s">
        <v>584</v>
      </c>
    </row>
    <row r="39" spans="1:17" ht="20.100000000000001" customHeight="1">
      <c r="A39" s="62">
        <v>22</v>
      </c>
      <c r="B39" s="14">
        <v>3</v>
      </c>
      <c r="C39" s="14">
        <v>1</v>
      </c>
      <c r="D39" s="14">
        <v>204</v>
      </c>
      <c r="E39" s="14">
        <v>51.424085099999999</v>
      </c>
      <c r="F39" s="14">
        <v>-0.61777110000000002</v>
      </c>
      <c r="G39" s="14" t="s">
        <v>548</v>
      </c>
      <c r="H39" s="14" t="s">
        <v>3250</v>
      </c>
      <c r="I39" s="14" t="s">
        <v>103</v>
      </c>
      <c r="J39" s="14" t="s">
        <v>102</v>
      </c>
      <c r="K39" s="14" t="s">
        <v>3244</v>
      </c>
      <c r="L39" s="14" t="s">
        <v>519</v>
      </c>
      <c r="M39" s="14" t="s">
        <v>3246</v>
      </c>
      <c r="N39" s="14" t="s">
        <v>522</v>
      </c>
      <c r="O39" s="14" t="s">
        <v>530</v>
      </c>
      <c r="P39" s="14" t="s">
        <v>536</v>
      </c>
      <c r="Q39" s="14" t="s">
        <v>582</v>
      </c>
    </row>
    <row r="40" spans="1:17" ht="20.100000000000001" customHeight="1">
      <c r="A40" s="62">
        <v>37</v>
      </c>
      <c r="B40" s="14">
        <v>3</v>
      </c>
      <c r="C40" s="14">
        <v>1</v>
      </c>
      <c r="D40" s="14">
        <v>204</v>
      </c>
      <c r="E40" s="14">
        <v>51.424085099999999</v>
      </c>
      <c r="F40" s="14">
        <v>-0.61777110000000002</v>
      </c>
      <c r="G40" s="14" t="s">
        <v>548</v>
      </c>
      <c r="H40" s="14" t="s">
        <v>3250</v>
      </c>
      <c r="I40" s="14" t="s">
        <v>103</v>
      </c>
      <c r="J40" s="14" t="s">
        <v>102</v>
      </c>
      <c r="K40" s="14" t="s">
        <v>3244</v>
      </c>
      <c r="L40" s="14" t="s">
        <v>519</v>
      </c>
      <c r="M40" s="14" t="s">
        <v>3246</v>
      </c>
      <c r="N40" s="14" t="s">
        <v>640</v>
      </c>
      <c r="O40" s="14" t="s">
        <v>639</v>
      </c>
      <c r="P40" s="14" t="s">
        <v>536</v>
      </c>
      <c r="Q40" s="14" t="s">
        <v>582</v>
      </c>
    </row>
    <row r="41" spans="1:17" ht="20.100000000000001" customHeight="1">
      <c r="A41" s="62">
        <v>38</v>
      </c>
      <c r="B41" s="14">
        <v>3</v>
      </c>
      <c r="C41" s="14">
        <v>2</v>
      </c>
      <c r="D41" s="14">
        <v>204</v>
      </c>
      <c r="E41" s="14">
        <v>51.424085099999999</v>
      </c>
      <c r="F41" s="14">
        <v>-0.61777110000000002</v>
      </c>
      <c r="G41" s="14" t="s">
        <v>548</v>
      </c>
      <c r="H41" s="14" t="s">
        <v>3250</v>
      </c>
      <c r="I41" s="14" t="s">
        <v>103</v>
      </c>
      <c r="J41" s="14" t="s">
        <v>102</v>
      </c>
      <c r="K41" s="14" t="s">
        <v>3244</v>
      </c>
      <c r="L41" s="14" t="s">
        <v>519</v>
      </c>
      <c r="M41" s="14" t="s">
        <v>3246</v>
      </c>
      <c r="N41" s="14" t="s">
        <v>642</v>
      </c>
      <c r="O41" s="14" t="s">
        <v>641</v>
      </c>
      <c r="P41" s="14" t="s">
        <v>536</v>
      </c>
      <c r="Q41" s="14" t="s">
        <v>582</v>
      </c>
    </row>
    <row r="42" spans="1:17" ht="20.100000000000001" customHeight="1">
      <c r="A42" s="62">
        <v>39</v>
      </c>
      <c r="B42" s="14">
        <v>3</v>
      </c>
      <c r="C42" s="14">
        <v>2</v>
      </c>
      <c r="D42" s="14">
        <v>204</v>
      </c>
      <c r="E42" s="14">
        <v>51.424085099999999</v>
      </c>
      <c r="F42" s="14">
        <v>-0.61777110000000002</v>
      </c>
      <c r="G42" s="14" t="s">
        <v>548</v>
      </c>
      <c r="H42" s="14" t="s">
        <v>3250</v>
      </c>
      <c r="I42" s="14" t="s">
        <v>103</v>
      </c>
      <c r="J42" s="14" t="s">
        <v>102</v>
      </c>
      <c r="K42" s="14" t="s">
        <v>3244</v>
      </c>
      <c r="L42" s="14" t="s">
        <v>519</v>
      </c>
      <c r="M42" s="14" t="s">
        <v>3246</v>
      </c>
      <c r="N42" s="14" t="s">
        <v>644</v>
      </c>
      <c r="O42" s="14" t="s">
        <v>643</v>
      </c>
      <c r="P42" s="14" t="s">
        <v>536</v>
      </c>
      <c r="Q42" s="14" t="s">
        <v>582</v>
      </c>
    </row>
    <row r="43" spans="1:17" ht="20.100000000000001" customHeight="1">
      <c r="A43" s="62">
        <v>22</v>
      </c>
      <c r="B43" s="14">
        <v>3</v>
      </c>
      <c r="C43" s="14">
        <v>1</v>
      </c>
      <c r="D43" s="14">
        <v>209</v>
      </c>
      <c r="E43" s="14">
        <v>51.425133299999999</v>
      </c>
      <c r="F43" s="14">
        <v>-0.64956589999999992</v>
      </c>
      <c r="G43" s="14" t="s">
        <v>656</v>
      </c>
      <c r="H43" s="14" t="s">
        <v>3251</v>
      </c>
      <c r="I43" s="14" t="s">
        <v>103</v>
      </c>
      <c r="J43" s="14" t="s">
        <v>102</v>
      </c>
      <c r="K43" s="14" t="s">
        <v>567</v>
      </c>
      <c r="M43" s="14" t="s">
        <v>3249</v>
      </c>
      <c r="N43" s="14" t="s">
        <v>522</v>
      </c>
      <c r="O43" s="14" t="s">
        <v>530</v>
      </c>
      <c r="P43" s="14" t="s">
        <v>536</v>
      </c>
      <c r="Q43" s="14" t="s">
        <v>655</v>
      </c>
    </row>
    <row r="44" spans="1:17" ht="20.100000000000001" customHeight="1">
      <c r="A44" s="62">
        <v>37</v>
      </c>
      <c r="B44" s="14">
        <v>3</v>
      </c>
      <c r="C44" s="14">
        <v>1</v>
      </c>
      <c r="D44" s="14">
        <v>209</v>
      </c>
      <c r="E44" s="14">
        <v>51.425133299999999</v>
      </c>
      <c r="F44" s="14">
        <v>-0.64956589999999992</v>
      </c>
      <c r="G44" s="14" t="s">
        <v>656</v>
      </c>
      <c r="H44" s="14" t="s">
        <v>3251</v>
      </c>
      <c r="I44" s="14" t="s">
        <v>103</v>
      </c>
      <c r="J44" s="14" t="s">
        <v>102</v>
      </c>
      <c r="K44" s="14" t="s">
        <v>567</v>
      </c>
      <c r="M44" s="14" t="s">
        <v>3249</v>
      </c>
      <c r="N44" s="14" t="s">
        <v>640</v>
      </c>
      <c r="O44" s="14" t="s">
        <v>639</v>
      </c>
      <c r="P44" s="14" t="s">
        <v>536</v>
      </c>
      <c r="Q44" s="14" t="s">
        <v>655</v>
      </c>
    </row>
    <row r="45" spans="1:17" ht="20.100000000000001" customHeight="1">
      <c r="A45" s="62">
        <v>38</v>
      </c>
      <c r="B45" s="14">
        <v>3</v>
      </c>
      <c r="C45" s="14">
        <v>2</v>
      </c>
      <c r="D45" s="14">
        <v>209</v>
      </c>
      <c r="E45" s="14">
        <v>51.425133299999999</v>
      </c>
      <c r="F45" s="14">
        <v>-0.64956589999999992</v>
      </c>
      <c r="G45" s="14" t="s">
        <v>656</v>
      </c>
      <c r="H45" s="14" t="s">
        <v>3251</v>
      </c>
      <c r="I45" s="14" t="s">
        <v>103</v>
      </c>
      <c r="J45" s="14" t="s">
        <v>102</v>
      </c>
      <c r="K45" s="14" t="s">
        <v>567</v>
      </c>
      <c r="M45" s="14" t="s">
        <v>3249</v>
      </c>
      <c r="N45" s="14" t="s">
        <v>642</v>
      </c>
      <c r="O45" s="14" t="s">
        <v>641</v>
      </c>
      <c r="P45" s="14" t="s">
        <v>536</v>
      </c>
      <c r="Q45" s="14" t="s">
        <v>655</v>
      </c>
    </row>
    <row r="46" spans="1:17" ht="20.100000000000001" customHeight="1">
      <c r="A46" s="62">
        <v>39</v>
      </c>
      <c r="B46" s="14">
        <v>3</v>
      </c>
      <c r="C46" s="14">
        <v>2</v>
      </c>
      <c r="D46" s="14">
        <v>209</v>
      </c>
      <c r="E46" s="14">
        <v>51.425133299999999</v>
      </c>
      <c r="F46" s="14">
        <v>-0.64956589999999992</v>
      </c>
      <c r="G46" s="14" t="s">
        <v>656</v>
      </c>
      <c r="H46" s="14" t="s">
        <v>3251</v>
      </c>
      <c r="I46" s="14" t="s">
        <v>103</v>
      </c>
      <c r="J46" s="14" t="s">
        <v>102</v>
      </c>
      <c r="K46" s="14" t="s">
        <v>567</v>
      </c>
      <c r="M46" s="14" t="s">
        <v>3249</v>
      </c>
      <c r="N46" s="14" t="s">
        <v>644</v>
      </c>
      <c r="O46" s="14" t="s">
        <v>643</v>
      </c>
      <c r="P46" s="14" t="s">
        <v>536</v>
      </c>
      <c r="Q46" s="14" t="s">
        <v>655</v>
      </c>
    </row>
    <row r="51" spans="10:10" ht="20.100000000000001" customHeight="1">
      <c r="J51" s="1"/>
    </row>
    <row r="52" spans="10:10" ht="20.100000000000001" customHeight="1">
      <c r="J52" s="21"/>
    </row>
  </sheetData>
  <pageMargins left="0.7" right="0.7" top="0.75" bottom="0.75" header="0.3" footer="0.3"/>
  <pageSetup orientation="portrait" horizontalDpi="1200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32"/>
  <dimension ref="A1:R28"/>
  <sheetViews>
    <sheetView topLeftCell="D1" workbookViewId="0">
      <selection activeCell="J28" sqref="J28"/>
    </sheetView>
  </sheetViews>
  <sheetFormatPr defaultColWidth="8.28515625" defaultRowHeight="11.25"/>
  <cols>
    <col min="1" max="1" width="12.140625" style="56" customWidth="1"/>
    <col min="2" max="2" width="19.28515625" style="49" customWidth="1"/>
    <col min="3" max="3" width="27.85546875" style="49" customWidth="1"/>
    <col min="4" max="4" width="9.42578125" style="59" customWidth="1"/>
    <col min="5" max="5" width="10.5703125" style="49" customWidth="1"/>
    <col min="6" max="6" width="12.5703125" style="49" customWidth="1"/>
    <col min="7" max="7" width="13.5703125" style="49" customWidth="1"/>
    <col min="8" max="8" width="9.7109375" style="49" customWidth="1"/>
    <col min="9" max="9" width="16.5703125" style="49" customWidth="1"/>
    <col min="10" max="10" width="14.85546875" style="49" customWidth="1"/>
    <col min="11" max="11" width="8.28515625" style="49"/>
    <col min="12" max="12" width="12.140625" style="49" customWidth="1"/>
    <col min="13" max="13" width="11.85546875" style="49" customWidth="1"/>
    <col min="14" max="14" width="8.28515625" style="49"/>
    <col min="15" max="15" width="12" style="49" customWidth="1"/>
    <col min="16" max="16" width="7" style="49" customWidth="1"/>
    <col min="17" max="17" width="18.85546875" style="49" customWidth="1"/>
    <col min="18" max="16384" width="8.28515625" style="49"/>
  </cols>
  <sheetData>
    <row r="1" spans="1:18">
      <c r="A1" s="52" t="s">
        <v>535</v>
      </c>
      <c r="B1" s="48" t="s">
        <v>543</v>
      </c>
      <c r="C1" s="53" t="s">
        <v>87</v>
      </c>
      <c r="D1" s="53" t="s">
        <v>499</v>
      </c>
      <c r="E1" s="54" t="s">
        <v>134</v>
      </c>
      <c r="F1" s="54" t="s">
        <v>10</v>
      </c>
      <c r="G1" s="54" t="s">
        <v>86</v>
      </c>
      <c r="H1" s="54" t="s">
        <v>97</v>
      </c>
      <c r="I1" s="54" t="s">
        <v>89</v>
      </c>
      <c r="J1" s="54" t="s">
        <v>133</v>
      </c>
      <c r="K1" s="54" t="s">
        <v>90</v>
      </c>
      <c r="L1" s="54" t="s">
        <v>107</v>
      </c>
      <c r="M1" s="54" t="s">
        <v>20</v>
      </c>
      <c r="N1" s="54" t="s">
        <v>143</v>
      </c>
      <c r="O1" s="54" t="s">
        <v>144</v>
      </c>
      <c r="P1" s="55" t="s">
        <v>242</v>
      </c>
      <c r="Q1" s="48" t="s">
        <v>316</v>
      </c>
    </row>
    <row r="2" spans="1:18" ht="18" customHeight="1">
      <c r="A2" s="56">
        <v>201</v>
      </c>
      <c r="B2" s="57" t="s">
        <v>542</v>
      </c>
      <c r="C2" s="57" t="s">
        <v>545</v>
      </c>
      <c r="D2" s="49" t="str">
        <f>B2</f>
        <v>Buckingham Palace</v>
      </c>
      <c r="E2" s="57" t="s">
        <v>103</v>
      </c>
      <c r="F2" s="57" t="s">
        <v>102</v>
      </c>
      <c r="G2" s="58" t="s">
        <v>810</v>
      </c>
      <c r="H2" s="56" t="s">
        <v>565</v>
      </c>
      <c r="I2" s="56"/>
      <c r="J2" s="57"/>
      <c r="L2" s="51" t="s">
        <v>3012</v>
      </c>
      <c r="M2" s="49" t="s">
        <v>3013</v>
      </c>
      <c r="N2" s="49">
        <v>51.501364000000002</v>
      </c>
      <c r="O2" s="49">
        <v>-0.14188999999999999</v>
      </c>
      <c r="P2" s="49" t="str">
        <f>CONCATENATE("&lt;b&gt;",B2,"&lt;/b&gt;&lt;br&gt;",H2,"&lt;br&gt;",F2)</f>
        <v>&lt;b&gt;Buckingham Palace&lt;/b&gt;&lt;br&gt;London&lt;br&gt;United Kingdom</v>
      </c>
      <c r="Q2" s="21" t="s">
        <v>666</v>
      </c>
      <c r="R2" s="51"/>
    </row>
    <row r="3" spans="1:18" ht="14.25" customHeight="1">
      <c r="A3" s="56">
        <v>202</v>
      </c>
      <c r="B3" s="57" t="s">
        <v>544</v>
      </c>
      <c r="C3" s="64" t="s">
        <v>623</v>
      </c>
      <c r="D3" s="49" t="str">
        <f t="shared" ref="D3:D8" si="0">B3</f>
        <v>Kensington Palace</v>
      </c>
      <c r="E3" s="49" t="s">
        <v>103</v>
      </c>
      <c r="F3" s="49" t="s">
        <v>102</v>
      </c>
      <c r="G3" s="58" t="s">
        <v>810</v>
      </c>
      <c r="H3" s="56" t="s">
        <v>565</v>
      </c>
      <c r="I3" s="56" t="s">
        <v>3014</v>
      </c>
      <c r="J3" s="57"/>
      <c r="L3" s="51" t="s">
        <v>3015</v>
      </c>
      <c r="M3" s="49" t="s">
        <v>3016</v>
      </c>
      <c r="N3" s="49">
        <v>51.505152000000002</v>
      </c>
      <c r="O3" s="49">
        <v>-0.187662</v>
      </c>
      <c r="P3" s="49" t="str">
        <f t="shared" ref="P3:P10" si="1">CONCATENATE("&lt;b&gt;",B3,"&lt;/b&gt;&lt;br&gt;",H3,"&lt;br&gt;",F3)</f>
        <v>&lt;b&gt;Kensington Palace&lt;/b&gt;&lt;br&gt;London&lt;br&gt;United Kingdom</v>
      </c>
      <c r="Q3" s="51" t="s">
        <v>580</v>
      </c>
    </row>
    <row r="4" spans="1:18" ht="14.25" customHeight="1">
      <c r="A4" s="56">
        <v>203</v>
      </c>
      <c r="B4" s="57" t="s">
        <v>547</v>
      </c>
      <c r="C4" s="60" t="s">
        <v>546</v>
      </c>
      <c r="D4" s="49" t="str">
        <f t="shared" si="0"/>
        <v>Clarence House</v>
      </c>
      <c r="E4" s="57" t="s">
        <v>103</v>
      </c>
      <c r="F4" s="57" t="s">
        <v>102</v>
      </c>
      <c r="G4" s="58" t="s">
        <v>810</v>
      </c>
      <c r="H4" s="56" t="s">
        <v>565</v>
      </c>
      <c r="I4" s="56"/>
      <c r="J4" s="57"/>
      <c r="L4" s="51" t="s">
        <v>546</v>
      </c>
      <c r="M4" s="49" t="s">
        <v>811</v>
      </c>
      <c r="N4" s="49">
        <v>51.504045300000001</v>
      </c>
      <c r="O4" s="49">
        <v>-0.13855339999999999</v>
      </c>
      <c r="P4" s="49" t="str">
        <f t="shared" si="1"/>
        <v>&lt;b&gt;Clarence House&lt;/b&gt;&lt;br&gt;London&lt;br&gt;United Kingdom</v>
      </c>
      <c r="Q4" s="51" t="s">
        <v>581</v>
      </c>
      <c r="R4" s="51"/>
    </row>
    <row r="5" spans="1:18">
      <c r="A5" s="56">
        <v>204</v>
      </c>
      <c r="B5" s="49" t="s">
        <v>548</v>
      </c>
      <c r="C5" s="57" t="s">
        <v>550</v>
      </c>
      <c r="D5" s="49" t="str">
        <f t="shared" si="0"/>
        <v>Royal Lodge</v>
      </c>
      <c r="E5" s="49" t="s">
        <v>103</v>
      </c>
      <c r="F5" s="49" t="s">
        <v>102</v>
      </c>
      <c r="G5" s="49" t="s">
        <v>3244</v>
      </c>
      <c r="H5" s="49" t="s">
        <v>519</v>
      </c>
      <c r="L5" s="49" t="s">
        <v>3245</v>
      </c>
      <c r="M5" s="49" t="s">
        <v>3246</v>
      </c>
      <c r="N5" s="49">
        <v>51.424085099999999</v>
      </c>
      <c r="O5" s="49">
        <v>-0.61777110000000002</v>
      </c>
      <c r="P5" s="49" t="str">
        <f t="shared" si="1"/>
        <v>&lt;b&gt;Royal Lodge&lt;/b&gt;&lt;br&gt;Windsor&lt;br&gt;United Kingdom</v>
      </c>
      <c r="Q5" s="49" t="s">
        <v>582</v>
      </c>
    </row>
    <row r="6" spans="1:18">
      <c r="A6" s="56">
        <v>205</v>
      </c>
      <c r="B6" s="57" t="s">
        <v>551</v>
      </c>
      <c r="C6" s="49" t="s">
        <v>549</v>
      </c>
      <c r="D6" s="49" t="str">
        <f t="shared" si="0"/>
        <v>Bagshot Park</v>
      </c>
      <c r="E6" s="49" t="s">
        <v>103</v>
      </c>
      <c r="F6" s="49" t="s">
        <v>102</v>
      </c>
      <c r="G6" s="49" t="s">
        <v>566</v>
      </c>
      <c r="H6" s="49" t="s">
        <v>568</v>
      </c>
      <c r="I6" s="49" t="s">
        <v>812</v>
      </c>
      <c r="L6" s="49" t="s">
        <v>813</v>
      </c>
      <c r="M6" s="49" t="s">
        <v>814</v>
      </c>
      <c r="N6" s="49">
        <v>51.362124599999987</v>
      </c>
      <c r="O6" s="65">
        <v>-0.69518799999999992</v>
      </c>
      <c r="P6" s="49" t="str">
        <f t="shared" si="1"/>
        <v>&lt;b&gt;Bagshot Park&lt;/b&gt;&lt;br&gt;Bagshot&lt;br&gt;United Kingdom</v>
      </c>
      <c r="Q6" s="49" t="s">
        <v>583</v>
      </c>
    </row>
    <row r="7" spans="1:18">
      <c r="A7" s="56">
        <v>206</v>
      </c>
      <c r="B7" s="57" t="s">
        <v>552</v>
      </c>
      <c r="C7" s="49" t="s">
        <v>572</v>
      </c>
      <c r="D7" s="49" t="str">
        <f t="shared" si="0"/>
        <v>Gatcombe Park</v>
      </c>
      <c r="E7" s="49" t="s">
        <v>103</v>
      </c>
      <c r="F7" s="49" t="s">
        <v>102</v>
      </c>
      <c r="G7" s="49" t="s">
        <v>573</v>
      </c>
      <c r="M7" s="49" t="s">
        <v>815</v>
      </c>
      <c r="N7" s="49">
        <v>51.691686799999999</v>
      </c>
      <c r="O7" s="49">
        <v>-2.1743469000000002</v>
      </c>
      <c r="P7" s="49" t="str">
        <f t="shared" si="1"/>
        <v>&lt;b&gt;Gatcombe Park&lt;/b&gt;&lt;br&gt;&lt;br&gt;United Kingdom</v>
      </c>
      <c r="Q7" s="49" t="s">
        <v>584</v>
      </c>
    </row>
    <row r="8" spans="1:18" ht="18" customHeight="1">
      <c r="A8" s="56">
        <v>207</v>
      </c>
      <c r="B8" s="49" t="s">
        <v>585</v>
      </c>
      <c r="C8" s="63" t="s">
        <v>619</v>
      </c>
      <c r="D8" s="49" t="str">
        <f t="shared" si="0"/>
        <v>Balmoral Castle</v>
      </c>
      <c r="E8" s="49" t="s">
        <v>103</v>
      </c>
      <c r="F8" s="49" t="s">
        <v>102</v>
      </c>
      <c r="G8" s="49" t="s">
        <v>587</v>
      </c>
      <c r="H8" s="49" t="s">
        <v>3017</v>
      </c>
      <c r="L8" s="49" t="s">
        <v>586</v>
      </c>
      <c r="M8" s="49" t="s">
        <v>3018</v>
      </c>
      <c r="N8" s="49">
        <v>57.0406604</v>
      </c>
      <c r="O8" s="49">
        <v>-3.2298551</v>
      </c>
      <c r="P8" s="49" t="str">
        <f t="shared" si="1"/>
        <v>&lt;b&gt;Balmoral Castle&lt;/b&gt;&lt;br&gt;Ballater&lt;br&gt;United Kingdom</v>
      </c>
      <c r="Q8" s="49" t="s">
        <v>667</v>
      </c>
    </row>
    <row r="9" spans="1:18" ht="18" customHeight="1">
      <c r="A9" s="56">
        <v>208</v>
      </c>
      <c r="B9" s="49" t="s">
        <v>625</v>
      </c>
      <c r="C9" s="63" t="s">
        <v>625</v>
      </c>
      <c r="D9" s="49" t="str">
        <f t="shared" ref="D9:D10" si="2">B9</f>
        <v>Windsor Castle</v>
      </c>
      <c r="E9" s="49" t="s">
        <v>103</v>
      </c>
      <c r="F9" s="49" t="s">
        <v>102</v>
      </c>
      <c r="G9" s="49" t="s">
        <v>3247</v>
      </c>
      <c r="H9" s="49" t="s">
        <v>519</v>
      </c>
      <c r="L9" s="49" t="s">
        <v>3019</v>
      </c>
      <c r="M9" s="49" t="s">
        <v>3248</v>
      </c>
      <c r="N9" s="49">
        <v>51.483812299999997</v>
      </c>
      <c r="O9" s="49">
        <v>-0.60462369999999999</v>
      </c>
      <c r="P9" s="49" t="str">
        <f t="shared" si="1"/>
        <v>&lt;b&gt;Windsor Castle&lt;/b&gt;&lt;br&gt;Windsor&lt;br&gt;United Kingdom</v>
      </c>
      <c r="Q9" s="49" t="s">
        <v>626</v>
      </c>
    </row>
    <row r="10" spans="1:18">
      <c r="A10" s="56">
        <v>209</v>
      </c>
      <c r="B10" s="49" t="s">
        <v>656</v>
      </c>
      <c r="C10" s="49" t="s">
        <v>658</v>
      </c>
      <c r="D10" s="49" t="str">
        <f t="shared" si="2"/>
        <v>Sunninghill Park</v>
      </c>
      <c r="E10" s="49" t="s">
        <v>103</v>
      </c>
      <c r="F10" s="49" t="s">
        <v>102</v>
      </c>
      <c r="G10" s="49" t="s">
        <v>567</v>
      </c>
      <c r="L10" s="49" t="s">
        <v>816</v>
      </c>
      <c r="M10" s="49" t="s">
        <v>3249</v>
      </c>
      <c r="N10" s="49">
        <v>51.425133299999999</v>
      </c>
      <c r="O10" s="49">
        <v>-0.64956589999999992</v>
      </c>
      <c r="P10" s="49" t="str">
        <f t="shared" si="1"/>
        <v>&lt;b&gt;Sunninghill Park&lt;/b&gt;&lt;br&gt;&lt;br&gt;United Kingdom</v>
      </c>
      <c r="Q10" s="49" t="s">
        <v>655</v>
      </c>
    </row>
    <row r="11" spans="1:18">
      <c r="D11" s="49"/>
    </row>
    <row r="12" spans="1:18">
      <c r="D12" s="49"/>
    </row>
    <row r="14" spans="1:18" ht="15">
      <c r="L14" s="21"/>
    </row>
    <row r="16" spans="1:18" ht="15">
      <c r="M16" s="21"/>
    </row>
    <row r="17" spans="8:16" ht="12">
      <c r="H17" s="67"/>
      <c r="M17" s="49">
        <v>51.501079559326101</v>
      </c>
      <c r="N17" s="49">
        <v>-0.14192512631416301</v>
      </c>
    </row>
    <row r="18" spans="8:16" ht="12">
      <c r="H18" s="67"/>
      <c r="M18" s="49">
        <v>51.505277999999997</v>
      </c>
      <c r="N18" s="49">
        <v>-0.188333</v>
      </c>
    </row>
    <row r="19" spans="8:16">
      <c r="M19" s="49">
        <v>51.5040452</v>
      </c>
      <c r="N19" s="49">
        <v>-0.13855339999999999</v>
      </c>
      <c r="P19" s="49" t="s">
        <v>657</v>
      </c>
    </row>
    <row r="20" spans="8:16">
      <c r="M20" s="49">
        <v>51.439</v>
      </c>
      <c r="N20" s="49">
        <v>-0.60670000000000002</v>
      </c>
    </row>
    <row r="21" spans="8:16">
      <c r="M21" s="49">
        <v>51.370544000000002</v>
      </c>
      <c r="N21" s="65" t="s">
        <v>624</v>
      </c>
    </row>
    <row r="22" spans="8:16">
      <c r="M22" s="49">
        <v>51.697569999999999</v>
      </c>
      <c r="N22" s="49">
        <v>-2.1713399999999998</v>
      </c>
    </row>
    <row r="23" spans="8:16">
      <c r="M23" s="49">
        <v>57.039721999999998</v>
      </c>
      <c r="N23" s="49">
        <v>-3.2313890000000001</v>
      </c>
    </row>
    <row r="24" spans="8:16">
      <c r="M24" s="49">
        <v>51.483857999999998</v>
      </c>
      <c r="N24" s="49">
        <v>-0.60658000000000001</v>
      </c>
    </row>
    <row r="25" spans="8:16">
      <c r="M25" s="49">
        <v>51.42604</v>
      </c>
      <c r="N25" s="49">
        <v>-0.64989399999999997</v>
      </c>
    </row>
    <row r="27" spans="8:16">
      <c r="M27" s="1" t="s">
        <v>662</v>
      </c>
    </row>
    <row r="28" spans="8:16" ht="15">
      <c r="M28" s="21" t="s">
        <v>661</v>
      </c>
    </row>
  </sheetData>
  <hyperlinks>
    <hyperlink ref="M28" r:id="rId1"/>
  </hyperlinks>
  <pageMargins left="0.7" right="0.7" top="0.75" bottom="0.75" header="0.3" footer="0.3"/>
  <pageSetup orientation="portrait" horizontalDpi="1200" verticalDpi="1200"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1"/>
  <dimension ref="A1:L14"/>
  <sheetViews>
    <sheetView workbookViewId="0">
      <selection activeCell="H13" sqref="H13:H14"/>
    </sheetView>
  </sheetViews>
  <sheetFormatPr defaultColWidth="8.28515625" defaultRowHeight="15"/>
  <cols>
    <col min="1" max="1" width="8.85546875" style="37" customWidth="1"/>
    <col min="2" max="2" width="13" customWidth="1"/>
    <col min="3" max="3" width="8.28515625" style="14"/>
    <col min="4" max="4" width="11.85546875" style="14" customWidth="1"/>
    <col min="5" max="5" width="8.28515625" style="14"/>
    <col min="6" max="6" width="12" style="14" customWidth="1"/>
    <col min="7" max="7" width="7" style="14" customWidth="1"/>
    <col min="8" max="8" width="18.85546875" style="14" customWidth="1"/>
    <col min="9" max="10" width="8.28515625" style="14"/>
    <col min="11" max="11" width="28.5703125" style="14" customWidth="1"/>
    <col min="12" max="16384" width="8.28515625" style="14"/>
  </cols>
  <sheetData>
    <row r="1" spans="1:12">
      <c r="A1" s="38" t="s">
        <v>517</v>
      </c>
      <c r="B1" s="6" t="s">
        <v>518</v>
      </c>
    </row>
    <row r="2" spans="1:12" ht="18" customHeight="1">
      <c r="A2" s="37">
        <v>1</v>
      </c>
      <c r="B2" t="s">
        <v>519</v>
      </c>
      <c r="L2" s="21"/>
    </row>
    <row r="3" spans="1:12">
      <c r="A3" s="37">
        <v>2</v>
      </c>
      <c r="B3" t="s">
        <v>593</v>
      </c>
      <c r="C3" s="14" t="s">
        <v>590</v>
      </c>
    </row>
    <row r="4" spans="1:12">
      <c r="A4" s="37">
        <v>3</v>
      </c>
      <c r="B4" t="s">
        <v>536</v>
      </c>
    </row>
    <row r="5" spans="1:12">
      <c r="A5" s="37">
        <v>4</v>
      </c>
      <c r="B5" t="s">
        <v>537</v>
      </c>
    </row>
    <row r="6" spans="1:12">
      <c r="A6" s="37">
        <v>5</v>
      </c>
      <c r="B6" t="s">
        <v>538</v>
      </c>
    </row>
    <row r="7" spans="1:12">
      <c r="A7" s="37">
        <v>6</v>
      </c>
      <c r="B7" t="s">
        <v>539</v>
      </c>
    </row>
    <row r="8" spans="1:12" ht="23.25">
      <c r="A8" s="37">
        <v>7</v>
      </c>
      <c r="B8" t="s">
        <v>592</v>
      </c>
      <c r="C8" s="14" t="s">
        <v>591</v>
      </c>
    </row>
    <row r="9" spans="1:12">
      <c r="A9" s="37">
        <v>8</v>
      </c>
      <c r="B9" t="s">
        <v>629</v>
      </c>
    </row>
    <row r="10" spans="1:12">
      <c r="A10" s="37">
        <v>9</v>
      </c>
      <c r="B10" t="s">
        <v>632</v>
      </c>
    </row>
    <row r="11" spans="1:12">
      <c r="A11" s="37">
        <v>10</v>
      </c>
      <c r="B11" t="s">
        <v>651</v>
      </c>
    </row>
    <row r="12" spans="1:12">
      <c r="A12" s="37">
        <v>11</v>
      </c>
      <c r="B12" t="s">
        <v>629</v>
      </c>
      <c r="C12" s="14" t="s">
        <v>652</v>
      </c>
    </row>
    <row r="13" spans="1:12">
      <c r="H13" s="1" t="s">
        <v>662</v>
      </c>
    </row>
    <row r="14" spans="1:12">
      <c r="H14" s="21" t="s">
        <v>661</v>
      </c>
    </row>
  </sheetData>
  <hyperlinks>
    <hyperlink ref="H14" r:id="rId1"/>
  </hyperlinks>
  <pageMargins left="0.7" right="0.7" top="0.75" bottom="0.75" header="0.3" footer="0.3"/>
  <pageSetup orientation="portrait" horizontalDpi="1200" verticalDpi="1200"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30"/>
  <dimension ref="A1:K179"/>
  <sheetViews>
    <sheetView topLeftCell="A40" workbookViewId="0">
      <selection activeCell="J49" sqref="J49:J50"/>
    </sheetView>
  </sheetViews>
  <sheetFormatPr defaultColWidth="8.28515625" defaultRowHeight="15"/>
  <cols>
    <col min="1" max="1" width="10.7109375" style="37" customWidth="1"/>
    <col min="2" max="2" width="10.140625" style="14" customWidth="1"/>
    <col min="3" max="3" width="11.85546875" style="14" customWidth="1"/>
    <col min="4" max="4" width="8.28515625" style="14"/>
    <col min="5" max="5" width="12" style="14" customWidth="1"/>
    <col min="6" max="6" width="7" style="14" customWidth="1"/>
    <col min="7" max="7" width="18.85546875" style="14" customWidth="1"/>
    <col min="8" max="8" width="11.7109375" style="14" customWidth="1"/>
    <col min="9" max="9" width="20.42578125" style="14" customWidth="1"/>
    <col min="10" max="10" width="28.5703125" style="14" customWidth="1"/>
    <col min="11" max="16384" width="8.28515625" style="14"/>
  </cols>
  <sheetData>
    <row r="1" spans="1:11">
      <c r="A1" s="38" t="s">
        <v>513</v>
      </c>
      <c r="B1" s="38" t="s">
        <v>517</v>
      </c>
      <c r="C1" s="38" t="s">
        <v>526</v>
      </c>
      <c r="D1" s="12" t="s">
        <v>535</v>
      </c>
      <c r="G1" s="66"/>
      <c r="H1" s="66"/>
      <c r="I1" s="66"/>
    </row>
    <row r="2" spans="1:11">
      <c r="A2" s="37">
        <v>20</v>
      </c>
      <c r="B2" s="14">
        <v>1</v>
      </c>
      <c r="C2" s="14">
        <v>1</v>
      </c>
      <c r="D2" s="14">
        <v>201</v>
      </c>
      <c r="G2" s="66" t="str">
        <f>VLOOKUP(A2,People!$A$2:$B$40,2,FALSE)</f>
        <v>Elizabeth</v>
      </c>
      <c r="H2" s="66" t="str">
        <f>VLOOKUP(B2,Families!$A$2:$B$14,2,FALSE)</f>
        <v>Windsor</v>
      </c>
      <c r="I2" s="66" t="str">
        <f>VLOOKUP(D2,Homes!$A$2:$B$15,2,FALSE)</f>
        <v>Buckingham Palace</v>
      </c>
      <c r="K2" s="21"/>
    </row>
    <row r="3" spans="1:11" ht="18" customHeight="1">
      <c r="A3" s="37">
        <v>21</v>
      </c>
      <c r="B3" s="14">
        <v>1</v>
      </c>
      <c r="C3" s="14">
        <v>1</v>
      </c>
      <c r="D3" s="14">
        <v>201</v>
      </c>
      <c r="G3" s="66" t="str">
        <f>VLOOKUP(A3,People!$A$2:$B$40,2,FALSE)</f>
        <v>Philip</v>
      </c>
      <c r="H3" s="66" t="str">
        <f>VLOOKUP(B3,Families!$A$2:$B$14,2,FALSE)</f>
        <v>Windsor</v>
      </c>
      <c r="I3" s="66" t="str">
        <f>VLOOKUP(D3,Homes!$A$2:$B$15,2,FALSE)</f>
        <v>Buckingham Palace</v>
      </c>
    </row>
    <row r="4" spans="1:11">
      <c r="A4" s="37">
        <v>23</v>
      </c>
      <c r="B4" s="14">
        <v>1</v>
      </c>
      <c r="C4" s="14">
        <v>2</v>
      </c>
      <c r="D4" s="14">
        <v>201</v>
      </c>
      <c r="G4" s="66" t="str">
        <f>VLOOKUP(A4,People!$A$2:$B$40,2,FALSE)</f>
        <v>Charles</v>
      </c>
      <c r="H4" s="66" t="str">
        <f>VLOOKUP(B4,Families!$A$2:$B$14,2,FALSE)</f>
        <v>Windsor</v>
      </c>
      <c r="I4" s="66" t="str">
        <f>VLOOKUP(D4,Homes!$A$2:$B$15,2,FALSE)</f>
        <v>Buckingham Palace</v>
      </c>
    </row>
    <row r="5" spans="1:11">
      <c r="A5" s="37">
        <v>25</v>
      </c>
      <c r="B5" s="14">
        <v>1</v>
      </c>
      <c r="C5" s="14">
        <v>2</v>
      </c>
      <c r="D5" s="14">
        <v>201</v>
      </c>
      <c r="G5" s="66" t="str">
        <f>VLOOKUP(A5,People!$A$2:$B$40,2,FALSE)</f>
        <v>Anne</v>
      </c>
      <c r="H5" s="66" t="str">
        <f>VLOOKUP(B5,Families!$A$2:$B$14,2,FALSE)</f>
        <v>Windsor</v>
      </c>
      <c r="I5" s="66" t="str">
        <f>VLOOKUP(D5,Homes!$A$2:$B$15,2,FALSE)</f>
        <v>Buckingham Palace</v>
      </c>
    </row>
    <row r="6" spans="1:11" ht="18" customHeight="1">
      <c r="A6" s="37">
        <v>22</v>
      </c>
      <c r="B6" s="14">
        <v>1</v>
      </c>
      <c r="C6" s="14">
        <v>2</v>
      </c>
      <c r="D6" s="14">
        <v>201</v>
      </c>
      <c r="G6" s="66" t="str">
        <f>VLOOKUP(A6,People!$A$2:$B$40,2,FALSE)</f>
        <v>Andrew</v>
      </c>
      <c r="H6" s="66" t="str">
        <f>VLOOKUP(B6,Families!$A$2:$B$14,2,FALSE)</f>
        <v>Windsor</v>
      </c>
      <c r="I6" s="66" t="str">
        <f>VLOOKUP(D6,Homes!$A$2:$B$15,2,FALSE)</f>
        <v>Buckingham Palace</v>
      </c>
    </row>
    <row r="7" spans="1:11">
      <c r="A7" s="37">
        <v>24</v>
      </c>
      <c r="B7" s="14">
        <v>1</v>
      </c>
      <c r="C7" s="14">
        <v>2</v>
      </c>
      <c r="D7" s="14">
        <v>201</v>
      </c>
      <c r="G7" s="66" t="str">
        <f>VLOOKUP(A7,People!$A$2:$B$40,2,FALSE)</f>
        <v>Edward</v>
      </c>
      <c r="H7" s="66" t="str">
        <f>VLOOKUP(B7,Families!$A$2:$B$14,2,FALSE)</f>
        <v>Windsor</v>
      </c>
      <c r="I7" s="66" t="str">
        <f>VLOOKUP(D7,Homes!$A$2:$B$15,2,FALSE)</f>
        <v>Buckingham Palace</v>
      </c>
    </row>
    <row r="8" spans="1:11">
      <c r="A8" s="37">
        <v>26</v>
      </c>
      <c r="B8" s="14">
        <v>1</v>
      </c>
      <c r="C8" s="14">
        <v>3</v>
      </c>
      <c r="D8" s="14">
        <v>201</v>
      </c>
      <c r="G8" s="66" t="str">
        <f>VLOOKUP(A8,People!$A$2:$B$40,2,FALSE)</f>
        <v>William</v>
      </c>
      <c r="H8" s="66" t="str">
        <f>VLOOKUP(B8,Families!$A$2:$B$14,2,FALSE)</f>
        <v>Windsor</v>
      </c>
      <c r="I8" s="66" t="str">
        <f>VLOOKUP(D8,Homes!$A$2:$B$15,2,FALSE)</f>
        <v>Buckingham Palace</v>
      </c>
    </row>
    <row r="9" spans="1:11">
      <c r="A9" s="37">
        <v>30</v>
      </c>
      <c r="B9" s="14">
        <v>1</v>
      </c>
      <c r="C9" s="14">
        <v>3</v>
      </c>
      <c r="D9" s="14">
        <v>201</v>
      </c>
      <c r="G9" s="66" t="str">
        <f>VLOOKUP(A9,People!$A$2:$B$40,2,FALSE)</f>
        <v>Harry</v>
      </c>
      <c r="H9" s="66" t="str">
        <f>VLOOKUP(B9,Families!$A$2:$B$14,2,FALSE)</f>
        <v>Windsor</v>
      </c>
      <c r="I9" s="66" t="str">
        <f>VLOOKUP(D9,Homes!$A$2:$B$15,2,FALSE)</f>
        <v>Buckingham Palace</v>
      </c>
    </row>
    <row r="10" spans="1:11">
      <c r="A10" s="37">
        <v>22</v>
      </c>
      <c r="B10" s="14">
        <v>3</v>
      </c>
      <c r="C10" s="14">
        <v>1</v>
      </c>
      <c r="D10" s="14">
        <v>204</v>
      </c>
      <c r="G10" s="66" t="str">
        <f>VLOOKUP(A10,People!$A$2:$B$40,2,FALSE)</f>
        <v>Andrew</v>
      </c>
      <c r="H10" s="66" t="str">
        <f>VLOOKUP(B10,Families!$A$2:$B$14,2,FALSE)</f>
        <v>York</v>
      </c>
      <c r="I10" s="66" t="str">
        <f>VLOOKUP(D10,Homes!$A$2:$B$15,2,FALSE)</f>
        <v>Royal Lodge</v>
      </c>
    </row>
    <row r="11" spans="1:11">
      <c r="A11" s="37">
        <v>25</v>
      </c>
      <c r="B11" s="14">
        <v>8</v>
      </c>
      <c r="C11" s="14">
        <v>1</v>
      </c>
      <c r="D11" s="14">
        <v>206</v>
      </c>
      <c r="G11" s="66" t="str">
        <f>VLOOKUP(A11,People!$A$2:$B$40,2,FALSE)</f>
        <v>Anne</v>
      </c>
      <c r="H11" s="66" t="str">
        <f>VLOOKUP(B11,Families!$A$2:$B$14,2,FALSE)</f>
        <v>Phillips</v>
      </c>
      <c r="I11" s="66" t="str">
        <f>VLOOKUP(D11,Homes!$A$2:$B$15,2,FALSE)</f>
        <v>Gatcombe Park</v>
      </c>
    </row>
    <row r="12" spans="1:11">
      <c r="A12" s="37">
        <v>28</v>
      </c>
      <c r="B12" s="14">
        <v>7</v>
      </c>
      <c r="C12" s="14">
        <v>1</v>
      </c>
      <c r="D12" s="14">
        <v>203</v>
      </c>
      <c r="G12" s="66" t="str">
        <f>VLOOKUP(A12,People!$A$2:$B$40,2,FALSE)</f>
        <v>Camilla</v>
      </c>
      <c r="H12" s="66" t="str">
        <f>VLOOKUP(B12,Families!$A$2:$B$14,2,FALSE)</f>
        <v>Wales - 2nd</v>
      </c>
      <c r="I12" s="66" t="str">
        <f>VLOOKUP(D12,Homes!$A$2:$B$15,2,FALSE)</f>
        <v>Clarence House</v>
      </c>
    </row>
    <row r="13" spans="1:11">
      <c r="A13" s="37">
        <v>23</v>
      </c>
      <c r="B13" s="14">
        <v>7</v>
      </c>
      <c r="C13" s="14">
        <v>1</v>
      </c>
      <c r="D13" s="14">
        <v>203</v>
      </c>
      <c r="G13" s="66" t="str">
        <f>VLOOKUP(A13,People!$A$2:$B$40,2,FALSE)</f>
        <v>Charles</v>
      </c>
      <c r="H13" s="66" t="str">
        <f>VLOOKUP(B13,Families!$A$2:$B$14,2,FALSE)</f>
        <v>Wales - 2nd</v>
      </c>
      <c r="I13" s="66" t="str">
        <f>VLOOKUP(D13,Homes!$A$2:$B$15,2,FALSE)</f>
        <v>Clarence House</v>
      </c>
    </row>
    <row r="14" spans="1:11">
      <c r="A14" s="37">
        <v>30</v>
      </c>
      <c r="B14" s="14">
        <v>7</v>
      </c>
      <c r="C14" s="14">
        <v>2</v>
      </c>
      <c r="D14" s="14">
        <v>203</v>
      </c>
      <c r="G14" s="66" t="str">
        <f>VLOOKUP(A14,People!$A$2:$B$40,2,FALSE)</f>
        <v>Harry</v>
      </c>
      <c r="H14" s="66" t="str">
        <f>VLOOKUP(B14,Families!$A$2:$B$14,2,FALSE)</f>
        <v>Wales - 2nd</v>
      </c>
      <c r="I14" s="66" t="str">
        <f>VLOOKUP(D14,Homes!$A$2:$B$15,2,FALSE)</f>
        <v>Clarence House</v>
      </c>
    </row>
    <row r="15" spans="1:11">
      <c r="A15" s="37">
        <v>29</v>
      </c>
      <c r="B15" s="14">
        <v>2</v>
      </c>
      <c r="C15" s="14">
        <v>1</v>
      </c>
      <c r="D15" s="14">
        <v>202</v>
      </c>
      <c r="G15" s="66" t="str">
        <f>VLOOKUP(A15,People!$A$2:$B$40,2,FALSE)</f>
        <v>Diana</v>
      </c>
      <c r="H15" s="66" t="str">
        <f>VLOOKUP(B15,Families!$A$2:$B$14,2,FALSE)</f>
        <v>Wales - 1st</v>
      </c>
      <c r="I15" s="66" t="str">
        <f>VLOOKUP(D15,Homes!$A$2:$B$15,2,FALSE)</f>
        <v>Kensington Palace</v>
      </c>
    </row>
    <row r="16" spans="1:11">
      <c r="A16" s="37">
        <v>23</v>
      </c>
      <c r="B16" s="14">
        <v>2</v>
      </c>
      <c r="C16" s="14">
        <v>1</v>
      </c>
      <c r="D16" s="14">
        <v>202</v>
      </c>
      <c r="G16" s="66" t="str">
        <f>VLOOKUP(A16,People!$A$2:$B$40,2,FALSE)</f>
        <v>Charles</v>
      </c>
      <c r="H16" s="66" t="str">
        <f>VLOOKUP(B16,Families!$A$2:$B$14,2,FALSE)</f>
        <v>Wales - 1st</v>
      </c>
      <c r="I16" s="66" t="str">
        <f>VLOOKUP(D16,Homes!$A$2:$B$15,2,FALSE)</f>
        <v>Kensington Palace</v>
      </c>
    </row>
    <row r="17" spans="1:11">
      <c r="A17" s="37">
        <v>26</v>
      </c>
      <c r="B17" s="14">
        <v>2</v>
      </c>
      <c r="C17" s="14">
        <v>2</v>
      </c>
      <c r="D17" s="14">
        <v>202</v>
      </c>
      <c r="G17" s="66" t="str">
        <f>VLOOKUP(A17,People!$A$2:$B$40,2,FALSE)</f>
        <v>William</v>
      </c>
      <c r="H17" s="66" t="str">
        <f>VLOOKUP(B17,Families!$A$2:$B$14,2,FALSE)</f>
        <v>Wales - 1st</v>
      </c>
      <c r="I17" s="66" t="str">
        <f>VLOOKUP(D17,Homes!$A$2:$B$15,2,FALSE)</f>
        <v>Kensington Palace</v>
      </c>
    </row>
    <row r="18" spans="1:11">
      <c r="A18" s="37">
        <v>30</v>
      </c>
      <c r="B18" s="14">
        <v>2</v>
      </c>
      <c r="C18" s="14">
        <v>2</v>
      </c>
      <c r="D18" s="14">
        <v>202</v>
      </c>
      <c r="G18" s="66" t="str">
        <f>VLOOKUP(A18,People!$A$2:$B$40,2,FALSE)</f>
        <v>Harry</v>
      </c>
      <c r="H18" s="66" t="str">
        <f>VLOOKUP(B18,Families!$A$2:$B$14,2,FALSE)</f>
        <v>Wales - 1st</v>
      </c>
      <c r="I18" s="66" t="str">
        <f>VLOOKUP(D18,Homes!$A$2:$B$15,2,FALSE)</f>
        <v>Kensington Palace</v>
      </c>
    </row>
    <row r="19" spans="1:11">
      <c r="A19" s="37">
        <v>24</v>
      </c>
      <c r="B19" s="14">
        <v>5</v>
      </c>
      <c r="C19" s="14">
        <v>1</v>
      </c>
      <c r="D19" s="14">
        <v>205</v>
      </c>
      <c r="G19" s="66" t="str">
        <f>VLOOKUP(A19,People!$A$2:$B$40,2,FALSE)</f>
        <v>Edward</v>
      </c>
      <c r="H19" s="66" t="str">
        <f>VLOOKUP(B19,Families!$A$2:$B$14,2,FALSE)</f>
        <v>Wessex</v>
      </c>
      <c r="I19" s="66" t="str">
        <f>VLOOKUP(D19,Homes!$A$2:$B$15,2,FALSE)</f>
        <v>Bagshot Park</v>
      </c>
    </row>
    <row r="20" spans="1:11">
      <c r="A20" s="37">
        <v>31</v>
      </c>
      <c r="B20" s="14">
        <v>5</v>
      </c>
      <c r="C20" s="14">
        <v>1</v>
      </c>
      <c r="D20" s="14">
        <v>205</v>
      </c>
      <c r="G20" s="66" t="str">
        <f>VLOOKUP(A20,People!$A$2:$B$40,2,FALSE)</f>
        <v>Sophie</v>
      </c>
      <c r="H20" s="66" t="str">
        <f>VLOOKUP(B20,Families!$A$2:$B$14,2,FALSE)</f>
        <v>Wessex</v>
      </c>
      <c r="I20" s="66" t="str">
        <f>VLOOKUP(D20,Homes!$A$2:$B$15,2,FALSE)</f>
        <v>Bagshot Park</v>
      </c>
    </row>
    <row r="21" spans="1:11">
      <c r="A21" s="37">
        <v>20</v>
      </c>
      <c r="B21" s="14">
        <v>1</v>
      </c>
      <c r="C21" s="14">
        <v>1</v>
      </c>
      <c r="D21" s="14">
        <v>207</v>
      </c>
      <c r="G21" s="66" t="str">
        <f>VLOOKUP(A21,People!$A$2:$B$40,2,FALSE)</f>
        <v>Elizabeth</v>
      </c>
      <c r="H21" s="66" t="str">
        <f>VLOOKUP(B21,Families!$A$2:$B$14,2,FALSE)</f>
        <v>Windsor</v>
      </c>
      <c r="I21" s="66" t="str">
        <f>VLOOKUP(D21,Homes!$A$2:$B$15,2,FALSE)</f>
        <v>Balmoral Castle</v>
      </c>
      <c r="K21" s="21"/>
    </row>
    <row r="22" spans="1:11">
      <c r="A22" s="37">
        <v>21</v>
      </c>
      <c r="B22" s="14">
        <v>1</v>
      </c>
      <c r="C22" s="14">
        <v>1</v>
      </c>
      <c r="D22" s="14">
        <v>207</v>
      </c>
      <c r="G22" s="66" t="str">
        <f>VLOOKUP(A22,People!$A$2:$B$40,2,FALSE)</f>
        <v>Philip</v>
      </c>
      <c r="H22" s="66" t="str">
        <f>VLOOKUP(B22,Families!$A$2:$B$14,2,FALSE)</f>
        <v>Windsor</v>
      </c>
      <c r="I22" s="66" t="str">
        <f>VLOOKUP(D22,Homes!$A$2:$B$15,2,FALSE)</f>
        <v>Balmoral Castle</v>
      </c>
    </row>
    <row r="23" spans="1:11">
      <c r="A23" s="37">
        <v>27</v>
      </c>
      <c r="B23" s="14">
        <v>4</v>
      </c>
      <c r="C23" s="14">
        <v>1</v>
      </c>
      <c r="D23" s="14">
        <v>202</v>
      </c>
      <c r="G23" s="66" t="str">
        <f>VLOOKUP(A23,People!$A$2:$B$40,2,FALSE)</f>
        <v>Kate</v>
      </c>
      <c r="H23" s="66" t="str">
        <f>VLOOKUP(B23,Families!$A$2:$B$14,2,FALSE)</f>
        <v>Cambridge</v>
      </c>
      <c r="I23" s="66" t="str">
        <f>VLOOKUP(D23,Homes!$A$2:$B$15,2,FALSE)</f>
        <v>Kensington Palace</v>
      </c>
    </row>
    <row r="24" spans="1:11">
      <c r="A24" s="37">
        <v>26</v>
      </c>
      <c r="B24" s="14">
        <v>4</v>
      </c>
      <c r="C24" s="14">
        <v>1</v>
      </c>
      <c r="D24" s="14">
        <v>202</v>
      </c>
      <c r="G24" s="66" t="str">
        <f>VLOOKUP(A24,People!$A$2:$B$40,2,FALSE)</f>
        <v>William</v>
      </c>
      <c r="H24" s="66" t="str">
        <f>VLOOKUP(B24,Families!$A$2:$B$14,2,FALSE)</f>
        <v>Cambridge</v>
      </c>
      <c r="I24" s="66" t="str">
        <f>VLOOKUP(D24,Homes!$A$2:$B$15,2,FALSE)</f>
        <v>Kensington Palace</v>
      </c>
    </row>
    <row r="25" spans="1:11">
      <c r="A25" s="37">
        <v>20</v>
      </c>
      <c r="B25" s="14">
        <v>1</v>
      </c>
      <c r="C25" s="14">
        <v>1</v>
      </c>
      <c r="D25" s="14">
        <v>208</v>
      </c>
      <c r="G25" s="66" t="str">
        <f>VLOOKUP(A25,People!$A$2:$B$40,2,FALSE)</f>
        <v>Elizabeth</v>
      </c>
      <c r="H25" s="66" t="str">
        <f>VLOOKUP(B25,Families!$A$2:$B$14,2,FALSE)</f>
        <v>Windsor</v>
      </c>
      <c r="I25" s="66" t="str">
        <f>VLOOKUP(D25,Homes!$A$2:$B$15,2,FALSE)</f>
        <v>Windsor Castle</v>
      </c>
      <c r="K25" s="21"/>
    </row>
    <row r="26" spans="1:11" ht="18" customHeight="1">
      <c r="A26" s="37">
        <v>21</v>
      </c>
      <c r="B26" s="14">
        <v>1</v>
      </c>
      <c r="C26" s="14">
        <v>1</v>
      </c>
      <c r="D26" s="14">
        <v>208</v>
      </c>
      <c r="G26" s="66" t="str">
        <f>VLOOKUP(A26,People!$A$2:$B$40,2,FALSE)</f>
        <v>Philip</v>
      </c>
      <c r="H26" s="66" t="str">
        <f>VLOOKUP(B26,Families!$A$2:$B$14,2,FALSE)</f>
        <v>Windsor</v>
      </c>
      <c r="I26" s="66" t="str">
        <f>VLOOKUP(D26,Homes!$A$2:$B$15,2,FALSE)</f>
        <v>Windsor Castle</v>
      </c>
    </row>
    <row r="27" spans="1:11" ht="18" customHeight="1">
      <c r="A27" s="37">
        <v>32</v>
      </c>
      <c r="B27" s="14">
        <v>8</v>
      </c>
      <c r="C27" s="14">
        <v>1</v>
      </c>
      <c r="D27" s="14">
        <v>206</v>
      </c>
      <c r="G27" s="66" t="str">
        <f>VLOOKUP(A27,People!$A$2:$B$40,2,FALSE)</f>
        <v>Mark</v>
      </c>
      <c r="H27" s="66" t="str">
        <f>VLOOKUP(B27,Families!$A$2:$B$14,2,FALSE)</f>
        <v>Phillips</v>
      </c>
      <c r="I27" s="66" t="str">
        <f>VLOOKUP(D27,Homes!$A$2:$B$15,2,FALSE)</f>
        <v>Gatcombe Park</v>
      </c>
    </row>
    <row r="28" spans="1:11" ht="18" customHeight="1">
      <c r="A28" s="37">
        <v>33</v>
      </c>
      <c r="B28" s="14">
        <v>9</v>
      </c>
      <c r="C28" s="14">
        <v>1</v>
      </c>
      <c r="D28" s="14">
        <v>206</v>
      </c>
      <c r="G28" s="66" t="str">
        <f>VLOOKUP(A28,People!$A$2:$B$40,2,FALSE)</f>
        <v>Timothy</v>
      </c>
      <c r="H28" s="66" t="str">
        <f>VLOOKUP(B28,Families!$A$2:$B$14,2,FALSE)</f>
        <v>Laurence</v>
      </c>
      <c r="I28" s="66" t="str">
        <f>VLOOKUP(D28,Homes!$A$2:$B$15,2,FALSE)</f>
        <v>Gatcombe Park</v>
      </c>
    </row>
    <row r="29" spans="1:11">
      <c r="A29" s="37">
        <v>25</v>
      </c>
      <c r="B29" s="14">
        <v>9</v>
      </c>
      <c r="C29" s="14">
        <v>1</v>
      </c>
      <c r="D29" s="14">
        <v>206</v>
      </c>
      <c r="G29" s="66" t="str">
        <f>VLOOKUP(A29,People!$A$2:$B$40,2,FALSE)</f>
        <v>Anne</v>
      </c>
      <c r="H29" s="66" t="str">
        <f>VLOOKUP(B29,Families!$A$2:$B$14,2,FALSE)</f>
        <v>Laurence</v>
      </c>
      <c r="I29" s="66" t="str">
        <f>VLOOKUP(D29,Homes!$A$2:$B$15,2,FALSE)</f>
        <v>Gatcombe Park</v>
      </c>
    </row>
    <row r="30" spans="1:11">
      <c r="A30" s="37">
        <v>36</v>
      </c>
      <c r="B30" s="14">
        <v>8</v>
      </c>
      <c r="C30" s="14">
        <v>2</v>
      </c>
      <c r="D30" s="14">
        <v>206</v>
      </c>
      <c r="G30" s="66" t="str">
        <f>VLOOKUP(A30,People!$A$2:$B$40,2,FALSE)</f>
        <v>Zara</v>
      </c>
      <c r="H30" s="66" t="str">
        <f>VLOOKUP(B30,Families!$A$2:$B$14,2,FALSE)</f>
        <v>Phillips</v>
      </c>
      <c r="I30" s="66" t="str">
        <f>VLOOKUP(D30,Homes!$A$2:$B$15,2,FALSE)</f>
        <v>Gatcombe Park</v>
      </c>
    </row>
    <row r="31" spans="1:11">
      <c r="A31" s="37">
        <v>42</v>
      </c>
      <c r="B31" s="14">
        <v>8</v>
      </c>
      <c r="C31" s="14">
        <v>2</v>
      </c>
      <c r="D31" s="14">
        <v>206</v>
      </c>
      <c r="G31" s="66" t="str">
        <f>VLOOKUP(A31,People!$A$2:$B$40,2,FALSE)</f>
        <v>Peter</v>
      </c>
      <c r="H31" s="66" t="str">
        <f>VLOOKUP(B31,Families!$A$2:$B$14,2,FALSE)</f>
        <v>Phillips</v>
      </c>
      <c r="I31" s="66" t="str">
        <f>VLOOKUP(D31,Homes!$A$2:$B$15,2,FALSE)</f>
        <v>Gatcombe Park</v>
      </c>
    </row>
    <row r="32" spans="1:11">
      <c r="A32" s="37">
        <v>41</v>
      </c>
      <c r="B32" s="14">
        <v>5</v>
      </c>
      <c r="C32" s="14">
        <v>2</v>
      </c>
      <c r="D32" s="14">
        <v>205</v>
      </c>
      <c r="G32" s="66" t="str">
        <f>VLOOKUP(A32,People!$A$2:$B$40,2,FALSE)</f>
        <v>James</v>
      </c>
      <c r="H32" s="66" t="str">
        <f>VLOOKUP(B32,Families!$A$2:$B$14,2,FALSE)</f>
        <v>Wessex</v>
      </c>
      <c r="I32" s="66" t="str">
        <f>VLOOKUP(D32,Homes!$A$2:$B$15,2,FALSE)</f>
        <v>Bagshot Park</v>
      </c>
    </row>
    <row r="33" spans="1:9">
      <c r="A33" s="37">
        <v>40</v>
      </c>
      <c r="B33" s="14">
        <v>5</v>
      </c>
      <c r="C33" s="14">
        <v>2</v>
      </c>
      <c r="D33" s="14">
        <v>205</v>
      </c>
      <c r="G33" s="66" t="str">
        <f>VLOOKUP(A33,People!$A$2:$B$40,2,FALSE)</f>
        <v>Louise</v>
      </c>
      <c r="H33" s="66" t="str">
        <f>VLOOKUP(B33,Families!$A$2:$B$14,2,FALSE)</f>
        <v>Wessex</v>
      </c>
      <c r="I33" s="66" t="str">
        <f>VLOOKUP(D33,Homes!$A$2:$B$15,2,FALSE)</f>
        <v>Bagshot Park</v>
      </c>
    </row>
    <row r="34" spans="1:9">
      <c r="A34" s="37">
        <v>42</v>
      </c>
      <c r="B34" s="14">
        <v>11</v>
      </c>
      <c r="C34" s="14">
        <v>1</v>
      </c>
      <c r="D34" s="14">
        <v>206</v>
      </c>
      <c r="G34" s="66" t="str">
        <f>VLOOKUP(A34,People!$A$2:$B$40,2,FALSE)</f>
        <v>Peter</v>
      </c>
      <c r="H34" s="66" t="str">
        <f>VLOOKUP(B34,Families!$A$2:$B$14,2,FALSE)</f>
        <v>Phillips</v>
      </c>
      <c r="I34" s="66" t="str">
        <f>VLOOKUP(D34,Homes!$A$2:$B$15,2,FALSE)</f>
        <v>Gatcombe Park</v>
      </c>
    </row>
    <row r="35" spans="1:9">
      <c r="A35" s="37">
        <v>35</v>
      </c>
      <c r="B35" s="14">
        <v>11</v>
      </c>
      <c r="C35" s="14">
        <v>1</v>
      </c>
      <c r="D35" s="14">
        <v>206</v>
      </c>
      <c r="G35" s="66" t="str">
        <f>VLOOKUP(A35,People!$A$2:$B$40,2,FALSE)</f>
        <v>Autumn</v>
      </c>
      <c r="H35" s="66" t="str">
        <f>VLOOKUP(B35,Families!$A$2:$B$14,2,FALSE)</f>
        <v>Phillips</v>
      </c>
      <c r="I35" s="66" t="str">
        <f>VLOOKUP(D35,Homes!$A$2:$B$15,2,FALSE)</f>
        <v>Gatcombe Park</v>
      </c>
    </row>
    <row r="36" spans="1:9">
      <c r="A36" s="37">
        <v>43</v>
      </c>
      <c r="B36" s="14">
        <v>11</v>
      </c>
      <c r="C36" s="14">
        <v>2</v>
      </c>
      <c r="D36" s="14">
        <v>206</v>
      </c>
      <c r="G36" s="66" t="str">
        <f>VLOOKUP(A36,People!$A$2:$B$40,2,FALSE)</f>
        <v>Savannah</v>
      </c>
      <c r="H36" s="66" t="str">
        <f>VLOOKUP(B36,Families!$A$2:$B$14,2,FALSE)</f>
        <v>Phillips</v>
      </c>
      <c r="I36" s="66" t="str">
        <f>VLOOKUP(D36,Homes!$A$2:$B$15,2,FALSE)</f>
        <v>Gatcombe Park</v>
      </c>
    </row>
    <row r="37" spans="1:9">
      <c r="A37" s="37">
        <v>36</v>
      </c>
      <c r="B37" s="14">
        <v>10</v>
      </c>
      <c r="C37" s="14">
        <v>1</v>
      </c>
      <c r="D37" s="14">
        <v>206</v>
      </c>
      <c r="G37" s="66" t="str">
        <f>VLOOKUP(A37,People!$A$2:$B$40,2,FALSE)</f>
        <v>Zara</v>
      </c>
      <c r="H37" s="66" t="str">
        <f>VLOOKUP(B37,Families!$A$2:$B$14,2,FALSE)</f>
        <v>Tindall</v>
      </c>
      <c r="I37" s="66" t="str">
        <f>VLOOKUP(D37,Homes!$A$2:$B$15,2,FALSE)</f>
        <v>Gatcombe Park</v>
      </c>
    </row>
    <row r="38" spans="1:9">
      <c r="A38" s="37">
        <v>34</v>
      </c>
      <c r="B38" s="14">
        <v>10</v>
      </c>
      <c r="C38" s="14">
        <v>1</v>
      </c>
      <c r="D38" s="14">
        <v>206</v>
      </c>
      <c r="G38" s="66" t="str">
        <f>VLOOKUP(A38,People!$A$2:$B$40,2,FALSE)</f>
        <v>Mike</v>
      </c>
      <c r="H38" s="66" t="str">
        <f>VLOOKUP(B38,Families!$A$2:$B$14,2,FALSE)</f>
        <v>Tindall</v>
      </c>
      <c r="I38" s="66" t="str">
        <f>VLOOKUP(D38,Homes!$A$2:$B$15,2,FALSE)</f>
        <v>Gatcombe Park</v>
      </c>
    </row>
    <row r="39" spans="1:9">
      <c r="A39" s="37">
        <v>22</v>
      </c>
      <c r="B39" s="14">
        <v>3</v>
      </c>
      <c r="C39" s="14">
        <v>1</v>
      </c>
      <c r="D39" s="14">
        <v>204</v>
      </c>
      <c r="G39" s="66" t="str">
        <f>VLOOKUP(A39,People!$A$2:$B$40,2,FALSE)</f>
        <v>Andrew</v>
      </c>
      <c r="H39" s="66" t="str">
        <f>VLOOKUP(B39,Families!$A$2:$B$14,2,FALSE)</f>
        <v>York</v>
      </c>
      <c r="I39" s="66" t="str">
        <f>VLOOKUP(D39,Homes!$A$2:$B$15,2,FALSE)</f>
        <v>Royal Lodge</v>
      </c>
    </row>
    <row r="40" spans="1:9">
      <c r="A40" s="37">
        <v>37</v>
      </c>
      <c r="B40" s="14">
        <v>3</v>
      </c>
      <c r="C40" s="14">
        <v>1</v>
      </c>
      <c r="D40" s="14">
        <v>204</v>
      </c>
      <c r="G40" s="66" t="str">
        <f>VLOOKUP(A40,People!$A$2:$B$40,2,FALSE)</f>
        <v>Sarah</v>
      </c>
      <c r="H40" s="66" t="str">
        <f>VLOOKUP(B40,Families!$A$2:$B$14,2,FALSE)</f>
        <v>York</v>
      </c>
      <c r="I40" s="66" t="str">
        <f>VLOOKUP(D40,Homes!$A$2:$B$15,2,FALSE)</f>
        <v>Royal Lodge</v>
      </c>
    </row>
    <row r="41" spans="1:9">
      <c r="A41" s="37">
        <v>38</v>
      </c>
      <c r="B41" s="14">
        <v>3</v>
      </c>
      <c r="C41" s="14">
        <v>2</v>
      </c>
      <c r="D41" s="14">
        <v>204</v>
      </c>
      <c r="G41" s="66" t="str">
        <f>VLOOKUP(A41,People!$A$2:$B$40,2,FALSE)</f>
        <v>Beatrice</v>
      </c>
      <c r="H41" s="66" t="str">
        <f>VLOOKUP(B41,Families!$A$2:$B$14,2,FALSE)</f>
        <v>York</v>
      </c>
      <c r="I41" s="66" t="str">
        <f>VLOOKUP(D41,Homes!$A$2:$B$15,2,FALSE)</f>
        <v>Royal Lodge</v>
      </c>
    </row>
    <row r="42" spans="1:9">
      <c r="A42" s="37">
        <v>39</v>
      </c>
      <c r="B42" s="14">
        <v>3</v>
      </c>
      <c r="C42" s="14">
        <v>2</v>
      </c>
      <c r="D42" s="14">
        <v>204</v>
      </c>
      <c r="G42" s="66" t="str">
        <f>VLOOKUP(A42,People!$A$2:$B$40,2,FALSE)</f>
        <v>Eugenie</v>
      </c>
      <c r="H42" s="66" t="str">
        <f>VLOOKUP(B42,Families!$A$2:$B$14,2,FALSE)</f>
        <v>York</v>
      </c>
      <c r="I42" s="66" t="str">
        <f>VLOOKUP(D42,Homes!$A$2:$B$15,2,FALSE)</f>
        <v>Royal Lodge</v>
      </c>
    </row>
    <row r="43" spans="1:9">
      <c r="A43" s="37">
        <v>22</v>
      </c>
      <c r="B43" s="14">
        <v>3</v>
      </c>
      <c r="C43" s="14">
        <v>1</v>
      </c>
      <c r="D43" s="14">
        <v>209</v>
      </c>
      <c r="G43" s="66" t="str">
        <f>VLOOKUP(A43,People!$A$2:$B$40,2,FALSE)</f>
        <v>Andrew</v>
      </c>
      <c r="H43" s="66" t="str">
        <f>VLOOKUP(B43,Families!$A$2:$B$14,2,FALSE)</f>
        <v>York</v>
      </c>
      <c r="I43" s="66" t="str">
        <f>VLOOKUP(D43,Homes!$A$2:$B$15,2,FALSE)</f>
        <v>Sunninghill Park</v>
      </c>
    </row>
    <row r="44" spans="1:9">
      <c r="A44" s="37">
        <v>37</v>
      </c>
      <c r="B44" s="14">
        <v>3</v>
      </c>
      <c r="C44" s="14">
        <v>1</v>
      </c>
      <c r="D44" s="14">
        <v>209</v>
      </c>
      <c r="G44" s="66" t="str">
        <f>VLOOKUP(A44,People!$A$2:$B$40,2,FALSE)</f>
        <v>Sarah</v>
      </c>
      <c r="H44" s="66" t="str">
        <f>VLOOKUP(B44,Families!$A$2:$B$14,2,FALSE)</f>
        <v>York</v>
      </c>
      <c r="I44" s="66" t="str">
        <f>VLOOKUP(D44,Homes!$A$2:$B$15,2,FALSE)</f>
        <v>Sunninghill Park</v>
      </c>
    </row>
    <row r="45" spans="1:9">
      <c r="A45" s="37">
        <v>38</v>
      </c>
      <c r="B45" s="14">
        <v>3</v>
      </c>
      <c r="C45" s="14">
        <v>2</v>
      </c>
      <c r="D45" s="14">
        <v>209</v>
      </c>
      <c r="G45" s="66" t="str">
        <f>VLOOKUP(A45,People!$A$2:$B$40,2,FALSE)</f>
        <v>Beatrice</v>
      </c>
      <c r="H45" s="66" t="str">
        <f>VLOOKUP(B45,Families!$A$2:$B$14,2,FALSE)</f>
        <v>York</v>
      </c>
      <c r="I45" s="66" t="str">
        <f>VLOOKUP(D45,Homes!$A$2:$B$15,2,FALSE)</f>
        <v>Sunninghill Park</v>
      </c>
    </row>
    <row r="46" spans="1:9">
      <c r="A46" s="37">
        <v>39</v>
      </c>
      <c r="B46" s="14">
        <v>3</v>
      </c>
      <c r="C46" s="14">
        <v>2</v>
      </c>
      <c r="D46" s="14">
        <v>209</v>
      </c>
      <c r="G46" s="66" t="str">
        <f>VLOOKUP(A46,People!$A$2:$B$40,2,FALSE)</f>
        <v>Eugenie</v>
      </c>
      <c r="H46" s="66" t="str">
        <f>VLOOKUP(B46,Families!$A$2:$B$14,2,FALSE)</f>
        <v>York</v>
      </c>
      <c r="I46" s="66" t="str">
        <f>VLOOKUP(D46,Homes!$A$2:$B$15,2,FALSE)</f>
        <v>Sunninghill Park</v>
      </c>
    </row>
    <row r="47" spans="1:9">
      <c r="G47" s="66"/>
      <c r="H47" s="66"/>
      <c r="I47" s="66"/>
    </row>
    <row r="48" spans="1:9">
      <c r="G48" s="66"/>
      <c r="H48" s="66"/>
      <c r="I48" s="66"/>
    </row>
    <row r="49" spans="7:10">
      <c r="G49" s="66"/>
      <c r="H49" s="66"/>
      <c r="I49" s="66"/>
      <c r="J49" s="1" t="s">
        <v>662</v>
      </c>
    </row>
    <row r="50" spans="7:10">
      <c r="G50" s="66"/>
      <c r="H50" s="66"/>
      <c r="I50" s="66"/>
      <c r="J50" s="21" t="s">
        <v>661</v>
      </c>
    </row>
    <row r="51" spans="7:10">
      <c r="G51" s="66"/>
      <c r="H51" s="66"/>
      <c r="I51" s="66"/>
    </row>
    <row r="52" spans="7:10">
      <c r="G52" s="66"/>
      <c r="H52" s="66"/>
      <c r="I52" s="66"/>
    </row>
    <row r="53" spans="7:10">
      <c r="G53" s="66"/>
      <c r="H53" s="66"/>
      <c r="I53" s="66"/>
    </row>
    <row r="54" spans="7:10">
      <c r="G54" s="66"/>
      <c r="H54" s="66"/>
      <c r="I54" s="66"/>
    </row>
    <row r="55" spans="7:10">
      <c r="G55" s="66"/>
      <c r="H55" s="66"/>
      <c r="I55" s="66"/>
    </row>
    <row r="56" spans="7:10">
      <c r="G56" s="66"/>
      <c r="H56" s="66"/>
      <c r="I56" s="66"/>
    </row>
    <row r="57" spans="7:10">
      <c r="G57" s="66"/>
      <c r="H57" s="66"/>
      <c r="I57" s="66"/>
    </row>
    <row r="58" spans="7:10">
      <c r="G58" s="66"/>
      <c r="H58" s="66"/>
      <c r="I58" s="66"/>
    </row>
    <row r="59" spans="7:10">
      <c r="G59" s="66"/>
      <c r="H59" s="66"/>
      <c r="I59" s="66"/>
    </row>
    <row r="60" spans="7:10">
      <c r="G60" s="66"/>
      <c r="H60" s="66"/>
      <c r="I60" s="66"/>
    </row>
    <row r="61" spans="7:10">
      <c r="G61" s="66"/>
      <c r="H61" s="66"/>
      <c r="I61" s="66"/>
    </row>
    <row r="62" spans="7:10">
      <c r="G62" s="66"/>
      <c r="H62" s="66"/>
      <c r="I62" s="66"/>
    </row>
    <row r="63" spans="7:10">
      <c r="G63" s="66"/>
      <c r="H63" s="66"/>
      <c r="I63" s="66"/>
    </row>
    <row r="64" spans="7:10">
      <c r="G64" s="66"/>
      <c r="H64" s="66"/>
      <c r="I64" s="66"/>
    </row>
    <row r="65" spans="7:9">
      <c r="G65" s="66"/>
      <c r="H65" s="66"/>
      <c r="I65" s="66"/>
    </row>
    <row r="66" spans="7:9">
      <c r="G66" s="66"/>
      <c r="H66" s="66"/>
      <c r="I66" s="66"/>
    </row>
    <row r="67" spans="7:9">
      <c r="G67" s="66"/>
      <c r="H67" s="66"/>
      <c r="I67" s="66"/>
    </row>
    <row r="68" spans="7:9">
      <c r="G68" s="66"/>
      <c r="H68" s="66"/>
      <c r="I68" s="66"/>
    </row>
    <row r="69" spans="7:9">
      <c r="G69" s="66"/>
      <c r="H69" s="66"/>
      <c r="I69" s="66"/>
    </row>
    <row r="70" spans="7:9">
      <c r="G70" s="66"/>
      <c r="H70" s="66"/>
      <c r="I70" s="66"/>
    </row>
    <row r="71" spans="7:9">
      <c r="G71" s="66"/>
      <c r="H71" s="66"/>
      <c r="I71" s="66"/>
    </row>
    <row r="72" spans="7:9">
      <c r="G72" s="66"/>
      <c r="H72" s="66"/>
      <c r="I72" s="66"/>
    </row>
    <row r="73" spans="7:9">
      <c r="G73" s="66"/>
      <c r="H73" s="66"/>
      <c r="I73" s="66"/>
    </row>
    <row r="74" spans="7:9">
      <c r="G74" s="66"/>
      <c r="H74" s="66"/>
      <c r="I74" s="66"/>
    </row>
    <row r="75" spans="7:9">
      <c r="G75" s="66"/>
      <c r="H75" s="66"/>
      <c r="I75" s="66"/>
    </row>
    <row r="76" spans="7:9">
      <c r="G76" s="66"/>
      <c r="H76" s="66"/>
      <c r="I76" s="66"/>
    </row>
    <row r="77" spans="7:9">
      <c r="G77" s="66"/>
      <c r="H77" s="66"/>
      <c r="I77" s="66"/>
    </row>
    <row r="78" spans="7:9">
      <c r="G78" s="66"/>
      <c r="H78" s="66"/>
      <c r="I78" s="66"/>
    </row>
    <row r="79" spans="7:9">
      <c r="G79" s="66"/>
      <c r="H79" s="66"/>
      <c r="I79" s="66"/>
    </row>
    <row r="80" spans="7:9">
      <c r="G80" s="66"/>
      <c r="H80" s="66"/>
      <c r="I80" s="66"/>
    </row>
    <row r="81" spans="7:9">
      <c r="G81" s="66"/>
      <c r="H81" s="66"/>
      <c r="I81" s="66"/>
    </row>
    <row r="82" spans="7:9">
      <c r="G82" s="66"/>
      <c r="H82" s="66"/>
      <c r="I82" s="66"/>
    </row>
    <row r="83" spans="7:9">
      <c r="G83" s="66"/>
      <c r="H83" s="66"/>
      <c r="I83" s="66"/>
    </row>
    <row r="84" spans="7:9">
      <c r="G84" s="66"/>
      <c r="H84" s="66"/>
      <c r="I84" s="66"/>
    </row>
    <row r="85" spans="7:9">
      <c r="G85" s="66"/>
      <c r="H85" s="66"/>
      <c r="I85" s="66"/>
    </row>
    <row r="86" spans="7:9">
      <c r="G86" s="66"/>
      <c r="H86" s="66"/>
      <c r="I86" s="66"/>
    </row>
    <row r="87" spans="7:9">
      <c r="G87" s="66"/>
      <c r="H87" s="66"/>
      <c r="I87" s="66"/>
    </row>
    <row r="88" spans="7:9">
      <c r="G88" s="66"/>
      <c r="H88" s="66"/>
      <c r="I88" s="66"/>
    </row>
    <row r="89" spans="7:9">
      <c r="G89" s="66"/>
      <c r="H89" s="66"/>
      <c r="I89" s="66"/>
    </row>
    <row r="90" spans="7:9">
      <c r="G90" s="66"/>
      <c r="H90" s="66"/>
      <c r="I90" s="66"/>
    </row>
    <row r="91" spans="7:9">
      <c r="G91" s="66"/>
      <c r="H91" s="66"/>
      <c r="I91" s="66"/>
    </row>
    <row r="92" spans="7:9">
      <c r="G92" s="66"/>
      <c r="H92" s="66"/>
      <c r="I92" s="66"/>
    </row>
    <row r="93" spans="7:9">
      <c r="G93" s="66"/>
      <c r="H93" s="66"/>
      <c r="I93" s="66"/>
    </row>
    <row r="94" spans="7:9">
      <c r="G94" s="66"/>
      <c r="H94" s="66"/>
      <c r="I94" s="66"/>
    </row>
    <row r="95" spans="7:9">
      <c r="G95" s="66"/>
      <c r="H95" s="66"/>
      <c r="I95" s="66"/>
    </row>
    <row r="96" spans="7:9">
      <c r="G96" s="66"/>
      <c r="H96" s="66"/>
      <c r="I96" s="66"/>
    </row>
    <row r="97" spans="7:9">
      <c r="G97" s="66"/>
      <c r="H97" s="66"/>
      <c r="I97" s="66"/>
    </row>
    <row r="98" spans="7:9">
      <c r="G98" s="66"/>
      <c r="H98" s="66"/>
      <c r="I98" s="66"/>
    </row>
    <row r="99" spans="7:9">
      <c r="G99" s="66"/>
      <c r="H99" s="66"/>
      <c r="I99" s="66"/>
    </row>
    <row r="100" spans="7:9">
      <c r="G100" s="66"/>
      <c r="H100" s="66"/>
      <c r="I100" s="66"/>
    </row>
    <row r="101" spans="7:9">
      <c r="G101" s="66"/>
      <c r="H101" s="66"/>
      <c r="I101" s="66"/>
    </row>
    <row r="102" spans="7:9">
      <c r="G102" s="66"/>
      <c r="H102" s="66"/>
      <c r="I102" s="66"/>
    </row>
    <row r="103" spans="7:9">
      <c r="G103" s="66"/>
      <c r="H103" s="66"/>
      <c r="I103" s="66"/>
    </row>
    <row r="104" spans="7:9">
      <c r="G104" s="66"/>
      <c r="H104" s="66"/>
      <c r="I104" s="66"/>
    </row>
    <row r="105" spans="7:9">
      <c r="G105" s="66"/>
      <c r="H105" s="66"/>
      <c r="I105" s="66"/>
    </row>
    <row r="106" spans="7:9">
      <c r="G106" s="66"/>
      <c r="H106" s="66"/>
      <c r="I106" s="66"/>
    </row>
    <row r="107" spans="7:9">
      <c r="G107" s="66"/>
      <c r="H107" s="66"/>
      <c r="I107" s="66"/>
    </row>
    <row r="108" spans="7:9">
      <c r="G108" s="66"/>
      <c r="H108" s="66"/>
      <c r="I108" s="66"/>
    </row>
    <row r="109" spans="7:9">
      <c r="G109" s="66"/>
      <c r="H109" s="66"/>
      <c r="I109" s="66"/>
    </row>
    <row r="110" spans="7:9">
      <c r="G110" s="66"/>
      <c r="H110" s="66"/>
      <c r="I110" s="66"/>
    </row>
    <row r="111" spans="7:9">
      <c r="G111" s="66"/>
      <c r="H111" s="66"/>
      <c r="I111" s="66"/>
    </row>
    <row r="112" spans="7:9">
      <c r="G112" s="66"/>
      <c r="H112" s="66"/>
      <c r="I112" s="66"/>
    </row>
    <row r="113" spans="7:9">
      <c r="G113" s="66"/>
      <c r="H113" s="66"/>
      <c r="I113" s="66"/>
    </row>
    <row r="114" spans="7:9">
      <c r="G114" s="66"/>
      <c r="H114" s="66"/>
      <c r="I114" s="66"/>
    </row>
    <row r="115" spans="7:9">
      <c r="G115" s="66"/>
      <c r="H115" s="66"/>
      <c r="I115" s="66"/>
    </row>
    <row r="116" spans="7:9">
      <c r="G116" s="66"/>
      <c r="H116" s="66"/>
      <c r="I116" s="66"/>
    </row>
    <row r="117" spans="7:9">
      <c r="G117" s="66"/>
      <c r="H117" s="66"/>
      <c r="I117" s="66"/>
    </row>
    <row r="118" spans="7:9">
      <c r="G118" s="66"/>
      <c r="H118" s="66"/>
      <c r="I118" s="66"/>
    </row>
    <row r="119" spans="7:9">
      <c r="G119" s="66"/>
      <c r="H119" s="66"/>
      <c r="I119" s="66"/>
    </row>
    <row r="120" spans="7:9">
      <c r="G120" s="66"/>
      <c r="H120" s="66"/>
      <c r="I120" s="66"/>
    </row>
    <row r="121" spans="7:9">
      <c r="G121" s="66"/>
      <c r="H121" s="66"/>
      <c r="I121" s="66"/>
    </row>
    <row r="122" spans="7:9">
      <c r="G122" s="66"/>
      <c r="H122" s="66"/>
      <c r="I122" s="66"/>
    </row>
    <row r="123" spans="7:9">
      <c r="G123" s="66"/>
      <c r="H123" s="66"/>
      <c r="I123" s="66"/>
    </row>
    <row r="124" spans="7:9">
      <c r="G124" s="66"/>
      <c r="H124" s="66"/>
      <c r="I124" s="66"/>
    </row>
    <row r="125" spans="7:9">
      <c r="G125" s="66"/>
      <c r="H125" s="66"/>
      <c r="I125" s="66"/>
    </row>
    <row r="126" spans="7:9">
      <c r="G126" s="66"/>
      <c r="H126" s="66"/>
      <c r="I126" s="66"/>
    </row>
    <row r="127" spans="7:9">
      <c r="G127" s="66"/>
      <c r="H127" s="66"/>
      <c r="I127" s="66"/>
    </row>
    <row r="128" spans="7:9">
      <c r="G128" s="66"/>
      <c r="H128" s="66"/>
      <c r="I128" s="66"/>
    </row>
    <row r="129" spans="7:9">
      <c r="G129" s="66"/>
      <c r="H129" s="66"/>
      <c r="I129" s="66"/>
    </row>
    <row r="130" spans="7:9">
      <c r="G130" s="66"/>
      <c r="H130" s="66"/>
      <c r="I130" s="66"/>
    </row>
    <row r="131" spans="7:9">
      <c r="G131" s="66"/>
      <c r="H131" s="66"/>
      <c r="I131" s="66"/>
    </row>
    <row r="132" spans="7:9">
      <c r="G132" s="66"/>
      <c r="H132" s="66"/>
      <c r="I132" s="66"/>
    </row>
    <row r="133" spans="7:9">
      <c r="G133" s="66"/>
      <c r="H133" s="66"/>
      <c r="I133" s="66"/>
    </row>
    <row r="134" spans="7:9">
      <c r="G134" s="66"/>
      <c r="H134" s="66"/>
      <c r="I134" s="66"/>
    </row>
    <row r="135" spans="7:9">
      <c r="G135" s="66"/>
      <c r="H135" s="66"/>
      <c r="I135" s="66"/>
    </row>
    <row r="136" spans="7:9">
      <c r="G136" s="66"/>
      <c r="H136" s="66"/>
      <c r="I136" s="66"/>
    </row>
    <row r="137" spans="7:9">
      <c r="G137" s="66"/>
      <c r="H137" s="66"/>
      <c r="I137" s="66"/>
    </row>
    <row r="138" spans="7:9">
      <c r="G138" s="66"/>
      <c r="H138" s="66"/>
      <c r="I138" s="66"/>
    </row>
    <row r="139" spans="7:9">
      <c r="G139" s="66"/>
      <c r="H139" s="66"/>
      <c r="I139" s="66"/>
    </row>
    <row r="140" spans="7:9">
      <c r="G140" s="66"/>
      <c r="H140" s="66"/>
      <c r="I140" s="66"/>
    </row>
    <row r="141" spans="7:9">
      <c r="G141" s="66"/>
      <c r="H141" s="66"/>
      <c r="I141" s="66"/>
    </row>
    <row r="142" spans="7:9">
      <c r="G142" s="66"/>
      <c r="H142" s="66"/>
      <c r="I142" s="66"/>
    </row>
    <row r="143" spans="7:9">
      <c r="G143" s="66"/>
      <c r="H143" s="66"/>
      <c r="I143" s="66"/>
    </row>
    <row r="144" spans="7:9">
      <c r="G144" s="66"/>
      <c r="H144" s="66"/>
      <c r="I144" s="66"/>
    </row>
    <row r="145" spans="7:9">
      <c r="G145" s="66"/>
      <c r="H145" s="66"/>
      <c r="I145" s="66"/>
    </row>
    <row r="146" spans="7:9">
      <c r="G146" s="66"/>
      <c r="H146" s="66"/>
      <c r="I146" s="66"/>
    </row>
    <row r="147" spans="7:9">
      <c r="G147" s="66"/>
      <c r="H147" s="66"/>
      <c r="I147" s="66"/>
    </row>
    <row r="148" spans="7:9">
      <c r="G148" s="66"/>
      <c r="H148" s="66"/>
      <c r="I148" s="66"/>
    </row>
    <row r="149" spans="7:9">
      <c r="G149" s="66"/>
      <c r="H149" s="66"/>
      <c r="I149" s="66"/>
    </row>
    <row r="150" spans="7:9">
      <c r="G150" s="66"/>
      <c r="H150" s="66"/>
      <c r="I150" s="66"/>
    </row>
    <row r="151" spans="7:9">
      <c r="G151" s="66"/>
      <c r="H151" s="66"/>
      <c r="I151" s="66"/>
    </row>
    <row r="152" spans="7:9">
      <c r="G152" s="66"/>
      <c r="H152" s="66"/>
      <c r="I152" s="66"/>
    </row>
    <row r="153" spans="7:9">
      <c r="G153" s="66"/>
      <c r="H153" s="66"/>
      <c r="I153" s="66"/>
    </row>
    <row r="154" spans="7:9">
      <c r="G154" s="66"/>
      <c r="H154" s="66"/>
      <c r="I154" s="66"/>
    </row>
    <row r="155" spans="7:9">
      <c r="G155" s="66"/>
      <c r="H155" s="66"/>
      <c r="I155" s="66"/>
    </row>
    <row r="156" spans="7:9">
      <c r="G156" s="66"/>
      <c r="H156" s="66"/>
      <c r="I156" s="66"/>
    </row>
    <row r="157" spans="7:9">
      <c r="G157" s="66"/>
      <c r="H157" s="66"/>
      <c r="I157" s="66"/>
    </row>
    <row r="158" spans="7:9">
      <c r="G158" s="66"/>
      <c r="H158" s="66"/>
      <c r="I158" s="66"/>
    </row>
    <row r="159" spans="7:9">
      <c r="G159" s="66"/>
      <c r="H159" s="66"/>
      <c r="I159" s="66"/>
    </row>
    <row r="160" spans="7:9">
      <c r="G160" s="66"/>
      <c r="H160" s="66"/>
      <c r="I160" s="66"/>
    </row>
    <row r="161" spans="7:9">
      <c r="G161" s="66"/>
      <c r="H161" s="66"/>
      <c r="I161" s="66"/>
    </row>
    <row r="162" spans="7:9">
      <c r="G162" s="66"/>
      <c r="H162" s="66"/>
      <c r="I162" s="66"/>
    </row>
    <row r="163" spans="7:9">
      <c r="G163" s="66"/>
      <c r="H163" s="66"/>
      <c r="I163" s="66"/>
    </row>
    <row r="164" spans="7:9">
      <c r="G164" s="66"/>
      <c r="H164" s="66"/>
      <c r="I164" s="66"/>
    </row>
    <row r="165" spans="7:9">
      <c r="G165" s="66"/>
      <c r="H165" s="66"/>
      <c r="I165" s="66"/>
    </row>
    <row r="166" spans="7:9">
      <c r="G166" s="66"/>
      <c r="H166" s="66"/>
      <c r="I166" s="66"/>
    </row>
    <row r="167" spans="7:9">
      <c r="G167" s="66"/>
      <c r="H167" s="66"/>
      <c r="I167" s="66"/>
    </row>
    <row r="168" spans="7:9">
      <c r="G168" s="66"/>
      <c r="H168" s="66"/>
      <c r="I168" s="66"/>
    </row>
    <row r="169" spans="7:9">
      <c r="G169" s="66"/>
      <c r="H169" s="66"/>
      <c r="I169" s="66"/>
    </row>
    <row r="170" spans="7:9">
      <c r="G170" s="66"/>
      <c r="H170" s="66"/>
      <c r="I170" s="66"/>
    </row>
    <row r="171" spans="7:9">
      <c r="G171" s="66"/>
      <c r="H171" s="66"/>
      <c r="I171" s="66"/>
    </row>
    <row r="172" spans="7:9">
      <c r="G172" s="66"/>
      <c r="H172" s="66"/>
      <c r="I172" s="66"/>
    </row>
    <row r="173" spans="7:9">
      <c r="G173" s="66"/>
      <c r="H173" s="66"/>
      <c r="I173" s="66"/>
    </row>
    <row r="174" spans="7:9">
      <c r="G174" s="66"/>
      <c r="H174" s="66"/>
      <c r="I174" s="66"/>
    </row>
    <row r="175" spans="7:9">
      <c r="G175" s="66"/>
      <c r="H175" s="66"/>
      <c r="I175" s="66"/>
    </row>
    <row r="176" spans="7:9">
      <c r="G176" s="66"/>
      <c r="H176" s="66"/>
      <c r="I176" s="66"/>
    </row>
    <row r="177" spans="7:9">
      <c r="G177" s="66"/>
      <c r="H177" s="66"/>
      <c r="I177" s="66"/>
    </row>
    <row r="178" spans="7:9">
      <c r="G178" s="66"/>
      <c r="H178" s="66"/>
      <c r="I178" s="66"/>
    </row>
    <row r="179" spans="7:9">
      <c r="G179" s="66"/>
      <c r="H179" s="66"/>
      <c r="I179" s="66"/>
    </row>
  </sheetData>
  <sortState ref="A2:K20">
    <sortCondition ref="G2:G20"/>
  </sortState>
  <hyperlinks>
    <hyperlink ref="J50" r:id="rId1"/>
  </hyperlinks>
  <pageMargins left="0.7" right="0.7" top="0.75" bottom="0.75" header="0.3" footer="0.3"/>
  <pageSetup orientation="portrait" horizontalDpi="1200" verticalDpi="1200"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9"/>
  <dimension ref="A1:M30"/>
  <sheetViews>
    <sheetView topLeftCell="A4" workbookViewId="0">
      <selection activeCell="I29" sqref="I29:I30"/>
    </sheetView>
  </sheetViews>
  <sheetFormatPr defaultColWidth="8.28515625" defaultRowHeight="15"/>
  <cols>
    <col min="1" max="1" width="8.85546875" style="37" customWidth="1"/>
    <col min="2" max="2" width="13" customWidth="1"/>
    <col min="4" max="4" width="8.28515625" style="14"/>
    <col min="5" max="5" width="11.85546875" style="14" customWidth="1"/>
    <col min="6" max="6" width="8.28515625" style="14"/>
    <col min="7" max="7" width="12" style="14" customWidth="1"/>
    <col min="8" max="8" width="7" style="14" customWidth="1"/>
    <col min="9" max="9" width="18.85546875" style="14" customWidth="1"/>
    <col min="10" max="11" width="8.28515625" style="14"/>
    <col min="12" max="12" width="28.5703125" style="14" customWidth="1"/>
    <col min="13" max="16384" width="8.28515625" style="14"/>
  </cols>
  <sheetData>
    <row r="1" spans="1:13">
      <c r="A1" s="38" t="s">
        <v>513</v>
      </c>
      <c r="B1" s="6" t="s">
        <v>514</v>
      </c>
      <c r="C1" s="6" t="s">
        <v>317</v>
      </c>
    </row>
    <row r="2" spans="1:13" ht="18" customHeight="1">
      <c r="A2" s="37">
        <v>20</v>
      </c>
      <c r="B2" t="s">
        <v>520</v>
      </c>
      <c r="C2" s="21" t="s">
        <v>527</v>
      </c>
      <c r="M2" s="21"/>
    </row>
    <row r="3" spans="1:13">
      <c r="A3" s="37">
        <v>21</v>
      </c>
      <c r="B3" t="s">
        <v>521</v>
      </c>
      <c r="C3" s="21" t="s">
        <v>528</v>
      </c>
    </row>
    <row r="4" spans="1:13">
      <c r="A4" s="37">
        <v>22</v>
      </c>
      <c r="B4" t="s">
        <v>522</v>
      </c>
      <c r="C4" t="s">
        <v>530</v>
      </c>
    </row>
    <row r="5" spans="1:13">
      <c r="A5" s="37">
        <v>23</v>
      </c>
      <c r="B5" t="s">
        <v>523</v>
      </c>
      <c r="C5" s="21" t="s">
        <v>529</v>
      </c>
    </row>
    <row r="6" spans="1:13">
      <c r="A6" s="37">
        <v>24</v>
      </c>
      <c r="B6" t="s">
        <v>524</v>
      </c>
      <c r="C6" t="s">
        <v>531</v>
      </c>
    </row>
    <row r="7" spans="1:13">
      <c r="A7" s="37">
        <v>25</v>
      </c>
      <c r="B7" t="s">
        <v>525</v>
      </c>
      <c r="C7" t="s">
        <v>577</v>
      </c>
    </row>
    <row r="8" spans="1:13">
      <c r="A8" s="37">
        <v>26</v>
      </c>
      <c r="B8" t="s">
        <v>533</v>
      </c>
      <c r="C8" t="s">
        <v>532</v>
      </c>
    </row>
    <row r="9" spans="1:13">
      <c r="A9" s="37">
        <v>27</v>
      </c>
      <c r="B9" t="s">
        <v>540</v>
      </c>
      <c r="C9" t="s">
        <v>541</v>
      </c>
    </row>
    <row r="10" spans="1:13">
      <c r="A10" s="37">
        <v>28</v>
      </c>
      <c r="B10" t="s">
        <v>579</v>
      </c>
      <c r="C10" t="s">
        <v>578</v>
      </c>
    </row>
    <row r="11" spans="1:13">
      <c r="A11" s="37">
        <v>29</v>
      </c>
      <c r="B11" t="s">
        <v>588</v>
      </c>
      <c r="C11" t="s">
        <v>589</v>
      </c>
    </row>
    <row r="12" spans="1:13">
      <c r="A12" s="37">
        <v>30</v>
      </c>
      <c r="B12" t="s">
        <v>601</v>
      </c>
      <c r="C12" t="s">
        <v>600</v>
      </c>
    </row>
    <row r="13" spans="1:13">
      <c r="A13" s="37">
        <v>31</v>
      </c>
      <c r="B13" t="s">
        <v>605</v>
      </c>
      <c r="C13" t="s">
        <v>604</v>
      </c>
    </row>
    <row r="14" spans="1:13">
      <c r="A14" s="37">
        <v>32</v>
      </c>
      <c r="B14" t="s">
        <v>628</v>
      </c>
      <c r="C14" t="s">
        <v>627</v>
      </c>
    </row>
    <row r="15" spans="1:13">
      <c r="A15" s="37">
        <v>33</v>
      </c>
      <c r="B15" t="s">
        <v>631</v>
      </c>
      <c r="C15" t="s">
        <v>630</v>
      </c>
    </row>
    <row r="16" spans="1:13">
      <c r="A16" s="37">
        <v>34</v>
      </c>
      <c r="B16" t="s">
        <v>634</v>
      </c>
      <c r="C16" t="s">
        <v>633</v>
      </c>
    </row>
    <row r="17" spans="1:9">
      <c r="A17" s="37">
        <v>35</v>
      </c>
      <c r="B17" t="s">
        <v>636</v>
      </c>
      <c r="C17" t="s">
        <v>635</v>
      </c>
    </row>
    <row r="18" spans="1:9">
      <c r="A18" s="37">
        <v>36</v>
      </c>
      <c r="B18" t="s">
        <v>638</v>
      </c>
      <c r="C18" t="s">
        <v>637</v>
      </c>
    </row>
    <row r="19" spans="1:9">
      <c r="A19" s="37">
        <v>37</v>
      </c>
      <c r="B19" t="s">
        <v>640</v>
      </c>
      <c r="C19" t="s">
        <v>639</v>
      </c>
    </row>
    <row r="20" spans="1:9">
      <c r="A20" s="37">
        <v>38</v>
      </c>
      <c r="B20" t="s">
        <v>642</v>
      </c>
      <c r="C20" t="s">
        <v>641</v>
      </c>
    </row>
    <row r="21" spans="1:9">
      <c r="A21" s="37">
        <v>39</v>
      </c>
      <c r="B21" t="s">
        <v>644</v>
      </c>
      <c r="C21" t="s">
        <v>643</v>
      </c>
    </row>
    <row r="22" spans="1:9">
      <c r="A22" s="37">
        <v>40</v>
      </c>
      <c r="B22" t="s">
        <v>646</v>
      </c>
      <c r="C22" t="s">
        <v>645</v>
      </c>
    </row>
    <row r="23" spans="1:9">
      <c r="A23" s="37">
        <v>41</v>
      </c>
      <c r="B23" t="s">
        <v>648</v>
      </c>
      <c r="C23" t="s">
        <v>647</v>
      </c>
    </row>
    <row r="24" spans="1:9">
      <c r="A24" s="37">
        <v>42</v>
      </c>
      <c r="B24" t="s">
        <v>650</v>
      </c>
      <c r="C24" t="s">
        <v>649</v>
      </c>
    </row>
    <row r="25" spans="1:9">
      <c r="A25" s="37">
        <v>43</v>
      </c>
      <c r="B25" t="s">
        <v>654</v>
      </c>
      <c r="C25" t="s">
        <v>653</v>
      </c>
    </row>
    <row r="29" spans="1:9">
      <c r="I29" s="1" t="s">
        <v>662</v>
      </c>
    </row>
    <row r="30" spans="1:9">
      <c r="I30" s="21" t="s">
        <v>661</v>
      </c>
    </row>
  </sheetData>
  <hyperlinks>
    <hyperlink ref="C2" r:id="rId1"/>
    <hyperlink ref="I30" r:id="rId2"/>
  </hyperlinks>
  <pageMargins left="0.7" right="0.7" top="0.75" bottom="0.75" header="0.3" footer="0.3"/>
  <pageSetup orientation="portrait" horizontalDpi="1200" verticalDpi="1200" r:id="rId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5"/>
  <dimension ref="A1:R23"/>
  <sheetViews>
    <sheetView workbookViewId="0">
      <selection activeCell="F2" sqref="F2:F8"/>
    </sheetView>
  </sheetViews>
  <sheetFormatPr defaultColWidth="8.28515625" defaultRowHeight="11.25"/>
  <cols>
    <col min="1" max="1" width="12.140625" style="56" customWidth="1"/>
    <col min="2" max="2" width="19.28515625" style="49" customWidth="1"/>
    <col min="3" max="3" width="27.85546875" style="49" customWidth="1"/>
    <col min="4" max="4" width="9.42578125" style="59" customWidth="1"/>
    <col min="5" max="5" width="7" style="49" customWidth="1"/>
    <col min="6" max="6" width="18.85546875" style="49" customWidth="1"/>
    <col min="7" max="7" width="10.5703125" style="49" customWidth="1"/>
    <col min="8" max="8" width="12.5703125" style="49" customWidth="1"/>
    <col min="9" max="9" width="13.5703125" style="49" customWidth="1"/>
    <col min="10" max="10" width="9.7109375" style="49" customWidth="1"/>
    <col min="11" max="11" width="16.5703125" style="49" customWidth="1"/>
    <col min="12" max="12" width="14.85546875" style="49" customWidth="1"/>
    <col min="13" max="13" width="8.28515625" style="49"/>
    <col min="14" max="14" width="12.140625" style="49" customWidth="1"/>
    <col min="15" max="15" width="11.85546875" style="49" customWidth="1"/>
    <col min="16" max="16" width="8.28515625" style="49"/>
    <col min="17" max="17" width="12" style="49" customWidth="1"/>
    <col min="18" max="16384" width="8.28515625" style="49"/>
  </cols>
  <sheetData>
    <row r="1" spans="1:18">
      <c r="A1" s="52" t="s">
        <v>673</v>
      </c>
      <c r="B1" s="48" t="s">
        <v>672</v>
      </c>
      <c r="C1" s="53" t="s">
        <v>87</v>
      </c>
      <c r="D1" s="53" t="s">
        <v>499</v>
      </c>
      <c r="E1" s="55" t="s">
        <v>242</v>
      </c>
      <c r="F1" s="48" t="s">
        <v>316</v>
      </c>
      <c r="G1" s="54" t="s">
        <v>134</v>
      </c>
      <c r="H1" s="54" t="s">
        <v>10</v>
      </c>
      <c r="I1" s="54" t="s">
        <v>86</v>
      </c>
      <c r="J1" s="54" t="s">
        <v>97</v>
      </c>
      <c r="K1" s="54" t="s">
        <v>89</v>
      </c>
      <c r="L1" s="54" t="s">
        <v>133</v>
      </c>
      <c r="M1" s="54" t="s">
        <v>90</v>
      </c>
      <c r="N1" s="54" t="s">
        <v>107</v>
      </c>
      <c r="O1" s="54" t="s">
        <v>20</v>
      </c>
      <c r="P1" s="54" t="s">
        <v>143</v>
      </c>
      <c r="Q1" s="54" t="s">
        <v>144</v>
      </c>
    </row>
    <row r="2" spans="1:18" ht="18" customHeight="1">
      <c r="A2" s="56">
        <v>1</v>
      </c>
      <c r="B2" s="57" t="s">
        <v>743</v>
      </c>
      <c r="C2" s="70" t="s">
        <v>744</v>
      </c>
      <c r="D2" s="49" t="str">
        <f>B2</f>
        <v>Sofitel New York</v>
      </c>
      <c r="E2" s="49" t="str">
        <f>CONCATENATE("&lt;b&gt;",B2,"&lt;/b&gt;&lt;br&gt;",J2,"&lt;br&gt;",H2)</f>
        <v>&lt;b&gt;Sofitel New York&lt;/b&gt;&lt;br&gt;New York&lt;br&gt;United States</v>
      </c>
      <c r="F2" s="21" t="s">
        <v>797</v>
      </c>
      <c r="G2" s="57" t="s">
        <v>9</v>
      </c>
      <c r="H2" s="57" t="s">
        <v>82</v>
      </c>
      <c r="I2" s="58" t="s">
        <v>751</v>
      </c>
      <c r="J2" s="56" t="s">
        <v>752</v>
      </c>
      <c r="K2" s="56" t="s">
        <v>3001</v>
      </c>
      <c r="L2" s="57" t="s">
        <v>753</v>
      </c>
      <c r="M2" s="49">
        <v>45</v>
      </c>
      <c r="N2" s="51">
        <v>10036</v>
      </c>
      <c r="O2" s="49" t="s">
        <v>3002</v>
      </c>
      <c r="P2" s="49">
        <v>40.755699999999997</v>
      </c>
      <c r="Q2" s="49">
        <v>-73.982001400000001</v>
      </c>
      <c r="R2" s="51"/>
    </row>
    <row r="3" spans="1:18" ht="14.25" customHeight="1">
      <c r="A3" s="56">
        <v>2</v>
      </c>
      <c r="B3" s="57" t="s">
        <v>747</v>
      </c>
      <c r="C3" s="71" t="s">
        <v>748</v>
      </c>
      <c r="D3" s="49" t="str">
        <f t="shared" ref="D3:D8" si="0">B3</f>
        <v>Elysee Palace</v>
      </c>
      <c r="E3" s="49" t="str">
        <f>CONCATENATE("&lt;b&gt;",B3,"&lt;/b&gt;&lt;br&gt;",J3,"&lt;br&gt;",H3)</f>
        <v>&lt;b&gt;Elysee Palace&lt;/b&gt;&lt;br&gt;Paris&lt;br&gt;France</v>
      </c>
      <c r="F3" s="21" t="s">
        <v>797</v>
      </c>
      <c r="G3" s="49" t="s">
        <v>754</v>
      </c>
      <c r="H3" s="49" t="s">
        <v>755</v>
      </c>
      <c r="I3" s="58">
        <v>75</v>
      </c>
      <c r="J3" s="56" t="s">
        <v>756</v>
      </c>
      <c r="K3" s="56" t="s">
        <v>757</v>
      </c>
      <c r="L3" s="57" t="s">
        <v>758</v>
      </c>
      <c r="M3" s="49">
        <v>55</v>
      </c>
      <c r="N3" s="51">
        <v>75008</v>
      </c>
      <c r="O3" s="49" t="s">
        <v>759</v>
      </c>
      <c r="P3" s="49">
        <v>48.870783600000003</v>
      </c>
      <c r="Q3" s="49">
        <v>2.3168709000000001</v>
      </c>
    </row>
    <row r="4" spans="1:18" ht="14.25" customHeight="1">
      <c r="A4" s="56">
        <v>3</v>
      </c>
      <c r="B4" s="57" t="s">
        <v>749</v>
      </c>
      <c r="C4" s="60" t="s">
        <v>750</v>
      </c>
      <c r="D4" s="49" t="str">
        <f t="shared" si="0"/>
        <v>Bundeskanzleramt</v>
      </c>
      <c r="E4" s="49" t="str">
        <f>CONCATENATE("&lt;b&gt;",B4,"&lt;/b&gt;&lt;br&gt;",J4,"&lt;br&gt;",H4)</f>
        <v>&lt;b&gt;Bundeskanzleramt&lt;/b&gt;&lt;br&gt;Berlin&lt;br&gt;Germany</v>
      </c>
      <c r="F4" s="21" t="s">
        <v>797</v>
      </c>
      <c r="G4" s="57" t="s">
        <v>760</v>
      </c>
      <c r="H4" s="57" t="s">
        <v>761</v>
      </c>
      <c r="I4" s="58"/>
      <c r="J4" s="56" t="s">
        <v>762</v>
      </c>
      <c r="K4" s="56" t="s">
        <v>763</v>
      </c>
      <c r="L4" s="57" t="s">
        <v>3003</v>
      </c>
      <c r="M4" s="49">
        <v>1</v>
      </c>
      <c r="N4" s="51">
        <v>10557</v>
      </c>
      <c r="O4" s="49" t="s">
        <v>764</v>
      </c>
      <c r="P4" s="49">
        <v>52.5201718</v>
      </c>
      <c r="Q4" s="49">
        <v>13.369498099999999</v>
      </c>
      <c r="R4" s="51"/>
    </row>
    <row r="5" spans="1:18" ht="18" customHeight="1">
      <c r="A5" s="56">
        <v>4</v>
      </c>
      <c r="B5" s="49" t="s">
        <v>789</v>
      </c>
      <c r="C5" s="71" t="s">
        <v>788</v>
      </c>
      <c r="D5" s="49" t="str">
        <f t="shared" si="0"/>
        <v>ShitiBank HQ</v>
      </c>
      <c r="E5" s="49" t="str">
        <f>CONCATENATE("&lt;b&gt;",B5,"&lt;/b&gt;&lt;br&gt;",J5,"&lt;br&gt;",H5)</f>
        <v>&lt;b&gt;ShitiBank HQ&lt;/b&gt;&lt;br&gt;New York&lt;br&gt;United States</v>
      </c>
      <c r="F5" s="21" t="s">
        <v>797</v>
      </c>
      <c r="G5" s="49" t="s">
        <v>9</v>
      </c>
      <c r="H5" s="49" t="s">
        <v>82</v>
      </c>
      <c r="I5" s="49" t="s">
        <v>751</v>
      </c>
      <c r="J5" s="49" t="s">
        <v>752</v>
      </c>
      <c r="K5" s="49" t="s">
        <v>3004</v>
      </c>
      <c r="L5" s="49" t="s">
        <v>753</v>
      </c>
      <c r="M5" s="49">
        <v>399</v>
      </c>
      <c r="N5" s="49">
        <v>10022</v>
      </c>
      <c r="O5" s="49" t="s">
        <v>3005</v>
      </c>
      <c r="P5" s="49">
        <v>40.759104000000001</v>
      </c>
      <c r="Q5" s="49">
        <v>-73.971685999999991</v>
      </c>
    </row>
    <row r="6" spans="1:18" ht="15">
      <c r="A6" s="56">
        <v>5</v>
      </c>
      <c r="B6" s="49" t="s">
        <v>784</v>
      </c>
      <c r="C6" s="57" t="s">
        <v>785</v>
      </c>
      <c r="D6" s="49" t="str">
        <f t="shared" si="0"/>
        <v>Oakdale Federal Correction Complex</v>
      </c>
      <c r="E6" s="49" t="str">
        <f t="shared" ref="E6:E8" si="1">CONCATENATE("&lt;b&gt;",B6,"&lt;/b&gt;&lt;br&gt;",J6,"&lt;br&gt;",H6)</f>
        <v>&lt;b&gt;Oakdale Federal Correction Complex&lt;/b&gt;&lt;br&gt;Oakdale&lt;br&gt;United States</v>
      </c>
      <c r="F6" s="21" t="s">
        <v>797</v>
      </c>
      <c r="G6" s="49" t="s">
        <v>9</v>
      </c>
      <c r="H6" s="49" t="s">
        <v>82</v>
      </c>
      <c r="I6" s="49" t="s">
        <v>366</v>
      </c>
      <c r="J6" s="49" t="s">
        <v>790</v>
      </c>
      <c r="K6" s="49" t="s">
        <v>3006</v>
      </c>
      <c r="M6" s="49">
        <v>1507</v>
      </c>
      <c r="N6" s="49">
        <v>71463</v>
      </c>
      <c r="O6" s="49" t="s">
        <v>3007</v>
      </c>
      <c r="P6" s="49">
        <v>30.832175500000002</v>
      </c>
      <c r="Q6" s="49">
        <v>-92.637280099999998</v>
      </c>
    </row>
    <row r="7" spans="1:18" ht="15" customHeight="1">
      <c r="A7" s="56">
        <v>6</v>
      </c>
      <c r="B7" s="49" t="s">
        <v>781</v>
      </c>
      <c r="C7" s="14" t="s">
        <v>780</v>
      </c>
      <c r="D7" s="49" t="str">
        <f t="shared" si="0"/>
        <v>Equitable Life</v>
      </c>
      <c r="E7" s="49" t="str">
        <f t="shared" si="1"/>
        <v>&lt;b&gt;Equitable Life&lt;/b&gt;&lt;br&gt;New York&lt;br&gt;United States</v>
      </c>
      <c r="F7" s="21" t="s">
        <v>797</v>
      </c>
      <c r="G7" s="49" t="s">
        <v>9</v>
      </c>
      <c r="H7" s="49" t="s">
        <v>82</v>
      </c>
      <c r="I7" s="49" t="s">
        <v>751</v>
      </c>
      <c r="J7" s="49" t="s">
        <v>752</v>
      </c>
      <c r="K7" s="49" t="s">
        <v>3008</v>
      </c>
      <c r="L7" s="49" t="s">
        <v>753</v>
      </c>
      <c r="M7" s="49">
        <v>1290</v>
      </c>
      <c r="N7" s="49">
        <v>10019</v>
      </c>
      <c r="O7" s="49" t="s">
        <v>3009</v>
      </c>
      <c r="P7" s="49">
        <v>40.760723200000001</v>
      </c>
      <c r="Q7" s="49">
        <v>-73.979535599999991</v>
      </c>
    </row>
    <row r="8" spans="1:18" ht="15">
      <c r="A8" s="56">
        <v>7</v>
      </c>
      <c r="B8" s="49" t="s">
        <v>783</v>
      </c>
      <c r="C8" s="49" t="s">
        <v>782</v>
      </c>
      <c r="D8" s="59" t="str">
        <f t="shared" si="0"/>
        <v>Butner Federal Correction Complex</v>
      </c>
      <c r="E8" s="49" t="str">
        <f t="shared" si="1"/>
        <v>&lt;b&gt;Butner Federal Correction Complex&lt;/b&gt;&lt;br&gt;Butner&lt;br&gt;United States</v>
      </c>
      <c r="F8" s="21" t="s">
        <v>797</v>
      </c>
      <c r="G8" s="49" t="s">
        <v>9</v>
      </c>
      <c r="H8" s="49" t="s">
        <v>82</v>
      </c>
      <c r="I8" s="49" t="s">
        <v>791</v>
      </c>
      <c r="J8" s="49" t="s">
        <v>792</v>
      </c>
      <c r="K8" s="49" t="s">
        <v>3010</v>
      </c>
      <c r="M8" s="49">
        <v>1000</v>
      </c>
      <c r="N8" s="49">
        <v>27509</v>
      </c>
      <c r="O8" s="49" t="s">
        <v>3011</v>
      </c>
      <c r="P8" s="49">
        <v>36.155213099999997</v>
      </c>
      <c r="Q8" s="49">
        <v>-78.775074899999993</v>
      </c>
    </row>
    <row r="9" spans="1:18" ht="15">
      <c r="N9" s="21"/>
    </row>
    <row r="11" spans="1:18" ht="15">
      <c r="O11" s="21"/>
    </row>
    <row r="12" spans="1:18" ht="12">
      <c r="J12" s="67"/>
      <c r="O12" s="49">
        <v>51.501079559326101</v>
      </c>
      <c r="P12" s="49">
        <v>-0.14192512631416301</v>
      </c>
    </row>
    <row r="13" spans="1:18" ht="12">
      <c r="J13" s="67"/>
      <c r="O13" s="49">
        <v>51.505277999999997</v>
      </c>
      <c r="P13" s="49">
        <v>-0.188333</v>
      </c>
    </row>
    <row r="14" spans="1:18">
      <c r="O14" s="49">
        <v>51.5040452</v>
      </c>
      <c r="P14" s="49">
        <v>-0.13855339999999999</v>
      </c>
    </row>
    <row r="15" spans="1:18">
      <c r="O15" s="49">
        <v>51.439</v>
      </c>
      <c r="P15" s="49">
        <v>-0.60670000000000002</v>
      </c>
    </row>
    <row r="16" spans="1:18">
      <c r="O16" s="49">
        <v>51.370544000000002</v>
      </c>
      <c r="P16" s="65" t="s">
        <v>624</v>
      </c>
    </row>
    <row r="17" spans="15:16">
      <c r="O17" s="49">
        <v>51.697569999999999</v>
      </c>
      <c r="P17" s="49">
        <v>-2.1713399999999998</v>
      </c>
    </row>
    <row r="18" spans="15:16">
      <c r="O18" s="49">
        <v>57.039721999999998</v>
      </c>
      <c r="P18" s="49">
        <v>-3.2313890000000001</v>
      </c>
    </row>
    <row r="19" spans="15:16">
      <c r="O19" s="49">
        <v>51.483857999999998</v>
      </c>
      <c r="P19" s="49">
        <v>-0.60658000000000001</v>
      </c>
    </row>
    <row r="20" spans="15:16">
      <c r="O20" s="49">
        <v>51.42604</v>
      </c>
      <c r="P20" s="49">
        <v>-0.64989399999999997</v>
      </c>
    </row>
    <row r="22" spans="15:16">
      <c r="O22" s="1" t="s">
        <v>662</v>
      </c>
    </row>
    <row r="23" spans="15:16" ht="15">
      <c r="O23" s="21" t="s">
        <v>661</v>
      </c>
    </row>
  </sheetData>
  <hyperlinks>
    <hyperlink ref="O23" r:id="rId1"/>
  </hyperlinks>
  <pageMargins left="0.7" right="0.7" top="0.75" bottom="0.75" header="0.3" footer="0.3"/>
  <pageSetup orientation="portrait" horizontalDpi="1200" verticalDpi="1200"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7"/>
  <dimension ref="A1:L10"/>
  <sheetViews>
    <sheetView workbookViewId="0">
      <selection activeCell="B8" sqref="B8"/>
    </sheetView>
  </sheetViews>
  <sheetFormatPr defaultColWidth="8.28515625" defaultRowHeight="15"/>
  <cols>
    <col min="1" max="1" width="11.28515625" style="37" customWidth="1"/>
    <col min="2" max="2" width="13" customWidth="1"/>
    <col min="3" max="3" width="8.28515625" style="14"/>
    <col min="4" max="4" width="11.85546875" style="14" customWidth="1"/>
    <col min="5" max="5" width="8.28515625" style="14"/>
    <col min="6" max="6" width="12" style="14" customWidth="1"/>
    <col min="7" max="7" width="7" style="14" customWidth="1"/>
    <col min="8" max="8" width="18.85546875" style="14" customWidth="1"/>
    <col min="9" max="10" width="8.28515625" style="14"/>
    <col min="11" max="11" width="28.5703125" style="14" customWidth="1"/>
    <col min="12" max="16384" width="8.28515625" style="14"/>
  </cols>
  <sheetData>
    <row r="1" spans="1:12">
      <c r="A1" s="38" t="s">
        <v>681</v>
      </c>
      <c r="B1" s="6" t="s">
        <v>682</v>
      </c>
    </row>
    <row r="2" spans="1:12" ht="18" customHeight="1">
      <c r="A2" s="37">
        <v>1</v>
      </c>
      <c r="B2" t="s">
        <v>732</v>
      </c>
      <c r="L2" s="21"/>
    </row>
    <row r="3" spans="1:12">
      <c r="A3" s="37">
        <v>2</v>
      </c>
      <c r="B3" t="s">
        <v>733</v>
      </c>
    </row>
    <row r="4" spans="1:12">
      <c r="A4" s="37">
        <v>3</v>
      </c>
      <c r="B4" t="s">
        <v>734</v>
      </c>
    </row>
    <row r="5" spans="1:12">
      <c r="A5" s="37">
        <v>4</v>
      </c>
      <c r="B5" t="s">
        <v>736</v>
      </c>
    </row>
    <row r="6" spans="1:12">
      <c r="A6" s="37">
        <v>5</v>
      </c>
      <c r="B6" t="s">
        <v>735</v>
      </c>
    </row>
    <row r="7" spans="1:12">
      <c r="A7" s="37">
        <v>6</v>
      </c>
      <c r="B7" t="s">
        <v>740</v>
      </c>
    </row>
    <row r="8" spans="1:12">
      <c r="A8" s="37">
        <v>7</v>
      </c>
      <c r="B8" t="s">
        <v>739</v>
      </c>
    </row>
    <row r="9" spans="1:12">
      <c r="H9" s="1" t="s">
        <v>662</v>
      </c>
    </row>
    <row r="10" spans="1:12">
      <c r="H10" s="21" t="s">
        <v>661</v>
      </c>
    </row>
  </sheetData>
  <hyperlinks>
    <hyperlink ref="H10" r:id="rId1"/>
  </hyperlinks>
  <pageMargins left="0.7" right="0.7" top="0.75" bottom="0.75" header="0.3" footer="0.3"/>
  <pageSetup orientation="portrait" horizontalDpi="1200" verticalDpi="1200"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4"/>
  <dimension ref="A1:M26"/>
  <sheetViews>
    <sheetView workbookViewId="0">
      <selection activeCell="E22" sqref="E22"/>
    </sheetView>
  </sheetViews>
  <sheetFormatPr defaultColWidth="8.28515625" defaultRowHeight="15"/>
  <cols>
    <col min="1" max="1" width="14.140625" style="37" customWidth="1"/>
    <col min="2" max="2" width="13" customWidth="1"/>
    <col min="4" max="4" width="8.28515625" style="14"/>
    <col min="5" max="5" width="11.85546875" style="14" customWidth="1"/>
    <col min="6" max="6" width="8.28515625" style="14"/>
    <col min="7" max="7" width="12" style="14" customWidth="1"/>
    <col min="8" max="8" width="7" style="14" customWidth="1"/>
    <col min="9" max="9" width="18.85546875" style="14" customWidth="1"/>
    <col min="10" max="11" width="8.28515625" style="14"/>
    <col min="12" max="12" width="28.5703125" style="14" customWidth="1"/>
    <col min="13" max="16384" width="8.28515625" style="14"/>
  </cols>
  <sheetData>
    <row r="1" spans="1:13">
      <c r="A1" s="38" t="s">
        <v>677</v>
      </c>
      <c r="B1" s="6" t="s">
        <v>675</v>
      </c>
      <c r="C1" s="6" t="s">
        <v>680</v>
      </c>
    </row>
    <row r="2" spans="1:13" ht="18" customHeight="1">
      <c r="A2" s="37">
        <v>1</v>
      </c>
      <c r="B2" t="s">
        <v>714</v>
      </c>
      <c r="C2" s="21" t="s">
        <v>715</v>
      </c>
      <c r="M2" s="21"/>
    </row>
    <row r="3" spans="1:13">
      <c r="A3" s="37">
        <v>2</v>
      </c>
      <c r="B3" t="s">
        <v>716</v>
      </c>
      <c r="C3" s="21" t="s">
        <v>719</v>
      </c>
    </row>
    <row r="4" spans="1:13">
      <c r="A4" s="37">
        <v>3</v>
      </c>
      <c r="B4" t="s">
        <v>718</v>
      </c>
      <c r="C4" t="s">
        <v>717</v>
      </c>
    </row>
    <row r="5" spans="1:13">
      <c r="A5" s="37">
        <v>4</v>
      </c>
      <c r="B5" t="s">
        <v>721</v>
      </c>
      <c r="C5" s="21" t="s">
        <v>720</v>
      </c>
    </row>
    <row r="6" spans="1:13">
      <c r="A6" s="37">
        <v>5</v>
      </c>
      <c r="B6" t="s">
        <v>722</v>
      </c>
      <c r="C6" t="s">
        <v>727</v>
      </c>
    </row>
    <row r="7" spans="1:13">
      <c r="A7" s="37">
        <v>6</v>
      </c>
      <c r="B7" t="s">
        <v>724</v>
      </c>
      <c r="C7" t="s">
        <v>728</v>
      </c>
    </row>
    <row r="8" spans="1:13">
      <c r="A8" s="37">
        <v>7</v>
      </c>
      <c r="B8" t="s">
        <v>723</v>
      </c>
      <c r="C8" t="s">
        <v>729</v>
      </c>
    </row>
    <row r="9" spans="1:13">
      <c r="A9" s="37">
        <v>8</v>
      </c>
      <c r="B9" t="s">
        <v>725</v>
      </c>
      <c r="C9" s="21" t="s">
        <v>730</v>
      </c>
    </row>
    <row r="10" spans="1:13">
      <c r="A10" s="37">
        <v>9</v>
      </c>
      <c r="B10" s="69" t="s">
        <v>726</v>
      </c>
      <c r="C10" t="s">
        <v>731</v>
      </c>
    </row>
    <row r="11" spans="1:13">
      <c r="A11" s="37">
        <v>10</v>
      </c>
      <c r="B11" t="s">
        <v>786</v>
      </c>
      <c r="C11" t="s">
        <v>787</v>
      </c>
    </row>
    <row r="12" spans="1:13">
      <c r="A12" s="37">
        <v>11</v>
      </c>
      <c r="B12" t="s">
        <v>737</v>
      </c>
      <c r="C12" t="s">
        <v>738</v>
      </c>
    </row>
    <row r="13" spans="1:13">
      <c r="A13" s="37">
        <v>12</v>
      </c>
      <c r="B13" s="41" t="s">
        <v>742</v>
      </c>
      <c r="C13" t="s">
        <v>741</v>
      </c>
    </row>
    <row r="14" spans="1:13">
      <c r="A14" s="37">
        <v>13</v>
      </c>
      <c r="B14" t="s">
        <v>746</v>
      </c>
      <c r="C14" t="s">
        <v>745</v>
      </c>
    </row>
    <row r="15" spans="1:13">
      <c r="A15" s="37">
        <v>14</v>
      </c>
      <c r="B15" t="s">
        <v>776</v>
      </c>
      <c r="C15" t="s">
        <v>777</v>
      </c>
    </row>
    <row r="16" spans="1:13">
      <c r="A16" s="37">
        <v>15</v>
      </c>
      <c r="B16" s="74" t="s">
        <v>778</v>
      </c>
      <c r="C16" t="s">
        <v>779</v>
      </c>
    </row>
    <row r="26" spans="12:12">
      <c r="L26" s="21" t="s">
        <v>661</v>
      </c>
    </row>
  </sheetData>
  <hyperlinks>
    <hyperlink ref="L26" r:id="rId1"/>
    <hyperlink ref="C9" r:id="rId2"/>
  </hyperlinks>
  <pageMargins left="0.7" right="0.7" top="0.75" bottom="0.75" header="0.3" footer="0.3"/>
  <pageSetup orientation="portrait" horizontalDpi="1200" verticalDpi="1200" r:id="rId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8"/>
  <dimension ref="A1:S52"/>
  <sheetViews>
    <sheetView workbookViewId="0">
      <selection activeCell="D16" sqref="D16"/>
    </sheetView>
  </sheetViews>
  <sheetFormatPr defaultColWidth="8.28515625" defaultRowHeight="20.100000000000001" customHeight="1"/>
  <cols>
    <col min="1" max="1" width="10.7109375" style="62" customWidth="1"/>
    <col min="2" max="2" width="10.140625" style="14" customWidth="1"/>
    <col min="3" max="3" width="11.85546875" style="14" customWidth="1"/>
    <col min="4" max="4" width="8.28515625" style="14"/>
    <col min="5" max="5" width="12" style="14" customWidth="1"/>
    <col min="6" max="6" width="7" style="14" customWidth="1"/>
    <col min="7" max="7" width="18.85546875" style="14" customWidth="1"/>
    <col min="8" max="9" width="8.28515625" style="14"/>
    <col min="10" max="10" width="28.5703125" style="14" customWidth="1"/>
    <col min="11" max="16384" width="8.28515625" style="14"/>
  </cols>
  <sheetData>
    <row r="1" spans="1:19" ht="36.75" customHeight="1">
      <c r="A1" s="61" t="s">
        <v>677</v>
      </c>
      <c r="B1" s="61" t="s">
        <v>678</v>
      </c>
      <c r="C1" s="61" t="s">
        <v>681</v>
      </c>
      <c r="D1" s="12" t="s">
        <v>673</v>
      </c>
      <c r="E1" s="14" t="s">
        <v>94</v>
      </c>
      <c r="F1" s="14" t="s">
        <v>95</v>
      </c>
      <c r="G1" s="14" t="s">
        <v>672</v>
      </c>
      <c r="H1" s="14" t="s">
        <v>243</v>
      </c>
      <c r="I1" s="14" t="s">
        <v>134</v>
      </c>
      <c r="J1" s="14" t="s">
        <v>10</v>
      </c>
      <c r="K1" s="14" t="s">
        <v>86</v>
      </c>
      <c r="L1" s="14" t="s">
        <v>97</v>
      </c>
      <c r="M1" s="14" t="s">
        <v>675</v>
      </c>
      <c r="N1" s="14" t="s">
        <v>20</v>
      </c>
      <c r="O1" s="14" t="s">
        <v>682</v>
      </c>
      <c r="P1" s="14" t="s">
        <v>316</v>
      </c>
      <c r="Q1" s="14" t="s">
        <v>680</v>
      </c>
      <c r="R1" s="14" t="s">
        <v>676</v>
      </c>
      <c r="S1" s="14" t="s">
        <v>775</v>
      </c>
    </row>
    <row r="2" spans="1:19" ht="20.100000000000001" customHeight="1">
      <c r="A2" s="62">
        <v>1</v>
      </c>
      <c r="B2" s="14">
        <v>10</v>
      </c>
      <c r="C2" s="14">
        <v>3</v>
      </c>
      <c r="D2" s="14">
        <v>1</v>
      </c>
      <c r="E2" s="14">
        <v>40.755699999999997</v>
      </c>
      <c r="F2" s="14">
        <v>-73.982001400000001</v>
      </c>
      <c r="G2" s="14" t="s">
        <v>743</v>
      </c>
      <c r="H2" s="14" t="s">
        <v>765</v>
      </c>
      <c r="I2" s="14" t="s">
        <v>9</v>
      </c>
      <c r="J2" s="14" t="s">
        <v>82</v>
      </c>
      <c r="K2" s="34" t="s">
        <v>751</v>
      </c>
      <c r="L2" s="14" t="s">
        <v>752</v>
      </c>
      <c r="M2" s="14" t="s">
        <v>714</v>
      </c>
      <c r="N2" s="14" t="s">
        <v>3002</v>
      </c>
      <c r="O2" s="14" t="s">
        <v>734</v>
      </c>
      <c r="P2" s="14" t="s">
        <v>797</v>
      </c>
      <c r="Q2" s="14" t="s">
        <v>715</v>
      </c>
      <c r="R2" s="14" t="s">
        <v>786</v>
      </c>
      <c r="S2" s="14" t="s">
        <v>787</v>
      </c>
    </row>
    <row r="3" spans="1:19" ht="20.100000000000001" customHeight="1">
      <c r="A3" s="62">
        <v>11</v>
      </c>
      <c r="B3" s="14">
        <v>10</v>
      </c>
      <c r="C3" s="14">
        <v>2</v>
      </c>
      <c r="D3" s="14">
        <v>4</v>
      </c>
      <c r="E3" s="14">
        <v>40.759104000000001</v>
      </c>
      <c r="F3" s="14">
        <v>-73.971685999999991</v>
      </c>
      <c r="G3" s="14" t="s">
        <v>789</v>
      </c>
      <c r="H3" s="14" t="s">
        <v>793</v>
      </c>
      <c r="I3" s="14" t="s">
        <v>9</v>
      </c>
      <c r="J3" s="14" t="s">
        <v>82</v>
      </c>
      <c r="K3" s="14" t="s">
        <v>751</v>
      </c>
      <c r="L3" s="14" t="s">
        <v>752</v>
      </c>
      <c r="M3" s="14" t="s">
        <v>737</v>
      </c>
      <c r="N3" s="14" t="s">
        <v>3005</v>
      </c>
      <c r="O3" s="14" t="s">
        <v>733</v>
      </c>
      <c r="P3" s="14" t="s">
        <v>797</v>
      </c>
      <c r="Q3" s="14" t="s">
        <v>738</v>
      </c>
      <c r="R3" s="14" t="s">
        <v>786</v>
      </c>
      <c r="S3" s="14" t="s">
        <v>787</v>
      </c>
    </row>
    <row r="4" spans="1:19" ht="20.100000000000001" customHeight="1">
      <c r="A4" s="62">
        <v>4</v>
      </c>
      <c r="B4" s="14">
        <v>9</v>
      </c>
      <c r="C4" s="14">
        <v>5</v>
      </c>
      <c r="D4" s="14">
        <v>7</v>
      </c>
      <c r="E4" s="14">
        <v>36.155213099999997</v>
      </c>
      <c r="F4" s="14">
        <v>-78.775074899999993</v>
      </c>
      <c r="G4" s="14" t="s">
        <v>783</v>
      </c>
      <c r="H4" s="14" t="s">
        <v>794</v>
      </c>
      <c r="I4" s="14" t="s">
        <v>9</v>
      </c>
      <c r="J4" s="14" t="s">
        <v>82</v>
      </c>
      <c r="K4" s="14" t="s">
        <v>791</v>
      </c>
      <c r="L4" s="14" t="s">
        <v>792</v>
      </c>
      <c r="M4" s="14" t="s">
        <v>721</v>
      </c>
      <c r="N4" s="14" t="s">
        <v>3011</v>
      </c>
      <c r="O4" s="14" t="s">
        <v>735</v>
      </c>
      <c r="P4" s="14" t="s">
        <v>797</v>
      </c>
      <c r="Q4" s="14" t="s">
        <v>720</v>
      </c>
      <c r="R4" s="14" t="s">
        <v>726</v>
      </c>
      <c r="S4" s="14" t="s">
        <v>731</v>
      </c>
    </row>
    <row r="5" spans="1:19" ht="20.100000000000001" customHeight="1">
      <c r="A5" s="62">
        <v>5</v>
      </c>
      <c r="B5" s="14">
        <v>11</v>
      </c>
      <c r="C5" s="14">
        <v>2</v>
      </c>
      <c r="D5" s="14">
        <v>4</v>
      </c>
      <c r="E5" s="14">
        <v>40.759104000000001</v>
      </c>
      <c r="F5" s="14">
        <v>-73.971685999999991</v>
      </c>
      <c r="G5" s="14" t="s">
        <v>789</v>
      </c>
      <c r="H5" s="14" t="s">
        <v>793</v>
      </c>
      <c r="I5" s="14" t="s">
        <v>9</v>
      </c>
      <c r="J5" s="14" t="s">
        <v>82</v>
      </c>
      <c r="K5" s="14" t="s">
        <v>751</v>
      </c>
      <c r="L5" s="14" t="s">
        <v>752</v>
      </c>
      <c r="M5" s="14" t="s">
        <v>722</v>
      </c>
      <c r="N5" s="14" t="s">
        <v>3005</v>
      </c>
      <c r="O5" s="14" t="s">
        <v>733</v>
      </c>
      <c r="P5" s="14" t="s">
        <v>797</v>
      </c>
      <c r="Q5" s="14" t="s">
        <v>727</v>
      </c>
      <c r="R5" s="14" t="s">
        <v>737</v>
      </c>
      <c r="S5" s="14" t="s">
        <v>738</v>
      </c>
    </row>
    <row r="6" spans="1:19" ht="20.100000000000001" customHeight="1">
      <c r="A6" s="62">
        <v>6</v>
      </c>
      <c r="B6" s="14">
        <v>11</v>
      </c>
      <c r="C6" s="14">
        <v>2</v>
      </c>
      <c r="D6" s="14">
        <v>4</v>
      </c>
      <c r="E6" s="14">
        <v>40.759104000000001</v>
      </c>
      <c r="F6" s="14">
        <v>-73.971685999999991</v>
      </c>
      <c r="G6" s="14" t="s">
        <v>789</v>
      </c>
      <c r="H6" s="14" t="s">
        <v>793</v>
      </c>
      <c r="I6" s="14" t="s">
        <v>9</v>
      </c>
      <c r="J6" s="14" t="s">
        <v>82</v>
      </c>
      <c r="K6" s="14" t="s">
        <v>751</v>
      </c>
      <c r="L6" s="14" t="s">
        <v>752</v>
      </c>
      <c r="M6" s="14" t="s">
        <v>724</v>
      </c>
      <c r="N6" s="14" t="s">
        <v>3005</v>
      </c>
      <c r="O6" s="14" t="s">
        <v>733</v>
      </c>
      <c r="P6" s="14" t="s">
        <v>797</v>
      </c>
      <c r="Q6" s="14" t="s">
        <v>728</v>
      </c>
      <c r="R6" s="14" t="s">
        <v>737</v>
      </c>
      <c r="S6" s="14" t="s">
        <v>738</v>
      </c>
    </row>
    <row r="7" spans="1:19" ht="20.100000000000001" customHeight="1">
      <c r="A7" s="62">
        <v>2</v>
      </c>
      <c r="B7" s="14">
        <v>3</v>
      </c>
      <c r="C7" s="14">
        <v>7</v>
      </c>
      <c r="D7" s="14">
        <v>2</v>
      </c>
      <c r="E7" s="14">
        <v>48.870783600000003</v>
      </c>
      <c r="F7" s="14">
        <v>2.3168709000000001</v>
      </c>
      <c r="G7" s="14" t="s">
        <v>747</v>
      </c>
      <c r="H7" s="14" t="s">
        <v>766</v>
      </c>
      <c r="I7" s="14" t="s">
        <v>754</v>
      </c>
      <c r="J7" s="14" t="s">
        <v>755</v>
      </c>
      <c r="K7" s="72">
        <v>75</v>
      </c>
      <c r="L7" s="14" t="s">
        <v>756</v>
      </c>
      <c r="M7" s="14" t="s">
        <v>716</v>
      </c>
      <c r="N7" s="14" t="s">
        <v>759</v>
      </c>
      <c r="O7" s="14" t="s">
        <v>739</v>
      </c>
      <c r="P7" s="14" t="s">
        <v>797</v>
      </c>
      <c r="Q7" s="14" t="s">
        <v>719</v>
      </c>
      <c r="R7" s="14" t="s">
        <v>718</v>
      </c>
      <c r="S7" s="14" t="s">
        <v>717</v>
      </c>
    </row>
    <row r="8" spans="1:19" ht="20.100000000000001" customHeight="1">
      <c r="A8" s="62">
        <v>7</v>
      </c>
      <c r="B8" s="14">
        <v>10</v>
      </c>
      <c r="C8" s="14">
        <v>1</v>
      </c>
      <c r="D8" s="14">
        <v>4</v>
      </c>
      <c r="E8" s="14">
        <v>40.759104000000001</v>
      </c>
      <c r="F8" s="14">
        <v>-73.971685999999991</v>
      </c>
      <c r="G8" s="14" t="s">
        <v>789</v>
      </c>
      <c r="H8" s="14" t="s">
        <v>793</v>
      </c>
      <c r="I8" s="14" t="s">
        <v>9</v>
      </c>
      <c r="J8" s="14" t="s">
        <v>82</v>
      </c>
      <c r="K8" s="14" t="s">
        <v>751</v>
      </c>
      <c r="L8" s="14" t="s">
        <v>752</v>
      </c>
      <c r="M8" s="14" t="s">
        <v>723</v>
      </c>
      <c r="N8" s="14" t="s">
        <v>3005</v>
      </c>
      <c r="O8" s="14" t="s">
        <v>732</v>
      </c>
      <c r="P8" s="14" t="s">
        <v>797</v>
      </c>
      <c r="Q8" s="14" t="s">
        <v>729</v>
      </c>
      <c r="R8" s="14" t="s">
        <v>786</v>
      </c>
      <c r="S8" s="14" t="s">
        <v>787</v>
      </c>
    </row>
    <row r="9" spans="1:19" ht="20.100000000000001" customHeight="1">
      <c r="A9" s="62">
        <v>3</v>
      </c>
      <c r="B9" s="14">
        <v>10</v>
      </c>
      <c r="C9" s="14">
        <v>7</v>
      </c>
      <c r="D9" s="14">
        <v>3</v>
      </c>
      <c r="E9" s="14">
        <v>52.5201718</v>
      </c>
      <c r="F9" s="14">
        <v>13.369498099999999</v>
      </c>
      <c r="G9" s="14" t="s">
        <v>749</v>
      </c>
      <c r="H9" s="14" t="s">
        <v>767</v>
      </c>
      <c r="I9" s="14" t="s">
        <v>760</v>
      </c>
      <c r="J9" s="14" t="s">
        <v>761</v>
      </c>
      <c r="L9" s="14" t="s">
        <v>762</v>
      </c>
      <c r="M9" s="14" t="s">
        <v>718</v>
      </c>
      <c r="N9" s="14" t="s">
        <v>764</v>
      </c>
      <c r="O9" s="14" t="s">
        <v>739</v>
      </c>
      <c r="P9" s="14" t="s">
        <v>797</v>
      </c>
      <c r="Q9" s="14" t="s">
        <v>717</v>
      </c>
      <c r="R9" s="14" t="s">
        <v>786</v>
      </c>
      <c r="S9" s="14" t="s">
        <v>787</v>
      </c>
    </row>
    <row r="10" spans="1:19" ht="20.100000000000001" customHeight="1">
      <c r="A10" s="62">
        <v>9</v>
      </c>
      <c r="B10" s="14">
        <v>10</v>
      </c>
      <c r="C10" s="14">
        <v>5</v>
      </c>
      <c r="D10" s="14">
        <v>4</v>
      </c>
      <c r="E10" s="14">
        <v>40.759104000000001</v>
      </c>
      <c r="F10" s="14">
        <v>-73.971685999999991</v>
      </c>
      <c r="G10" s="14" t="s">
        <v>789</v>
      </c>
      <c r="H10" s="14" t="s">
        <v>793</v>
      </c>
      <c r="I10" s="14" t="s">
        <v>9</v>
      </c>
      <c r="J10" s="14" t="s">
        <v>82</v>
      </c>
      <c r="K10" s="14" t="s">
        <v>751</v>
      </c>
      <c r="L10" s="14" t="s">
        <v>752</v>
      </c>
      <c r="M10" s="14" t="s">
        <v>726</v>
      </c>
      <c r="N10" s="14" t="s">
        <v>3005</v>
      </c>
      <c r="O10" s="14" t="s">
        <v>735</v>
      </c>
      <c r="P10" s="14" t="s">
        <v>797</v>
      </c>
      <c r="Q10" s="14" t="s">
        <v>731</v>
      </c>
      <c r="R10" s="14" t="s">
        <v>786</v>
      </c>
      <c r="S10" s="14" t="s">
        <v>787</v>
      </c>
    </row>
    <row r="11" spans="1:19" ht="20.100000000000001" customHeight="1">
      <c r="A11" s="62">
        <v>10</v>
      </c>
      <c r="B11" s="14">
        <v>0</v>
      </c>
      <c r="C11" s="14">
        <v>6</v>
      </c>
      <c r="D11" s="14">
        <v>4</v>
      </c>
      <c r="E11" s="14">
        <v>40.759104000000001</v>
      </c>
      <c r="F11" s="14">
        <v>-73.971685999999991</v>
      </c>
      <c r="G11" s="14" t="s">
        <v>789</v>
      </c>
      <c r="H11" s="14" t="s">
        <v>793</v>
      </c>
      <c r="I11" s="14" t="s">
        <v>9</v>
      </c>
      <c r="J11" s="14" t="s">
        <v>82</v>
      </c>
      <c r="K11" s="14" t="s">
        <v>751</v>
      </c>
      <c r="L11" s="14" t="s">
        <v>752</v>
      </c>
      <c r="M11" s="14" t="s">
        <v>786</v>
      </c>
      <c r="N11" s="14" t="s">
        <v>3005</v>
      </c>
      <c r="O11" s="14" t="s">
        <v>740</v>
      </c>
      <c r="P11" s="14" t="s">
        <v>797</v>
      </c>
      <c r="Q11" s="14" t="s">
        <v>787</v>
      </c>
    </row>
    <row r="12" spans="1:19" ht="20.100000000000001" customHeight="1">
      <c r="A12" s="62">
        <v>8</v>
      </c>
      <c r="B12" s="14">
        <v>10</v>
      </c>
      <c r="C12" s="14">
        <v>4</v>
      </c>
      <c r="D12" s="14">
        <v>4</v>
      </c>
      <c r="E12" s="14">
        <v>40.759104000000001</v>
      </c>
      <c r="F12" s="14">
        <v>-73.971685999999991</v>
      </c>
      <c r="G12" s="14" t="s">
        <v>789</v>
      </c>
      <c r="H12" s="14" t="s">
        <v>793</v>
      </c>
      <c r="I12" s="14" t="s">
        <v>9</v>
      </c>
      <c r="J12" s="14" t="s">
        <v>82</v>
      </c>
      <c r="K12" s="14" t="s">
        <v>751</v>
      </c>
      <c r="L12" s="14" t="s">
        <v>752</v>
      </c>
      <c r="M12" s="14" t="s">
        <v>725</v>
      </c>
      <c r="N12" s="14" t="s">
        <v>3005</v>
      </c>
      <c r="O12" s="14" t="s">
        <v>736</v>
      </c>
      <c r="P12" s="14" t="s">
        <v>797</v>
      </c>
      <c r="Q12" s="14" t="s">
        <v>730</v>
      </c>
      <c r="R12" s="14" t="s">
        <v>786</v>
      </c>
      <c r="S12" s="14" t="s">
        <v>787</v>
      </c>
    </row>
    <row r="13" spans="1:19" ht="20.100000000000001" customHeight="1">
      <c r="A13" s="62">
        <v>12</v>
      </c>
      <c r="B13" s="14">
        <v>1</v>
      </c>
      <c r="C13" s="14">
        <v>3</v>
      </c>
      <c r="D13" s="14">
        <v>1</v>
      </c>
      <c r="E13" s="14">
        <v>40.755699999999997</v>
      </c>
      <c r="F13" s="14">
        <v>-73.982001400000001</v>
      </c>
      <c r="G13" s="14" t="s">
        <v>743</v>
      </c>
      <c r="H13" s="14" t="s">
        <v>765</v>
      </c>
      <c r="I13" s="14" t="s">
        <v>9</v>
      </c>
      <c r="J13" s="14" t="s">
        <v>82</v>
      </c>
      <c r="K13" s="14" t="s">
        <v>751</v>
      </c>
      <c r="L13" s="14" t="s">
        <v>752</v>
      </c>
      <c r="M13" s="14" t="s">
        <v>742</v>
      </c>
      <c r="N13" s="14" t="s">
        <v>3002</v>
      </c>
      <c r="O13" s="14" t="s">
        <v>734</v>
      </c>
      <c r="P13" s="14" t="s">
        <v>797</v>
      </c>
      <c r="Q13" s="14" t="s">
        <v>741</v>
      </c>
      <c r="R13" s="14" t="s">
        <v>714</v>
      </c>
      <c r="S13" s="14" t="s">
        <v>715</v>
      </c>
    </row>
    <row r="14" spans="1:19" ht="20.100000000000001" customHeight="1">
      <c r="A14" s="62">
        <v>13</v>
      </c>
      <c r="B14" s="14">
        <v>1</v>
      </c>
      <c r="C14" s="14">
        <v>3</v>
      </c>
      <c r="D14" s="14">
        <v>1</v>
      </c>
      <c r="E14" s="14">
        <v>40.755699999999997</v>
      </c>
      <c r="F14" s="14">
        <v>-73.982001400000001</v>
      </c>
      <c r="G14" s="14" t="s">
        <v>743</v>
      </c>
      <c r="H14" s="14" t="s">
        <v>765</v>
      </c>
      <c r="I14" s="14" t="s">
        <v>9</v>
      </c>
      <c r="J14" s="14" t="s">
        <v>82</v>
      </c>
      <c r="K14" s="14" t="s">
        <v>751</v>
      </c>
      <c r="L14" s="14" t="s">
        <v>752</v>
      </c>
      <c r="M14" s="14" t="s">
        <v>746</v>
      </c>
      <c r="N14" s="14" t="s">
        <v>3002</v>
      </c>
      <c r="O14" s="14" t="s">
        <v>734</v>
      </c>
      <c r="P14" s="14" t="s">
        <v>797</v>
      </c>
      <c r="Q14" s="14" t="s">
        <v>745</v>
      </c>
      <c r="R14" s="14" t="s">
        <v>714</v>
      </c>
      <c r="S14" s="14" t="s">
        <v>715</v>
      </c>
    </row>
    <row r="15" spans="1:19" ht="20.100000000000001" customHeight="1">
      <c r="A15" s="62">
        <v>14</v>
      </c>
      <c r="B15" s="14">
        <v>8</v>
      </c>
      <c r="C15" s="14">
        <v>4</v>
      </c>
      <c r="D15" s="14">
        <v>5</v>
      </c>
      <c r="E15" s="14">
        <v>30.832175500000002</v>
      </c>
      <c r="F15" s="14">
        <v>-92.637280099999998</v>
      </c>
      <c r="G15" s="14" t="s">
        <v>784</v>
      </c>
      <c r="H15" s="14" t="s">
        <v>795</v>
      </c>
      <c r="I15" s="14" t="s">
        <v>9</v>
      </c>
      <c r="J15" s="14" t="s">
        <v>82</v>
      </c>
      <c r="K15" s="14" t="s">
        <v>366</v>
      </c>
      <c r="L15" s="14" t="s">
        <v>790</v>
      </c>
      <c r="M15" s="14" t="s">
        <v>776</v>
      </c>
      <c r="N15" s="14" t="s">
        <v>3007</v>
      </c>
      <c r="O15" s="14" t="s">
        <v>736</v>
      </c>
      <c r="P15" s="14" t="s">
        <v>797</v>
      </c>
      <c r="Q15" s="14" t="s">
        <v>777</v>
      </c>
      <c r="R15" s="14" t="s">
        <v>725</v>
      </c>
      <c r="S15" s="14" t="s">
        <v>730</v>
      </c>
    </row>
    <row r="16" spans="1:19" ht="20.100000000000001" customHeight="1">
      <c r="A16" s="62">
        <v>15</v>
      </c>
      <c r="B16" s="14">
        <v>7</v>
      </c>
      <c r="C16" s="14">
        <v>1</v>
      </c>
      <c r="D16" s="14">
        <v>6</v>
      </c>
      <c r="E16" s="14">
        <v>40.760723200000001</v>
      </c>
      <c r="F16" s="14">
        <v>-73.979535599999991</v>
      </c>
      <c r="G16" s="14" t="s">
        <v>781</v>
      </c>
      <c r="H16" s="14" t="s">
        <v>796</v>
      </c>
      <c r="I16" s="14" t="s">
        <v>9</v>
      </c>
      <c r="J16" s="14" t="s">
        <v>82</v>
      </c>
      <c r="K16" s="14" t="s">
        <v>751</v>
      </c>
      <c r="L16" s="14" t="s">
        <v>752</v>
      </c>
      <c r="M16" s="14" t="s">
        <v>778</v>
      </c>
      <c r="N16" s="14" t="s">
        <v>3009</v>
      </c>
      <c r="O16" s="14" t="s">
        <v>732</v>
      </c>
      <c r="P16" s="14" t="s">
        <v>797</v>
      </c>
      <c r="Q16" s="14" t="s">
        <v>779</v>
      </c>
      <c r="R16" s="14" t="s">
        <v>723</v>
      </c>
      <c r="S16" s="14" t="s">
        <v>729</v>
      </c>
    </row>
    <row r="51" spans="10:10" ht="20.100000000000001" customHeight="1">
      <c r="J51" s="1"/>
    </row>
    <row r="52" spans="10:10" ht="20.100000000000001" customHeight="1">
      <c r="J52" s="21"/>
    </row>
  </sheetData>
  <pageMargins left="0.7" right="0.7" top="0.75" bottom="0.75" header="0.3" footer="0.3"/>
  <pageSetup orientation="portrait" horizontalDpi="1200" verticalDpi="1200"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6"/>
  <dimension ref="A1:K147"/>
  <sheetViews>
    <sheetView workbookViewId="0">
      <selection activeCell="F16" sqref="F16"/>
    </sheetView>
  </sheetViews>
  <sheetFormatPr defaultColWidth="8.28515625" defaultRowHeight="15"/>
  <cols>
    <col min="1" max="1" width="12" style="37" customWidth="1"/>
    <col min="2" max="2" width="12.140625" style="14" customWidth="1"/>
    <col min="3" max="3" width="11.85546875" style="14" customWidth="1"/>
    <col min="4" max="4" width="8.28515625" style="14"/>
    <col min="5" max="5" width="12" style="14" customWidth="1"/>
    <col min="6" max="6" width="7" style="14" customWidth="1"/>
    <col min="7" max="7" width="18.85546875" style="14" customWidth="1"/>
    <col min="8" max="8" width="11.7109375" style="14" customWidth="1"/>
    <col min="9" max="9" width="20.42578125" style="14" customWidth="1"/>
    <col min="10" max="10" width="28.5703125" style="14" customWidth="1"/>
    <col min="11" max="16384" width="8.28515625" style="14"/>
  </cols>
  <sheetData>
    <row r="1" spans="1:11">
      <c r="A1" s="38" t="s">
        <v>677</v>
      </c>
      <c r="B1" s="38" t="s">
        <v>678</v>
      </c>
      <c r="C1" s="38" t="s">
        <v>681</v>
      </c>
      <c r="D1" s="12" t="s">
        <v>673</v>
      </c>
      <c r="G1" s="66"/>
      <c r="H1" s="66"/>
      <c r="I1" s="66"/>
    </row>
    <row r="2" spans="1:11">
      <c r="A2" s="37">
        <v>1</v>
      </c>
      <c r="B2" s="14">
        <v>10</v>
      </c>
      <c r="C2" s="14">
        <v>3</v>
      </c>
      <c r="D2" s="14">
        <v>1</v>
      </c>
      <c r="G2" s="66" t="str">
        <f>VLOOKUP(A2,Staff!$A$2:$B$26,2,FALSE)</f>
        <v>Dominic Strauss Khan</v>
      </c>
      <c r="H2" s="66" t="str">
        <f>VLOOKUP(B2,Staff!$A$2:$B$26,2,FALSE)</f>
        <v>Vikram Pandit</v>
      </c>
      <c r="I2" s="66" t="str">
        <f>VLOOKUP(D2,Offices!$A$2:$B$10,2,FALSE)</f>
        <v>Sofitel New York</v>
      </c>
      <c r="J2" s="66" t="str">
        <f>VLOOKUP(C2,Functions!$A$2:$B$15,2,FALSE)</f>
        <v>Employee Relations</v>
      </c>
      <c r="K2" s="21"/>
    </row>
    <row r="3" spans="1:11" ht="18" customHeight="1">
      <c r="A3" s="37">
        <v>11</v>
      </c>
      <c r="B3" s="14">
        <v>10</v>
      </c>
      <c r="C3" s="14">
        <v>2</v>
      </c>
      <c r="D3" s="14">
        <v>4</v>
      </c>
      <c r="G3" s="66" t="str">
        <f>VLOOKUP(A3,Staff!$A$2:$B$26,2,FALSE)</f>
        <v>Ebenezer Scrooge</v>
      </c>
      <c r="H3" s="66" t="str">
        <f>VLOOKUP(B3,Staff!$A$2:$B$26,2,FALSE)</f>
        <v>Vikram Pandit</v>
      </c>
      <c r="I3" s="66" t="str">
        <f>VLOOKUP(D3,Offices!$A$2:$B$10,2,FALSE)</f>
        <v>ShitiBank HQ</v>
      </c>
      <c r="J3" s="66" t="str">
        <f>VLOOKUP(C3,Functions!$A$2:$B$15,2,FALSE)</f>
        <v>Mortgages and Loans</v>
      </c>
    </row>
    <row r="4" spans="1:11" ht="23.25">
      <c r="A4" s="37">
        <v>4</v>
      </c>
      <c r="B4" s="14">
        <v>9</v>
      </c>
      <c r="C4" s="14">
        <v>5</v>
      </c>
      <c r="D4" s="14">
        <v>7</v>
      </c>
      <c r="G4" s="66" t="str">
        <f>VLOOKUP(A4,Staff!$A$2:$B$26,2,FALSE)</f>
        <v>Bernie Madhoff</v>
      </c>
      <c r="H4" s="66" t="str">
        <f>VLOOKUP(B4,Staff!$A$2:$B$26,2,FALSE)</f>
        <v>Charles Ponzi</v>
      </c>
      <c r="I4" s="66" t="str">
        <f>VLOOKUP(D4,Offices!$A$2:$B$10,2,FALSE)</f>
        <v>Butner Federal Correction Complex</v>
      </c>
      <c r="J4" s="66" t="str">
        <f>VLOOKUP(C4,Functions!$A$2:$B$15,2,FALSE)</f>
        <v>Investment</v>
      </c>
    </row>
    <row r="5" spans="1:11" ht="23.25">
      <c r="A5" s="37">
        <v>5</v>
      </c>
      <c r="B5" s="14">
        <v>11</v>
      </c>
      <c r="C5" s="14">
        <v>2</v>
      </c>
      <c r="D5" s="14">
        <v>4</v>
      </c>
      <c r="G5" s="66" t="str">
        <f>VLOOKUP(A5,Staff!$A$2:$B$26,2,FALSE)</f>
        <v>Fannie Mae</v>
      </c>
      <c r="H5" s="66" t="str">
        <f>VLOOKUP(B5,Staff!$A$2:$B$26,2,FALSE)</f>
        <v>Ebenezer Scrooge</v>
      </c>
      <c r="I5" s="66" t="str">
        <f>VLOOKUP(D5,Offices!$A$2:$B$10,2,FALSE)</f>
        <v>ShitiBank HQ</v>
      </c>
      <c r="J5" s="66" t="str">
        <f>VLOOKUP(C5,Functions!$A$2:$B$15,2,FALSE)</f>
        <v>Mortgages and Loans</v>
      </c>
    </row>
    <row r="6" spans="1:11" ht="18" customHeight="1">
      <c r="A6" s="37">
        <v>6</v>
      </c>
      <c r="B6" s="14">
        <v>11</v>
      </c>
      <c r="C6" s="14">
        <v>2</v>
      </c>
      <c r="D6" s="14">
        <v>4</v>
      </c>
      <c r="G6" s="66" t="str">
        <f>VLOOKUP(A6,Staff!$A$2:$B$26,2,FALSE)</f>
        <v>Freddie Mack</v>
      </c>
      <c r="H6" s="66" t="str">
        <f>VLOOKUP(B6,Staff!$A$2:$B$26,2,FALSE)</f>
        <v>Ebenezer Scrooge</v>
      </c>
      <c r="I6" s="66" t="str">
        <f>VLOOKUP(D6,Offices!$A$2:$B$10,2,FALSE)</f>
        <v>ShitiBank HQ</v>
      </c>
      <c r="J6" s="66" t="str">
        <f>VLOOKUP(C6,Functions!$A$2:$B$15,2,FALSE)</f>
        <v>Mortgages and Loans</v>
      </c>
    </row>
    <row r="7" spans="1:11">
      <c r="A7" s="37">
        <v>2</v>
      </c>
      <c r="B7" s="14">
        <v>3</v>
      </c>
      <c r="C7" s="14">
        <v>7</v>
      </c>
      <c r="D7" s="14">
        <v>2</v>
      </c>
      <c r="G7" s="66" t="str">
        <f>VLOOKUP(A7,Staff!$A$2:$B$26,2,FALSE)</f>
        <v>Nicholas Sarkozy</v>
      </c>
      <c r="H7" s="66" t="str">
        <f>VLOOKUP(B7,Staff!$A$2:$B$26,2,FALSE)</f>
        <v>Angela Merkel</v>
      </c>
      <c r="I7" s="66" t="str">
        <f>VLOOKUP(D7,Offices!$A$2:$B$10,2,FALSE)</f>
        <v>Elysee Palace</v>
      </c>
      <c r="J7" s="66" t="str">
        <f>VLOOKUP(C7,Functions!$A$2:$B$15,2,FALSE)</f>
        <v>Foreign Exchange</v>
      </c>
    </row>
    <row r="8" spans="1:11">
      <c r="A8" s="37">
        <v>7</v>
      </c>
      <c r="B8" s="14">
        <v>10</v>
      </c>
      <c r="C8" s="14">
        <v>1</v>
      </c>
      <c r="D8" s="14">
        <v>4</v>
      </c>
      <c r="G8" s="66" t="str">
        <f>VLOOKUP(A8,Staff!$A$2:$B$26,2,FALSE)</f>
        <v>Fred Goodwin</v>
      </c>
      <c r="H8" s="66" t="str">
        <f>VLOOKUP(B8,Staff!$A$2:$B$26,2,FALSE)</f>
        <v>Vikram Pandit</v>
      </c>
      <c r="I8" s="66" t="str">
        <f>VLOOKUP(D8,Offices!$A$2:$B$10,2,FALSE)</f>
        <v>ShitiBank HQ</v>
      </c>
      <c r="J8" s="66" t="str">
        <f>VLOOKUP(C8,Functions!$A$2:$B$15,2,FALSE)</f>
        <v>Pensions</v>
      </c>
    </row>
    <row r="9" spans="1:11">
      <c r="A9" s="37">
        <v>3</v>
      </c>
      <c r="B9" s="14">
        <v>10</v>
      </c>
      <c r="C9" s="14">
        <v>7</v>
      </c>
      <c r="D9" s="14">
        <v>3</v>
      </c>
      <c r="G9" s="66" t="str">
        <f>VLOOKUP(A9,Staff!$A$2:$B$26,2,FALSE)</f>
        <v>Angela Merkel</v>
      </c>
      <c r="H9" s="66" t="str">
        <f>VLOOKUP(B9,Staff!$A$2:$B$26,2,FALSE)</f>
        <v>Vikram Pandit</v>
      </c>
      <c r="I9" s="66" t="str">
        <f>VLOOKUP(D9,Offices!$A$2:$B$10,2,FALSE)</f>
        <v>Bundeskanzleramt</v>
      </c>
      <c r="J9" s="66" t="str">
        <f>VLOOKUP(C9,Functions!$A$2:$B$15,2,FALSE)</f>
        <v>Foreign Exchange</v>
      </c>
    </row>
    <row r="10" spans="1:11">
      <c r="A10" s="37">
        <v>9</v>
      </c>
      <c r="B10" s="14">
        <v>10</v>
      </c>
      <c r="C10" s="14">
        <v>5</v>
      </c>
      <c r="D10" s="14">
        <v>4</v>
      </c>
      <c r="G10" s="66" t="str">
        <f>VLOOKUP(A10,Staff!$A$2:$B$26,2,FALSE)</f>
        <v>Charles Ponzi</v>
      </c>
      <c r="H10" s="66" t="str">
        <f>VLOOKUP(B10,Staff!$A$2:$B$26,2,FALSE)</f>
        <v>Vikram Pandit</v>
      </c>
      <c r="I10" s="66" t="str">
        <f>VLOOKUP(D10,Offices!$A$2:$B$10,2,FALSE)</f>
        <v>ShitiBank HQ</v>
      </c>
      <c r="J10" s="66" t="str">
        <f>VLOOKUP(C10,Functions!$A$2:$B$15,2,FALSE)</f>
        <v>Investment</v>
      </c>
    </row>
    <row r="11" spans="1:11">
      <c r="A11" s="37">
        <v>10</v>
      </c>
      <c r="B11" s="14">
        <v>0</v>
      </c>
      <c r="C11" s="14">
        <v>6</v>
      </c>
      <c r="D11" s="14">
        <v>4</v>
      </c>
      <c r="G11" s="66" t="str">
        <f>VLOOKUP(A11,Staff!$A$2:$B$26,2,FALSE)</f>
        <v>Vikram Pandit</v>
      </c>
      <c r="H11" s="66" t="e">
        <f>VLOOKUP(B11,Staff!$A$2:$B$26,2,FALSE)</f>
        <v>#N/A</v>
      </c>
      <c r="I11" s="66" t="str">
        <f>VLOOKUP(D11,Offices!$A$2:$B$10,2,FALSE)</f>
        <v>ShitiBank HQ</v>
      </c>
      <c r="J11" s="66" t="str">
        <f>VLOOKUP(C11,Functions!$A$2:$B$15,2,FALSE)</f>
        <v>Shitibank administration</v>
      </c>
    </row>
    <row r="12" spans="1:11">
      <c r="A12" s="37">
        <v>8</v>
      </c>
      <c r="B12" s="14">
        <v>10</v>
      </c>
      <c r="C12" s="14">
        <v>4</v>
      </c>
      <c r="D12" s="14">
        <v>4</v>
      </c>
      <c r="G12" s="66" t="str">
        <f>VLOOKUP(A12,Staff!$A$2:$B$26,2,FALSE)</f>
        <v>Richard Fuld</v>
      </c>
      <c r="H12" s="66" t="str">
        <f>VLOOKUP(B12,Staff!$A$2:$B$26,2,FALSE)</f>
        <v>Vikram Pandit</v>
      </c>
      <c r="I12" s="66" t="str">
        <f>VLOOKUP(D12,Offices!$A$2:$B$10,2,FALSE)</f>
        <v>ShitiBank HQ</v>
      </c>
      <c r="J12" s="66" t="str">
        <f>VLOOKUP(C12,Functions!$A$2:$B$15,2,FALSE)</f>
        <v>Wealth Management</v>
      </c>
    </row>
    <row r="13" spans="1:11" ht="23.25">
      <c r="A13" s="37">
        <v>12</v>
      </c>
      <c r="B13" s="14">
        <v>1</v>
      </c>
      <c r="C13" s="14">
        <v>3</v>
      </c>
      <c r="D13" s="14">
        <v>1</v>
      </c>
      <c r="G13" s="66" t="str">
        <f>VLOOKUP(A13,Staff!$A$2:$B$26,2,FALSE)</f>
        <v>Nafissatou Diallo</v>
      </c>
      <c r="H13" s="66" t="str">
        <f>VLOOKUP(B13,Staff!$A$2:$B$26,2,FALSE)</f>
        <v>Dominic Strauss Khan</v>
      </c>
      <c r="I13" s="66" t="str">
        <f>VLOOKUP(D13,Offices!$A$2:$B$10,2,FALSE)</f>
        <v>Sofitel New York</v>
      </c>
      <c r="J13" s="66" t="str">
        <f>VLOOKUP(C13,Functions!$A$2:$B$15,2,FALSE)</f>
        <v>Employee Relations</v>
      </c>
    </row>
    <row r="14" spans="1:11" ht="23.25">
      <c r="A14" s="37">
        <v>13</v>
      </c>
      <c r="B14" s="14">
        <v>1</v>
      </c>
      <c r="C14" s="14">
        <v>3</v>
      </c>
      <c r="D14" s="14">
        <v>1</v>
      </c>
      <c r="G14" s="66" t="str">
        <f>VLOOKUP(A14,Staff!$A$2:$B$26,2,FALSE)</f>
        <v>Tristane Banon</v>
      </c>
      <c r="H14" s="66" t="str">
        <f>VLOOKUP(B14,Staff!$A$2:$B$26,2,FALSE)</f>
        <v>Dominic Strauss Khan</v>
      </c>
      <c r="I14" s="66" t="str">
        <f>VLOOKUP(D14,Offices!$A$2:$B$10,2,FALSE)</f>
        <v>Sofitel New York</v>
      </c>
      <c r="J14" s="66" t="str">
        <f>VLOOKUP(C14,Functions!$A$2:$B$15,2,FALSE)</f>
        <v>Employee Relations</v>
      </c>
    </row>
    <row r="15" spans="1:11" ht="23.25">
      <c r="A15" s="37">
        <v>14</v>
      </c>
      <c r="B15" s="14">
        <v>8</v>
      </c>
      <c r="C15" s="14">
        <v>4</v>
      </c>
      <c r="D15" s="14">
        <v>5</v>
      </c>
      <c r="G15" s="66" t="str">
        <f>VLOOKUP(A15,Staff!$A$2:$B$26,2,FALSE)</f>
        <v>Berbie Ebbers</v>
      </c>
      <c r="H15" s="66" t="str">
        <f>VLOOKUP(B15,Staff!$A$2:$B$26,2,FALSE)</f>
        <v>Richard Fuld</v>
      </c>
      <c r="I15" s="66" t="str">
        <f>VLOOKUP(D15,Offices!$A$2:$B$10,2,FALSE)</f>
        <v>Oakdale Federal Correction Complex</v>
      </c>
      <c r="J15" s="66" t="str">
        <f>VLOOKUP(C15,Functions!$A$2:$B$15,2,FALSE)</f>
        <v>Wealth Management</v>
      </c>
    </row>
    <row r="16" spans="1:11">
      <c r="A16" s="37">
        <v>15</v>
      </c>
      <c r="B16" s="14">
        <v>7</v>
      </c>
      <c r="C16" s="14">
        <v>1</v>
      </c>
      <c r="D16" s="14">
        <v>6</v>
      </c>
      <c r="G16" s="66" t="str">
        <f>VLOOKUP(A16,Staff!$A$2:$B$26,2,FALSE)</f>
        <v>David Thomas</v>
      </c>
      <c r="H16" s="66" t="str">
        <f>VLOOKUP(B16,Staff!$A$2:$B$26,2,FALSE)</f>
        <v>Fred Goodwin</v>
      </c>
      <c r="I16" s="66" t="str">
        <f>VLOOKUP(D16,Offices!$A$2:$B$10,2,FALSE)</f>
        <v>Equitable Life</v>
      </c>
      <c r="J16" s="66" t="str">
        <f>VLOOKUP(C16,Functions!$A$2:$B$15,2,FALSE)</f>
        <v>Pensions</v>
      </c>
    </row>
    <row r="17" spans="7:10">
      <c r="G17" s="66"/>
      <c r="H17" s="66"/>
      <c r="I17" s="66"/>
      <c r="J17" s="1" t="s">
        <v>662</v>
      </c>
    </row>
    <row r="18" spans="7:10">
      <c r="G18" s="66"/>
      <c r="H18" s="66"/>
      <c r="I18" s="66"/>
      <c r="J18" s="21" t="s">
        <v>661</v>
      </c>
    </row>
    <row r="19" spans="7:10">
      <c r="G19" s="66"/>
      <c r="H19" s="66"/>
      <c r="I19" s="66"/>
    </row>
    <row r="20" spans="7:10">
      <c r="G20" s="66"/>
      <c r="H20" s="66"/>
      <c r="I20" s="66"/>
    </row>
    <row r="21" spans="7:10">
      <c r="G21" s="66"/>
      <c r="H21" s="66"/>
      <c r="I21" s="66"/>
    </row>
    <row r="22" spans="7:10">
      <c r="G22" s="66"/>
      <c r="H22" s="66"/>
      <c r="I22" s="66"/>
    </row>
    <row r="23" spans="7:10">
      <c r="G23" s="66"/>
      <c r="H23" s="66"/>
      <c r="I23" s="66"/>
    </row>
    <row r="24" spans="7:10">
      <c r="G24" s="66"/>
      <c r="H24" s="66"/>
      <c r="I24" s="66"/>
    </row>
    <row r="25" spans="7:10">
      <c r="G25" s="66"/>
      <c r="H25" s="66"/>
      <c r="I25" s="66"/>
    </row>
    <row r="26" spans="7:10">
      <c r="G26" s="66"/>
      <c r="H26" s="66"/>
      <c r="I26" s="66"/>
    </row>
    <row r="27" spans="7:10">
      <c r="G27" s="66"/>
      <c r="H27" s="66"/>
      <c r="I27" s="66"/>
    </row>
    <row r="28" spans="7:10">
      <c r="G28" s="66"/>
      <c r="H28" s="66"/>
      <c r="I28" s="66"/>
    </row>
    <row r="29" spans="7:10">
      <c r="G29" s="66"/>
      <c r="H29" s="66"/>
      <c r="I29" s="66"/>
    </row>
    <row r="30" spans="7:10">
      <c r="G30" s="66"/>
      <c r="H30" s="66"/>
      <c r="I30" s="66"/>
    </row>
    <row r="31" spans="7:10">
      <c r="G31" s="66"/>
      <c r="H31" s="66"/>
      <c r="I31" s="66"/>
    </row>
    <row r="32" spans="7:10">
      <c r="G32" s="66"/>
      <c r="H32" s="66"/>
      <c r="I32" s="66"/>
    </row>
    <row r="33" spans="7:9">
      <c r="G33" s="66"/>
      <c r="H33" s="66"/>
      <c r="I33" s="66"/>
    </row>
    <row r="34" spans="7:9">
      <c r="G34" s="66"/>
      <c r="H34" s="66"/>
      <c r="I34" s="66"/>
    </row>
    <row r="35" spans="7:9">
      <c r="G35" s="66"/>
      <c r="H35" s="66"/>
      <c r="I35" s="66"/>
    </row>
    <row r="36" spans="7:9">
      <c r="G36" s="66"/>
      <c r="H36" s="66"/>
      <c r="I36" s="66"/>
    </row>
    <row r="37" spans="7:9">
      <c r="G37" s="66"/>
      <c r="H37" s="66"/>
      <c r="I37" s="66"/>
    </row>
    <row r="38" spans="7:9">
      <c r="G38" s="66"/>
      <c r="H38" s="66"/>
      <c r="I38" s="66"/>
    </row>
    <row r="39" spans="7:9">
      <c r="G39" s="66"/>
      <c r="H39" s="66"/>
      <c r="I39" s="66"/>
    </row>
    <row r="40" spans="7:9">
      <c r="G40" s="66"/>
      <c r="H40" s="66"/>
      <c r="I40" s="66"/>
    </row>
    <row r="41" spans="7:9">
      <c r="G41" s="66"/>
      <c r="H41" s="66"/>
      <c r="I41" s="66"/>
    </row>
    <row r="42" spans="7:9">
      <c r="G42" s="66"/>
      <c r="H42" s="66"/>
      <c r="I42" s="66"/>
    </row>
    <row r="43" spans="7:9">
      <c r="G43" s="66"/>
      <c r="H43" s="66"/>
      <c r="I43" s="66"/>
    </row>
    <row r="44" spans="7:9">
      <c r="G44" s="66"/>
      <c r="H44" s="66"/>
      <c r="I44" s="66"/>
    </row>
    <row r="45" spans="7:9">
      <c r="G45" s="66"/>
      <c r="H45" s="66"/>
      <c r="I45" s="66"/>
    </row>
    <row r="46" spans="7:9">
      <c r="G46" s="66"/>
      <c r="H46" s="66"/>
      <c r="I46" s="66"/>
    </row>
    <row r="47" spans="7:9">
      <c r="G47" s="66"/>
      <c r="H47" s="66"/>
      <c r="I47" s="66"/>
    </row>
    <row r="48" spans="7:9">
      <c r="G48" s="66"/>
      <c r="H48" s="66"/>
      <c r="I48" s="66"/>
    </row>
    <row r="49" spans="7:9">
      <c r="G49" s="66"/>
      <c r="H49" s="66"/>
      <c r="I49" s="66"/>
    </row>
    <row r="50" spans="7:9">
      <c r="G50" s="66"/>
      <c r="H50" s="66"/>
      <c r="I50" s="66"/>
    </row>
    <row r="51" spans="7:9">
      <c r="G51" s="66"/>
      <c r="H51" s="66"/>
      <c r="I51" s="66"/>
    </row>
    <row r="52" spans="7:9">
      <c r="G52" s="66"/>
      <c r="H52" s="66"/>
      <c r="I52" s="66"/>
    </row>
    <row r="53" spans="7:9">
      <c r="G53" s="66"/>
      <c r="H53" s="66"/>
      <c r="I53" s="66"/>
    </row>
    <row r="54" spans="7:9">
      <c r="G54" s="66"/>
      <c r="H54" s="66"/>
      <c r="I54" s="66"/>
    </row>
    <row r="55" spans="7:9">
      <c r="G55" s="66"/>
      <c r="H55" s="66"/>
      <c r="I55" s="66"/>
    </row>
    <row r="56" spans="7:9">
      <c r="G56" s="66"/>
      <c r="H56" s="66"/>
      <c r="I56" s="66"/>
    </row>
    <row r="57" spans="7:9">
      <c r="G57" s="66"/>
      <c r="H57" s="66"/>
      <c r="I57" s="66"/>
    </row>
    <row r="58" spans="7:9">
      <c r="G58" s="66"/>
      <c r="H58" s="66"/>
      <c r="I58" s="66"/>
    </row>
    <row r="59" spans="7:9">
      <c r="G59" s="66"/>
      <c r="H59" s="66"/>
      <c r="I59" s="66"/>
    </row>
    <row r="60" spans="7:9">
      <c r="G60" s="66"/>
      <c r="H60" s="66"/>
      <c r="I60" s="66"/>
    </row>
    <row r="61" spans="7:9">
      <c r="G61" s="66"/>
      <c r="H61" s="66"/>
      <c r="I61" s="66"/>
    </row>
    <row r="62" spans="7:9">
      <c r="G62" s="66"/>
      <c r="H62" s="66"/>
      <c r="I62" s="66"/>
    </row>
    <row r="63" spans="7:9">
      <c r="G63" s="66"/>
      <c r="H63" s="66"/>
      <c r="I63" s="66"/>
    </row>
    <row r="64" spans="7:9">
      <c r="G64" s="66"/>
      <c r="H64" s="66"/>
      <c r="I64" s="66"/>
    </row>
    <row r="65" spans="7:9">
      <c r="G65" s="66"/>
      <c r="H65" s="66"/>
      <c r="I65" s="66"/>
    </row>
    <row r="66" spans="7:9">
      <c r="G66" s="66"/>
      <c r="H66" s="66"/>
      <c r="I66" s="66"/>
    </row>
    <row r="67" spans="7:9">
      <c r="G67" s="66"/>
      <c r="H67" s="66"/>
      <c r="I67" s="66"/>
    </row>
    <row r="68" spans="7:9">
      <c r="G68" s="66"/>
      <c r="H68" s="66"/>
      <c r="I68" s="66"/>
    </row>
    <row r="69" spans="7:9">
      <c r="G69" s="66"/>
      <c r="H69" s="66"/>
      <c r="I69" s="66"/>
    </row>
    <row r="70" spans="7:9">
      <c r="G70" s="66"/>
      <c r="H70" s="66"/>
      <c r="I70" s="66"/>
    </row>
    <row r="71" spans="7:9">
      <c r="G71" s="66"/>
      <c r="H71" s="66"/>
      <c r="I71" s="66"/>
    </row>
    <row r="72" spans="7:9">
      <c r="G72" s="66"/>
      <c r="H72" s="66"/>
      <c r="I72" s="66"/>
    </row>
    <row r="73" spans="7:9">
      <c r="G73" s="66"/>
      <c r="H73" s="66"/>
      <c r="I73" s="66"/>
    </row>
    <row r="74" spans="7:9">
      <c r="G74" s="66"/>
      <c r="H74" s="66"/>
      <c r="I74" s="66"/>
    </row>
    <row r="75" spans="7:9">
      <c r="G75" s="66"/>
      <c r="H75" s="66"/>
      <c r="I75" s="66"/>
    </row>
    <row r="76" spans="7:9">
      <c r="G76" s="66"/>
      <c r="H76" s="66"/>
      <c r="I76" s="66"/>
    </row>
    <row r="77" spans="7:9">
      <c r="G77" s="66"/>
      <c r="H77" s="66"/>
      <c r="I77" s="66"/>
    </row>
    <row r="78" spans="7:9">
      <c r="G78" s="66"/>
      <c r="H78" s="66"/>
      <c r="I78" s="66"/>
    </row>
    <row r="79" spans="7:9">
      <c r="G79" s="66"/>
      <c r="H79" s="66"/>
      <c r="I79" s="66"/>
    </row>
    <row r="80" spans="7:9">
      <c r="G80" s="66"/>
      <c r="H80" s="66"/>
      <c r="I80" s="66"/>
    </row>
    <row r="81" spans="7:9">
      <c r="G81" s="66"/>
      <c r="H81" s="66"/>
      <c r="I81" s="66"/>
    </row>
    <row r="82" spans="7:9">
      <c r="G82" s="66"/>
      <c r="H82" s="66"/>
      <c r="I82" s="66"/>
    </row>
    <row r="83" spans="7:9">
      <c r="G83" s="66"/>
      <c r="H83" s="66"/>
      <c r="I83" s="66"/>
    </row>
    <row r="84" spans="7:9">
      <c r="G84" s="66"/>
      <c r="H84" s="66"/>
      <c r="I84" s="66"/>
    </row>
    <row r="85" spans="7:9">
      <c r="G85" s="66"/>
      <c r="H85" s="66"/>
      <c r="I85" s="66"/>
    </row>
    <row r="86" spans="7:9">
      <c r="G86" s="66"/>
      <c r="H86" s="66"/>
      <c r="I86" s="66"/>
    </row>
    <row r="87" spans="7:9">
      <c r="G87" s="66"/>
      <c r="H87" s="66"/>
      <c r="I87" s="66"/>
    </row>
    <row r="88" spans="7:9">
      <c r="G88" s="66"/>
      <c r="H88" s="66"/>
      <c r="I88" s="66"/>
    </row>
    <row r="89" spans="7:9">
      <c r="G89" s="66"/>
      <c r="H89" s="66"/>
      <c r="I89" s="66"/>
    </row>
    <row r="90" spans="7:9">
      <c r="G90" s="66"/>
      <c r="H90" s="66"/>
      <c r="I90" s="66"/>
    </row>
    <row r="91" spans="7:9">
      <c r="G91" s="66"/>
      <c r="H91" s="66"/>
      <c r="I91" s="66"/>
    </row>
    <row r="92" spans="7:9">
      <c r="G92" s="66"/>
      <c r="H92" s="66"/>
      <c r="I92" s="66"/>
    </row>
    <row r="93" spans="7:9">
      <c r="G93" s="66"/>
      <c r="H93" s="66"/>
      <c r="I93" s="66"/>
    </row>
    <row r="94" spans="7:9">
      <c r="G94" s="66"/>
      <c r="H94" s="66"/>
      <c r="I94" s="66"/>
    </row>
    <row r="95" spans="7:9">
      <c r="G95" s="66"/>
      <c r="H95" s="66"/>
      <c r="I95" s="66"/>
    </row>
    <row r="96" spans="7:9">
      <c r="G96" s="66"/>
      <c r="H96" s="66"/>
      <c r="I96" s="66"/>
    </row>
    <row r="97" spans="7:9">
      <c r="G97" s="66"/>
      <c r="H97" s="66"/>
      <c r="I97" s="66"/>
    </row>
    <row r="98" spans="7:9">
      <c r="G98" s="66"/>
      <c r="H98" s="66"/>
      <c r="I98" s="66"/>
    </row>
    <row r="99" spans="7:9">
      <c r="G99" s="66"/>
      <c r="H99" s="66"/>
      <c r="I99" s="66"/>
    </row>
    <row r="100" spans="7:9">
      <c r="G100" s="66"/>
      <c r="H100" s="66"/>
      <c r="I100" s="66"/>
    </row>
    <row r="101" spans="7:9">
      <c r="G101" s="66"/>
      <c r="H101" s="66"/>
      <c r="I101" s="66"/>
    </row>
    <row r="102" spans="7:9">
      <c r="G102" s="66"/>
      <c r="H102" s="66"/>
      <c r="I102" s="66"/>
    </row>
    <row r="103" spans="7:9">
      <c r="G103" s="66"/>
      <c r="H103" s="66"/>
      <c r="I103" s="66"/>
    </row>
    <row r="104" spans="7:9">
      <c r="G104" s="66"/>
      <c r="H104" s="66"/>
      <c r="I104" s="66"/>
    </row>
    <row r="105" spans="7:9">
      <c r="G105" s="66"/>
      <c r="H105" s="66"/>
      <c r="I105" s="66"/>
    </row>
    <row r="106" spans="7:9">
      <c r="G106" s="66"/>
      <c r="H106" s="66"/>
      <c r="I106" s="66"/>
    </row>
    <row r="107" spans="7:9">
      <c r="G107" s="66"/>
      <c r="H107" s="66"/>
      <c r="I107" s="66"/>
    </row>
    <row r="108" spans="7:9">
      <c r="G108" s="66"/>
      <c r="H108" s="66"/>
      <c r="I108" s="66"/>
    </row>
    <row r="109" spans="7:9">
      <c r="G109" s="66"/>
      <c r="H109" s="66"/>
      <c r="I109" s="66"/>
    </row>
    <row r="110" spans="7:9">
      <c r="G110" s="66"/>
      <c r="H110" s="66"/>
      <c r="I110" s="66"/>
    </row>
    <row r="111" spans="7:9">
      <c r="G111" s="66"/>
      <c r="H111" s="66"/>
      <c r="I111" s="66"/>
    </row>
    <row r="112" spans="7:9">
      <c r="G112" s="66"/>
      <c r="H112" s="66"/>
      <c r="I112" s="66"/>
    </row>
    <row r="113" spans="7:9">
      <c r="G113" s="66"/>
      <c r="H113" s="66"/>
      <c r="I113" s="66"/>
    </row>
    <row r="114" spans="7:9">
      <c r="G114" s="66"/>
      <c r="H114" s="66"/>
      <c r="I114" s="66"/>
    </row>
    <row r="115" spans="7:9">
      <c r="G115" s="66"/>
      <c r="H115" s="66"/>
      <c r="I115" s="66"/>
    </row>
    <row r="116" spans="7:9">
      <c r="G116" s="66"/>
      <c r="H116" s="66"/>
      <c r="I116" s="66"/>
    </row>
    <row r="117" spans="7:9">
      <c r="G117" s="66"/>
      <c r="H117" s="66"/>
      <c r="I117" s="66"/>
    </row>
    <row r="118" spans="7:9">
      <c r="G118" s="66"/>
      <c r="H118" s="66"/>
      <c r="I118" s="66"/>
    </row>
    <row r="119" spans="7:9">
      <c r="G119" s="66"/>
      <c r="H119" s="66"/>
      <c r="I119" s="66"/>
    </row>
    <row r="120" spans="7:9">
      <c r="G120" s="66"/>
      <c r="H120" s="66"/>
      <c r="I120" s="66"/>
    </row>
    <row r="121" spans="7:9">
      <c r="G121" s="66"/>
      <c r="H121" s="66"/>
      <c r="I121" s="66"/>
    </row>
    <row r="122" spans="7:9">
      <c r="G122" s="66"/>
      <c r="H122" s="66"/>
      <c r="I122" s="66"/>
    </row>
    <row r="123" spans="7:9">
      <c r="G123" s="66"/>
      <c r="H123" s="66"/>
      <c r="I123" s="66"/>
    </row>
    <row r="124" spans="7:9">
      <c r="G124" s="66"/>
      <c r="H124" s="66"/>
      <c r="I124" s="66"/>
    </row>
    <row r="125" spans="7:9">
      <c r="G125" s="66"/>
      <c r="H125" s="66"/>
      <c r="I125" s="66"/>
    </row>
    <row r="126" spans="7:9">
      <c r="G126" s="66"/>
      <c r="H126" s="66"/>
      <c r="I126" s="66"/>
    </row>
    <row r="127" spans="7:9">
      <c r="G127" s="66"/>
      <c r="H127" s="66"/>
      <c r="I127" s="66"/>
    </row>
    <row r="128" spans="7:9">
      <c r="G128" s="66"/>
      <c r="H128" s="66"/>
      <c r="I128" s="66"/>
    </row>
    <row r="129" spans="7:9">
      <c r="G129" s="66"/>
      <c r="H129" s="66"/>
      <c r="I129" s="66"/>
    </row>
    <row r="130" spans="7:9">
      <c r="G130" s="66"/>
      <c r="H130" s="66"/>
      <c r="I130" s="66"/>
    </row>
    <row r="131" spans="7:9">
      <c r="G131" s="66"/>
      <c r="H131" s="66"/>
      <c r="I131" s="66"/>
    </row>
    <row r="132" spans="7:9">
      <c r="G132" s="66"/>
      <c r="H132" s="66"/>
      <c r="I132" s="66"/>
    </row>
    <row r="133" spans="7:9">
      <c r="G133" s="66"/>
      <c r="H133" s="66"/>
      <c r="I133" s="66"/>
    </row>
    <row r="134" spans="7:9">
      <c r="G134" s="66"/>
      <c r="H134" s="66"/>
      <c r="I134" s="66"/>
    </row>
    <row r="135" spans="7:9">
      <c r="G135" s="66"/>
      <c r="H135" s="66"/>
      <c r="I135" s="66"/>
    </row>
    <row r="136" spans="7:9">
      <c r="G136" s="66"/>
      <c r="H136" s="66"/>
      <c r="I136" s="66"/>
    </row>
    <row r="137" spans="7:9">
      <c r="G137" s="66"/>
      <c r="H137" s="66"/>
      <c r="I137" s="66"/>
    </row>
    <row r="138" spans="7:9">
      <c r="G138" s="66"/>
      <c r="H138" s="66"/>
      <c r="I138" s="66"/>
    </row>
    <row r="139" spans="7:9">
      <c r="G139" s="66"/>
      <c r="H139" s="66"/>
      <c r="I139" s="66"/>
    </row>
    <row r="140" spans="7:9">
      <c r="G140" s="66"/>
      <c r="H140" s="66"/>
      <c r="I140" s="66"/>
    </row>
    <row r="141" spans="7:9">
      <c r="G141" s="66"/>
      <c r="H141" s="66"/>
      <c r="I141" s="66"/>
    </row>
    <row r="142" spans="7:9">
      <c r="G142" s="66"/>
      <c r="H142" s="66"/>
      <c r="I142" s="66"/>
    </row>
    <row r="143" spans="7:9">
      <c r="G143" s="66"/>
      <c r="H143" s="66"/>
      <c r="I143" s="66"/>
    </row>
    <row r="144" spans="7:9">
      <c r="G144" s="66"/>
      <c r="H144" s="66"/>
      <c r="I144" s="66"/>
    </row>
    <row r="145" spans="7:9">
      <c r="G145" s="66"/>
      <c r="H145" s="66"/>
      <c r="I145" s="66"/>
    </row>
    <row r="146" spans="7:9">
      <c r="G146" s="66"/>
      <c r="H146" s="66"/>
      <c r="I146" s="66"/>
    </row>
    <row r="147" spans="7:9">
      <c r="G147" s="66"/>
      <c r="H147" s="66"/>
      <c r="I147" s="66"/>
    </row>
  </sheetData>
  <hyperlinks>
    <hyperlink ref="J18" r:id="rId1"/>
  </hyperlinks>
  <pageMargins left="0.7" right="0.7" top="0.75" bottom="0.75" header="0.3" footer="0.3"/>
  <pageSetup orientation="portrait" horizontalDpi="1200" verticalDpi="1200"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1"/>
  <dimension ref="A1:B48"/>
  <sheetViews>
    <sheetView topLeftCell="A34" workbookViewId="0">
      <selection activeCell="B47" sqref="B47:B48"/>
    </sheetView>
  </sheetViews>
  <sheetFormatPr defaultRowHeight="15"/>
  <cols>
    <col min="1" max="1" width="48.7109375" customWidth="1"/>
  </cols>
  <sheetData>
    <row r="1" spans="1:2">
      <c r="A1" s="7" t="s">
        <v>96</v>
      </c>
      <c r="B1" s="7" t="s">
        <v>106</v>
      </c>
    </row>
    <row r="2" spans="1:2">
      <c r="A2" s="1" t="s">
        <v>21</v>
      </c>
      <c r="B2" s="1"/>
    </row>
    <row r="3" spans="1:2">
      <c r="A3" s="1" t="s">
        <v>22</v>
      </c>
      <c r="B3" s="1"/>
    </row>
    <row r="4" spans="1:2">
      <c r="A4" s="1" t="s">
        <v>23</v>
      </c>
      <c r="B4" s="1"/>
    </row>
    <row r="5" spans="1:2">
      <c r="A5" s="1" t="s">
        <v>24</v>
      </c>
      <c r="B5" s="1"/>
    </row>
    <row r="6" spans="1:2">
      <c r="A6" s="1" t="s">
        <v>25</v>
      </c>
      <c r="B6" s="1">
        <v>1600</v>
      </c>
    </row>
    <row r="7" spans="1:2">
      <c r="A7" s="1" t="s">
        <v>26</v>
      </c>
      <c r="B7" s="1">
        <v>1600</v>
      </c>
    </row>
    <row r="8" spans="1:2">
      <c r="A8" s="1" t="s">
        <v>27</v>
      </c>
      <c r="B8" s="1"/>
    </row>
    <row r="9" spans="1:2">
      <c r="A9" s="1" t="s">
        <v>28</v>
      </c>
      <c r="B9" s="1" t="s">
        <v>70</v>
      </c>
    </row>
    <row r="10" spans="1:2">
      <c r="A10" s="1" t="s">
        <v>29</v>
      </c>
      <c r="B10" s="1"/>
    </row>
    <row r="11" spans="1:2">
      <c r="A11" s="1" t="s">
        <v>30</v>
      </c>
      <c r="B11" s="1" t="s">
        <v>71</v>
      </c>
    </row>
    <row r="12" spans="1:2">
      <c r="A12" s="1" t="s">
        <v>31</v>
      </c>
      <c r="B12" s="1" t="s">
        <v>71</v>
      </c>
    </row>
    <row r="13" spans="1:2">
      <c r="A13" s="1" t="s">
        <v>32</v>
      </c>
      <c r="B13" s="1"/>
    </row>
    <row r="14" spans="1:2">
      <c r="A14" s="1" t="s">
        <v>33</v>
      </c>
      <c r="B14" s="1" t="s">
        <v>72</v>
      </c>
    </row>
    <row r="15" spans="1:2">
      <c r="A15" s="1" t="s">
        <v>34</v>
      </c>
      <c r="B15" s="1"/>
    </row>
    <row r="16" spans="1:2">
      <c r="A16" s="1" t="s">
        <v>35</v>
      </c>
      <c r="B16" s="1" t="s">
        <v>73</v>
      </c>
    </row>
    <row r="17" spans="1:2">
      <c r="A17" s="1" t="s">
        <v>36</v>
      </c>
      <c r="B17" s="1" t="s">
        <v>73</v>
      </c>
    </row>
    <row r="18" spans="1:2">
      <c r="A18" s="1" t="s">
        <v>37</v>
      </c>
      <c r="B18" s="1"/>
    </row>
    <row r="19" spans="1:2">
      <c r="A19" s="1" t="s">
        <v>38</v>
      </c>
      <c r="B19" s="1" t="s">
        <v>65</v>
      </c>
    </row>
    <row r="20" spans="1:2">
      <c r="A20" s="1" t="s">
        <v>39</v>
      </c>
      <c r="B20" s="1" t="s">
        <v>64</v>
      </c>
    </row>
    <row r="21" spans="1:2">
      <c r="A21" s="1" t="s">
        <v>40</v>
      </c>
      <c r="B21" s="1"/>
    </row>
    <row r="22" spans="1:2">
      <c r="A22" s="1" t="s">
        <v>41</v>
      </c>
      <c r="B22" s="1" t="s">
        <v>74</v>
      </c>
    </row>
    <row r="23" spans="1:2">
      <c r="A23" s="1" t="s">
        <v>42</v>
      </c>
      <c r="B23" s="1" t="s">
        <v>74</v>
      </c>
    </row>
    <row r="24" spans="1:2">
      <c r="A24" s="1" t="s">
        <v>43</v>
      </c>
      <c r="B24" s="1"/>
    </row>
    <row r="25" spans="1:2">
      <c r="A25" s="1" t="s">
        <v>44</v>
      </c>
      <c r="B25" s="1" t="s">
        <v>75</v>
      </c>
    </row>
    <row r="26" spans="1:2">
      <c r="A26" s="1" t="s">
        <v>45</v>
      </c>
      <c r="B26" s="1" t="s">
        <v>64</v>
      </c>
    </row>
    <row r="27" spans="1:2">
      <c r="A27" s="1" t="s">
        <v>46</v>
      </c>
      <c r="B27" s="1"/>
    </row>
    <row r="28" spans="1:2">
      <c r="A28" s="1" t="s">
        <v>47</v>
      </c>
      <c r="B28" s="1" t="s">
        <v>76</v>
      </c>
    </row>
    <row r="29" spans="1:2">
      <c r="A29" s="1" t="s">
        <v>48</v>
      </c>
      <c r="B29" s="1" t="s">
        <v>76</v>
      </c>
    </row>
    <row r="30" spans="1:2">
      <c r="A30" s="1" t="s">
        <v>49</v>
      </c>
      <c r="B30" s="1"/>
    </row>
    <row r="31" spans="1:2">
      <c r="A31" s="1" t="s">
        <v>50</v>
      </c>
      <c r="B31" s="1" t="s">
        <v>66</v>
      </c>
    </row>
    <row r="32" spans="1:2">
      <c r="A32" s="1" t="s">
        <v>51</v>
      </c>
      <c r="B32" s="1" t="s">
        <v>64</v>
      </c>
    </row>
    <row r="33" spans="1:2">
      <c r="A33" s="1" t="s">
        <v>52</v>
      </c>
      <c r="B33" s="1"/>
    </row>
    <row r="34" spans="1:2">
      <c r="A34" s="1" t="s">
        <v>53</v>
      </c>
      <c r="B34" s="1" t="s">
        <v>77</v>
      </c>
    </row>
    <row r="35" spans="1:2">
      <c r="A35" s="1" t="s">
        <v>54</v>
      </c>
      <c r="B35" s="1" t="s">
        <v>78</v>
      </c>
    </row>
    <row r="36" spans="1:2">
      <c r="A36" s="1" t="s">
        <v>55</v>
      </c>
      <c r="B36" s="1"/>
    </row>
    <row r="37" spans="1:2">
      <c r="A37" s="1" t="s">
        <v>56</v>
      </c>
      <c r="B37" s="1" t="s">
        <v>79</v>
      </c>
    </row>
    <row r="38" spans="1:2">
      <c r="A38" s="1" t="s">
        <v>57</v>
      </c>
      <c r="B38" s="1" t="s">
        <v>64</v>
      </c>
    </row>
    <row r="39" spans="1:2">
      <c r="A39" s="1" t="s">
        <v>80</v>
      </c>
      <c r="B39" s="1"/>
    </row>
    <row r="40" spans="1:2">
      <c r="A40" s="1" t="s">
        <v>81</v>
      </c>
      <c r="B40" s="1" t="s">
        <v>82</v>
      </c>
    </row>
    <row r="41" spans="1:2">
      <c r="A41" s="1" t="s">
        <v>83</v>
      </c>
      <c r="B41" s="1" t="s">
        <v>9</v>
      </c>
    </row>
    <row r="42" spans="1:2">
      <c r="A42" s="1" t="s">
        <v>84</v>
      </c>
      <c r="B42" s="1"/>
    </row>
    <row r="43" spans="1:2">
      <c r="A43" s="1" t="s">
        <v>85</v>
      </c>
      <c r="B43" s="1" t="s">
        <v>67</v>
      </c>
    </row>
    <row r="47" spans="1:2">
      <c r="B47" s="1" t="s">
        <v>662</v>
      </c>
    </row>
    <row r="48" spans="1:2">
      <c r="B48" s="21" t="s">
        <v>661</v>
      </c>
    </row>
  </sheetData>
  <hyperlinks>
    <hyperlink ref="B48" r:id="rId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3"/>
  <dimension ref="A1:D27"/>
  <sheetViews>
    <sheetView topLeftCell="A12" workbookViewId="0">
      <selection activeCell="D26" sqref="D26:D27"/>
    </sheetView>
  </sheetViews>
  <sheetFormatPr defaultRowHeight="15"/>
  <cols>
    <col min="1" max="1" width="48.7109375" customWidth="1"/>
    <col min="2" max="2" width="40.5703125" customWidth="1"/>
  </cols>
  <sheetData>
    <row r="1" spans="1:2">
      <c r="A1" s="7" t="s">
        <v>96</v>
      </c>
      <c r="B1" s="7" t="s">
        <v>106</v>
      </c>
    </row>
    <row r="2" spans="1:2">
      <c r="A2" s="1" t="s">
        <v>162</v>
      </c>
      <c r="B2" s="1"/>
    </row>
    <row r="3" spans="1:2">
      <c r="A3" s="1" t="s">
        <v>163</v>
      </c>
      <c r="B3" s="1"/>
    </row>
    <row r="4" spans="1:2">
      <c r="A4" s="1" t="s">
        <v>164</v>
      </c>
      <c r="B4" s="1" t="s">
        <v>165</v>
      </c>
    </row>
    <row r="5" spans="1:2">
      <c r="A5" s="1" t="s">
        <v>166</v>
      </c>
      <c r="B5" s="1"/>
    </row>
    <row r="6" spans="1:2">
      <c r="A6" s="1" t="s">
        <v>167</v>
      </c>
      <c r="B6" s="1">
        <v>37.418107282429325</v>
      </c>
    </row>
    <row r="7" spans="1:2">
      <c r="A7" s="1" t="s">
        <v>168</v>
      </c>
      <c r="B7" s="1">
        <v>-122.09062169320978</v>
      </c>
    </row>
    <row r="8" spans="1:2">
      <c r="A8" s="1" t="s">
        <v>169</v>
      </c>
      <c r="B8" s="1">
        <v>37.425832717570678</v>
      </c>
    </row>
    <row r="9" spans="1:2">
      <c r="A9" s="1" t="s">
        <v>170</v>
      </c>
      <c r="B9" s="1">
        <v>-122.07765230679021</v>
      </c>
    </row>
    <row r="10" spans="1:2">
      <c r="A10" s="1" t="s">
        <v>171</v>
      </c>
      <c r="B10" s="1" t="s">
        <v>172</v>
      </c>
    </row>
    <row r="11" spans="1:2">
      <c r="A11" s="1" t="s">
        <v>173</v>
      </c>
      <c r="B11" s="1"/>
    </row>
    <row r="12" spans="1:2">
      <c r="A12" s="1" t="s">
        <v>174</v>
      </c>
      <c r="B12" s="1" t="s">
        <v>175</v>
      </c>
    </row>
    <row r="13" spans="1:2">
      <c r="A13" s="1" t="s">
        <v>176</v>
      </c>
      <c r="B13" s="1"/>
    </row>
    <row r="14" spans="1:2">
      <c r="A14" s="1" t="s">
        <v>177</v>
      </c>
      <c r="B14" s="1">
        <v>37.421970000000002</v>
      </c>
    </row>
    <row r="15" spans="1:2">
      <c r="A15" s="1" t="s">
        <v>178</v>
      </c>
      <c r="B15" s="1">
        <v>-122.084137</v>
      </c>
    </row>
    <row r="16" spans="1:2">
      <c r="A16" s="1" t="s">
        <v>179</v>
      </c>
      <c r="B16" s="1"/>
    </row>
    <row r="17" spans="1:4">
      <c r="A17" s="1" t="s">
        <v>180</v>
      </c>
      <c r="B17" s="1" t="s">
        <v>181</v>
      </c>
    </row>
    <row r="18" spans="1:4">
      <c r="A18" s="1" t="s">
        <v>182</v>
      </c>
      <c r="B18" s="1" t="s">
        <v>78</v>
      </c>
    </row>
    <row r="19" spans="1:4">
      <c r="A19" s="1" t="s">
        <v>183</v>
      </c>
      <c r="B19" s="1" t="s">
        <v>184</v>
      </c>
    </row>
    <row r="20" spans="1:4">
      <c r="A20" s="1" t="s">
        <v>185</v>
      </c>
      <c r="B20" s="1" t="s">
        <v>82</v>
      </c>
    </row>
    <row r="21" spans="1:4">
      <c r="A21" s="1" t="s">
        <v>186</v>
      </c>
      <c r="B21" s="1" t="s">
        <v>172</v>
      </c>
    </row>
    <row r="22" spans="1:4">
      <c r="A22" s="1" t="s">
        <v>187</v>
      </c>
      <c r="B22" s="1" t="s">
        <v>73</v>
      </c>
    </row>
    <row r="23" spans="1:4">
      <c r="A23" s="1" t="s">
        <v>188</v>
      </c>
      <c r="B23" s="1" t="s">
        <v>189</v>
      </c>
    </row>
    <row r="24" spans="1:4">
      <c r="A24" s="1" t="s">
        <v>190</v>
      </c>
      <c r="B24" s="1" t="s">
        <v>191</v>
      </c>
    </row>
    <row r="25" spans="1:4">
      <c r="A25" s="1" t="s">
        <v>192</v>
      </c>
      <c r="B25" s="1" t="s">
        <v>16</v>
      </c>
    </row>
    <row r="26" spans="1:4">
      <c r="D26" s="1" t="s">
        <v>662</v>
      </c>
    </row>
    <row r="27" spans="1:4">
      <c r="D27" s="21" t="s">
        <v>661</v>
      </c>
    </row>
  </sheetData>
  <hyperlinks>
    <hyperlink ref="D27" r:id="rId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14"/>
  <dimension ref="A1:F35"/>
  <sheetViews>
    <sheetView topLeftCell="A18" workbookViewId="0">
      <selection activeCell="F34" sqref="F34:F35"/>
    </sheetView>
  </sheetViews>
  <sheetFormatPr defaultRowHeight="15"/>
  <cols>
    <col min="1" max="1" width="34.7109375" customWidth="1"/>
    <col min="2" max="2" width="24.85546875" customWidth="1"/>
  </cols>
  <sheetData>
    <row r="1" spans="1:2">
      <c r="A1" s="7" t="s">
        <v>96</v>
      </c>
      <c r="B1" s="7" t="s">
        <v>106</v>
      </c>
    </row>
    <row r="2" spans="1:2">
      <c r="A2" s="1" t="s">
        <v>201</v>
      </c>
      <c r="B2" s="1"/>
    </row>
    <row r="3" spans="1:2">
      <c r="A3" s="1" t="s">
        <v>202</v>
      </c>
      <c r="B3" s="1"/>
    </row>
    <row r="4" spans="1:2">
      <c r="A4" s="1" t="s">
        <v>203</v>
      </c>
      <c r="B4" s="1">
        <v>87</v>
      </c>
    </row>
    <row r="5" spans="1:2">
      <c r="A5" s="1" t="s">
        <v>204</v>
      </c>
      <c r="B5" s="1">
        <v>37.423231999999999</v>
      </c>
    </row>
    <row r="6" spans="1:2">
      <c r="A6" s="1" t="s">
        <v>205</v>
      </c>
      <c r="B6" s="1">
        <v>-122.08556900000001</v>
      </c>
    </row>
    <row r="7" spans="1:2">
      <c r="A7" s="1" t="s">
        <v>206</v>
      </c>
      <c r="B7" s="1">
        <v>37.423108999999997</v>
      </c>
    </row>
    <row r="8" spans="1:2">
      <c r="A8" s="1" t="s">
        <v>207</v>
      </c>
      <c r="B8" s="1">
        <v>-122.085598</v>
      </c>
    </row>
    <row r="9" spans="1:2">
      <c r="A9" s="1" t="s">
        <v>208</v>
      </c>
      <c r="B9" s="1">
        <v>500</v>
      </c>
    </row>
    <row r="10" spans="1:2">
      <c r="A10" s="1" t="s">
        <v>209</v>
      </c>
      <c r="B10" s="1"/>
    </row>
    <row r="11" spans="1:2">
      <c r="A11" s="1" t="s">
        <v>210</v>
      </c>
      <c r="B11" s="1" t="s">
        <v>211</v>
      </c>
    </row>
    <row r="12" spans="1:2">
      <c r="A12" s="1" t="s">
        <v>212</v>
      </c>
      <c r="B12" s="1" t="s">
        <v>213</v>
      </c>
    </row>
    <row r="13" spans="1:2">
      <c r="A13" s="1" t="s">
        <v>214</v>
      </c>
      <c r="B13" s="1"/>
    </row>
    <row r="14" spans="1:2">
      <c r="A14" s="1" t="s">
        <v>215</v>
      </c>
      <c r="B14" s="1" t="s">
        <v>82</v>
      </c>
    </row>
    <row r="15" spans="1:2">
      <c r="A15" s="1" t="s">
        <v>216</v>
      </c>
      <c r="B15" s="1">
        <v>1600</v>
      </c>
    </row>
    <row r="16" spans="1:2">
      <c r="A16" s="1" t="s">
        <v>217</v>
      </c>
      <c r="B16" s="1" t="s">
        <v>218</v>
      </c>
    </row>
    <row r="17" spans="1:2">
      <c r="A17" s="1" t="s">
        <v>219</v>
      </c>
      <c r="B17" s="1"/>
    </row>
    <row r="18" spans="1:2">
      <c r="A18" s="1" t="s">
        <v>220</v>
      </c>
      <c r="B18" s="1"/>
    </row>
    <row r="19" spans="1:2">
      <c r="A19" s="1" t="s">
        <v>221</v>
      </c>
      <c r="B19" s="1"/>
    </row>
    <row r="20" spans="1:2">
      <c r="A20" s="1" t="s">
        <v>222</v>
      </c>
      <c r="B20" s="1" t="s">
        <v>189</v>
      </c>
    </row>
    <row r="21" spans="1:2">
      <c r="A21" s="1" t="s">
        <v>223</v>
      </c>
      <c r="B21" s="1"/>
    </row>
    <row r="22" spans="1:2">
      <c r="A22" s="1" t="s">
        <v>224</v>
      </c>
      <c r="B22" s="1" t="s">
        <v>73</v>
      </c>
    </row>
    <row r="23" spans="1:2">
      <c r="A23" s="1" t="s">
        <v>225</v>
      </c>
      <c r="B23" s="1" t="s">
        <v>226</v>
      </c>
    </row>
    <row r="24" spans="1:2">
      <c r="A24" s="1" t="s">
        <v>227</v>
      </c>
      <c r="B24" s="1" t="s">
        <v>77</v>
      </c>
    </row>
    <row r="25" spans="1:2">
      <c r="A25" s="1" t="s">
        <v>228</v>
      </c>
      <c r="B25" s="1" t="s">
        <v>82</v>
      </c>
    </row>
    <row r="26" spans="1:2">
      <c r="A26" s="1" t="s">
        <v>229</v>
      </c>
      <c r="B26" s="1" t="s">
        <v>9</v>
      </c>
    </row>
    <row r="27" spans="1:2">
      <c r="A27" s="1" t="s">
        <v>230</v>
      </c>
      <c r="B27" s="1" t="s">
        <v>78</v>
      </c>
    </row>
    <row r="28" spans="1:2">
      <c r="A28" s="1" t="s">
        <v>231</v>
      </c>
      <c r="B28" s="1"/>
    </row>
    <row r="29" spans="1:2">
      <c r="A29" s="1" t="s">
        <v>232</v>
      </c>
      <c r="B29" s="1">
        <v>94043</v>
      </c>
    </row>
    <row r="30" spans="1:2">
      <c r="A30" s="1" t="s">
        <v>233</v>
      </c>
      <c r="B30" s="1" t="s">
        <v>234</v>
      </c>
    </row>
    <row r="31" spans="1:2">
      <c r="A31" s="1" t="s">
        <v>235</v>
      </c>
      <c r="B31" s="1">
        <v>12797130</v>
      </c>
    </row>
    <row r="32" spans="1:2">
      <c r="A32" s="1" t="s">
        <v>236</v>
      </c>
      <c r="B32" s="1">
        <v>11</v>
      </c>
    </row>
    <row r="34" spans="6:6">
      <c r="F34" s="1" t="s">
        <v>662</v>
      </c>
    </row>
    <row r="35" spans="6:6">
      <c r="F35" s="21" t="s">
        <v>661</v>
      </c>
    </row>
  </sheetData>
  <hyperlinks>
    <hyperlink ref="F35" r:id="rId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8"/>
  <dimension ref="A1:B28"/>
  <sheetViews>
    <sheetView workbookViewId="0">
      <selection activeCell="H25" sqref="H25"/>
    </sheetView>
  </sheetViews>
  <sheetFormatPr defaultRowHeight="11.25"/>
  <cols>
    <col min="1" max="1" width="56.7109375" style="1" customWidth="1"/>
    <col min="2" max="2" width="22.28515625" style="1" customWidth="1"/>
    <col min="3" max="16384" width="9.140625" style="1"/>
  </cols>
  <sheetData>
    <row r="1" spans="1:2">
      <c r="A1" s="7"/>
      <c r="B1" s="7"/>
    </row>
    <row r="27" spans="2:2">
      <c r="B27" s="1" t="s">
        <v>662</v>
      </c>
    </row>
    <row r="28" spans="2:2" ht="15">
      <c r="B28" s="21" t="s">
        <v>661</v>
      </c>
    </row>
  </sheetData>
  <hyperlinks>
    <hyperlink ref="B28" r:id="rId1"/>
  </hyperlinks>
  <pageMargins left="0.7" right="0.7" top="0.75" bottom="0.75" header="0.3" footer="0.3"/>
  <pageSetup orientation="portrait" horizontalDpi="1200" verticalDpi="1200"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3"/>
  <dimension ref="A1:K879"/>
  <sheetViews>
    <sheetView workbookViewId="0">
      <selection activeCell="O12" sqref="O12"/>
    </sheetView>
  </sheetViews>
  <sheetFormatPr defaultRowHeight="11.25"/>
  <cols>
    <col min="1" max="1" width="6" style="1" customWidth="1"/>
    <col min="2" max="2" width="14.42578125" style="1" customWidth="1"/>
    <col min="3" max="3" width="4.7109375" style="1" customWidth="1"/>
    <col min="4" max="4" width="10.28515625" style="1" customWidth="1"/>
    <col min="5" max="5" width="15.140625" style="1" customWidth="1"/>
    <col min="6" max="6" width="8.5703125" style="1" customWidth="1"/>
    <col min="7" max="7" width="6.85546875" style="1" customWidth="1"/>
    <col min="8" max="8" width="8.140625" style="1" customWidth="1"/>
    <col min="9" max="9" width="7.140625" style="1" customWidth="1"/>
    <col min="10" max="10" width="9.42578125" style="1" customWidth="1"/>
    <col min="11" max="11" width="15" style="1" customWidth="1"/>
    <col min="12" max="16384" width="9.140625" style="1"/>
  </cols>
  <sheetData>
    <row r="1" spans="1:11" s="14" customFormat="1" ht="34.5" customHeight="1">
      <c r="A1" s="12" t="s">
        <v>839</v>
      </c>
      <c r="B1" s="12" t="s">
        <v>840</v>
      </c>
      <c r="C1" s="12" t="s">
        <v>841</v>
      </c>
      <c r="D1" s="12" t="s">
        <v>842</v>
      </c>
      <c r="E1" s="12" t="s">
        <v>843</v>
      </c>
      <c r="F1" s="12" t="s">
        <v>844</v>
      </c>
      <c r="G1" s="12" t="s">
        <v>845</v>
      </c>
      <c r="H1" s="12" t="s">
        <v>846</v>
      </c>
      <c r="I1" s="12" t="s">
        <v>847</v>
      </c>
      <c r="J1" s="12" t="s">
        <v>848</v>
      </c>
      <c r="K1" s="12" t="s">
        <v>849</v>
      </c>
    </row>
    <row r="2" spans="1:11">
      <c r="A2" s="1">
        <v>1950</v>
      </c>
      <c r="B2" s="1" t="s">
        <v>850</v>
      </c>
      <c r="C2" s="1">
        <v>1</v>
      </c>
      <c r="D2" s="1" t="s">
        <v>851</v>
      </c>
      <c r="E2" s="1" t="s">
        <v>852</v>
      </c>
      <c r="F2" s="1">
        <v>52.078600000000002</v>
      </c>
      <c r="G2" s="1">
        <v>-1.01694</v>
      </c>
      <c r="H2" s="1" t="s">
        <v>853</v>
      </c>
      <c r="I2" s="1" t="s">
        <v>854</v>
      </c>
      <c r="J2" s="81">
        <v>18396</v>
      </c>
      <c r="K2" s="81" t="s">
        <v>855</v>
      </c>
    </row>
    <row r="3" spans="1:11">
      <c r="A3" s="1">
        <v>1950</v>
      </c>
      <c r="B3" s="1" t="s">
        <v>856</v>
      </c>
      <c r="C3" s="1">
        <v>2</v>
      </c>
      <c r="D3" s="1" t="s">
        <v>857</v>
      </c>
      <c r="E3" s="1" t="s">
        <v>858</v>
      </c>
      <c r="F3" s="1">
        <v>43.734699999999997</v>
      </c>
      <c r="G3" s="1">
        <v>7.42056</v>
      </c>
      <c r="H3" s="1" t="s">
        <v>859</v>
      </c>
      <c r="I3" s="1" t="s">
        <v>860</v>
      </c>
      <c r="J3" s="81">
        <v>18404</v>
      </c>
      <c r="K3" s="81" t="s">
        <v>861</v>
      </c>
    </row>
    <row r="4" spans="1:11">
      <c r="A4" s="1">
        <v>1950</v>
      </c>
      <c r="B4" s="1" t="s">
        <v>862</v>
      </c>
      <c r="C4" s="1">
        <v>3</v>
      </c>
      <c r="D4" s="1" t="s">
        <v>863</v>
      </c>
      <c r="E4" s="1" t="s">
        <v>864</v>
      </c>
      <c r="F4" s="1">
        <v>39.795000000000002</v>
      </c>
      <c r="G4" s="1">
        <v>-86.234700000000004</v>
      </c>
      <c r="H4" s="1" t="s">
        <v>865</v>
      </c>
      <c r="I4" s="1" t="s">
        <v>82</v>
      </c>
      <c r="J4" s="81">
        <v>18413</v>
      </c>
      <c r="K4" s="81" t="s">
        <v>866</v>
      </c>
    </row>
    <row r="5" spans="1:11">
      <c r="A5" s="1">
        <v>1950</v>
      </c>
      <c r="B5" s="1" t="s">
        <v>867</v>
      </c>
      <c r="C5" s="1">
        <v>4</v>
      </c>
      <c r="D5" s="1" t="s">
        <v>868</v>
      </c>
      <c r="E5" s="1" t="s">
        <v>869</v>
      </c>
      <c r="F5" s="1">
        <v>46.9589</v>
      </c>
      <c r="G5" s="1">
        <v>7.4019399999999997</v>
      </c>
      <c r="H5" s="1" t="s">
        <v>870</v>
      </c>
      <c r="I5" s="1" t="s">
        <v>468</v>
      </c>
      <c r="J5" s="81">
        <v>18418</v>
      </c>
      <c r="K5" s="81" t="s">
        <v>871</v>
      </c>
    </row>
    <row r="6" spans="1:11">
      <c r="A6" s="1">
        <v>1950</v>
      </c>
      <c r="B6" s="1" t="s">
        <v>872</v>
      </c>
      <c r="C6" s="1">
        <v>5</v>
      </c>
      <c r="D6" s="1" t="s">
        <v>873</v>
      </c>
      <c r="E6" s="1" t="s">
        <v>874</v>
      </c>
      <c r="F6" s="1">
        <v>50.437199999999997</v>
      </c>
      <c r="G6" s="1">
        <v>5.9713900000000004</v>
      </c>
      <c r="H6" s="1" t="s">
        <v>875</v>
      </c>
      <c r="I6" s="1" t="s">
        <v>244</v>
      </c>
      <c r="J6" s="81">
        <v>18432</v>
      </c>
      <c r="K6" s="81" t="s">
        <v>876</v>
      </c>
    </row>
    <row r="7" spans="1:11">
      <c r="A7" s="1">
        <v>1950</v>
      </c>
      <c r="B7" s="1" t="s">
        <v>877</v>
      </c>
      <c r="C7" s="1">
        <v>6</v>
      </c>
      <c r="D7" s="1" t="s">
        <v>878</v>
      </c>
      <c r="E7" s="1" t="s">
        <v>879</v>
      </c>
      <c r="F7" s="1">
        <v>49.254199999999997</v>
      </c>
      <c r="G7" s="1">
        <v>3.9308299999999998</v>
      </c>
      <c r="H7" s="1" t="s">
        <v>880</v>
      </c>
      <c r="I7" s="1" t="s">
        <v>755</v>
      </c>
      <c r="J7" s="81">
        <v>18446</v>
      </c>
      <c r="K7" s="81" t="s">
        <v>881</v>
      </c>
    </row>
    <row r="8" spans="1:11">
      <c r="A8" s="1">
        <v>1950</v>
      </c>
      <c r="B8" s="1" t="s">
        <v>882</v>
      </c>
      <c r="C8" s="1">
        <v>7</v>
      </c>
      <c r="D8" s="1" t="s">
        <v>883</v>
      </c>
      <c r="E8" s="1" t="s">
        <v>884</v>
      </c>
      <c r="F8" s="1">
        <v>45.615600000000001</v>
      </c>
      <c r="G8" s="1">
        <v>9.28111</v>
      </c>
      <c r="H8" s="1" t="s">
        <v>885</v>
      </c>
      <c r="I8" s="1" t="s">
        <v>886</v>
      </c>
      <c r="J8" s="81">
        <v>18509</v>
      </c>
      <c r="K8" s="81" t="s">
        <v>887</v>
      </c>
    </row>
    <row r="9" spans="1:11">
      <c r="A9" s="1">
        <v>1951</v>
      </c>
      <c r="B9" s="1" t="s">
        <v>867</v>
      </c>
      <c r="C9" s="1">
        <v>1</v>
      </c>
      <c r="D9" s="1" t="s">
        <v>868</v>
      </c>
      <c r="E9" s="1" t="s">
        <v>869</v>
      </c>
      <c r="F9" s="1">
        <v>46.9589</v>
      </c>
      <c r="G9" s="1">
        <v>7.4019399999999997</v>
      </c>
      <c r="H9" s="1" t="s">
        <v>870</v>
      </c>
      <c r="I9" s="1" t="s">
        <v>468</v>
      </c>
      <c r="J9" s="81">
        <v>18775</v>
      </c>
      <c r="K9" s="81" t="s">
        <v>888</v>
      </c>
    </row>
    <row r="10" spans="1:11">
      <c r="A10" s="1">
        <v>1951</v>
      </c>
      <c r="B10" s="1" t="s">
        <v>862</v>
      </c>
      <c r="C10" s="1">
        <v>2</v>
      </c>
      <c r="D10" s="1" t="s">
        <v>863</v>
      </c>
      <c r="E10" s="1" t="s">
        <v>864</v>
      </c>
      <c r="F10" s="1">
        <v>39.795000000000002</v>
      </c>
      <c r="G10" s="1">
        <v>-86.234700000000004</v>
      </c>
      <c r="H10" s="1" t="s">
        <v>865</v>
      </c>
      <c r="I10" s="1" t="s">
        <v>82</v>
      </c>
      <c r="J10" s="81">
        <v>18778</v>
      </c>
      <c r="K10" s="81" t="s">
        <v>889</v>
      </c>
    </row>
    <row r="11" spans="1:11">
      <c r="A11" s="1">
        <v>1951</v>
      </c>
      <c r="B11" s="1" t="s">
        <v>872</v>
      </c>
      <c r="C11" s="1">
        <v>3</v>
      </c>
      <c r="D11" s="1" t="s">
        <v>873</v>
      </c>
      <c r="E11" s="1" t="s">
        <v>874</v>
      </c>
      <c r="F11" s="1">
        <v>50.437199999999997</v>
      </c>
      <c r="G11" s="1">
        <v>5.9713900000000004</v>
      </c>
      <c r="H11" s="1" t="s">
        <v>875</v>
      </c>
      <c r="I11" s="1" t="s">
        <v>244</v>
      </c>
      <c r="J11" s="81">
        <v>18796</v>
      </c>
      <c r="K11" s="81" t="s">
        <v>890</v>
      </c>
    </row>
    <row r="12" spans="1:11">
      <c r="A12" s="1">
        <v>1951</v>
      </c>
      <c r="B12" s="1" t="s">
        <v>877</v>
      </c>
      <c r="C12" s="1">
        <v>4</v>
      </c>
      <c r="D12" s="1" t="s">
        <v>878</v>
      </c>
      <c r="E12" s="1" t="s">
        <v>879</v>
      </c>
      <c r="F12" s="1">
        <v>49.254199999999997</v>
      </c>
      <c r="G12" s="1">
        <v>3.9308299999999998</v>
      </c>
      <c r="H12" s="1" t="s">
        <v>880</v>
      </c>
      <c r="I12" s="1" t="s">
        <v>755</v>
      </c>
      <c r="J12" s="81">
        <v>18810</v>
      </c>
      <c r="K12" s="81" t="s">
        <v>891</v>
      </c>
    </row>
    <row r="13" spans="1:11">
      <c r="A13" s="1">
        <v>1951</v>
      </c>
      <c r="B13" s="1" t="s">
        <v>850</v>
      </c>
      <c r="C13" s="1">
        <v>5</v>
      </c>
      <c r="D13" s="1" t="s">
        <v>851</v>
      </c>
      <c r="E13" s="1" t="s">
        <v>852</v>
      </c>
      <c r="F13" s="1">
        <v>52.078600000000002</v>
      </c>
      <c r="G13" s="1">
        <v>-1.01694</v>
      </c>
      <c r="H13" s="1" t="s">
        <v>853</v>
      </c>
      <c r="I13" s="1" t="s">
        <v>854</v>
      </c>
      <c r="J13" s="81">
        <v>18823</v>
      </c>
      <c r="K13" s="81" t="s">
        <v>892</v>
      </c>
    </row>
    <row r="14" spans="1:11">
      <c r="A14" s="1">
        <v>1951</v>
      </c>
      <c r="B14" s="1" t="s">
        <v>893</v>
      </c>
      <c r="C14" s="1">
        <v>6</v>
      </c>
      <c r="D14" s="1" t="s">
        <v>894</v>
      </c>
      <c r="E14" s="1" t="s">
        <v>895</v>
      </c>
      <c r="F14" s="1">
        <v>50.335599999999999</v>
      </c>
      <c r="G14" s="1">
        <v>6.9474999999999998</v>
      </c>
      <c r="H14" s="1" t="s">
        <v>896</v>
      </c>
      <c r="I14" s="1" t="s">
        <v>761</v>
      </c>
      <c r="J14" s="81">
        <v>18838</v>
      </c>
      <c r="K14" s="81" t="s">
        <v>897</v>
      </c>
    </row>
    <row r="15" spans="1:11">
      <c r="A15" s="1">
        <v>1951</v>
      </c>
      <c r="B15" s="1" t="s">
        <v>882</v>
      </c>
      <c r="C15" s="1">
        <v>7</v>
      </c>
      <c r="D15" s="1" t="s">
        <v>883</v>
      </c>
      <c r="E15" s="1" t="s">
        <v>884</v>
      </c>
      <c r="F15" s="1">
        <v>45.615600000000001</v>
      </c>
      <c r="G15" s="1">
        <v>9.28111</v>
      </c>
      <c r="H15" s="1" t="s">
        <v>885</v>
      </c>
      <c r="I15" s="1" t="s">
        <v>886</v>
      </c>
      <c r="J15" s="81">
        <v>18887</v>
      </c>
      <c r="K15" s="81" t="s">
        <v>898</v>
      </c>
    </row>
    <row r="16" spans="1:11">
      <c r="A16" s="1">
        <v>1951</v>
      </c>
      <c r="B16" s="1" t="s">
        <v>899</v>
      </c>
      <c r="C16" s="1">
        <v>8</v>
      </c>
      <c r="D16" s="1" t="s">
        <v>900</v>
      </c>
      <c r="E16" s="1" t="s">
        <v>901</v>
      </c>
      <c r="F16" s="1">
        <v>41.390300000000003</v>
      </c>
      <c r="G16" s="1">
        <v>2.1166700000000001</v>
      </c>
      <c r="H16" s="1" t="s">
        <v>902</v>
      </c>
      <c r="I16" s="1" t="s">
        <v>903</v>
      </c>
      <c r="J16" s="81">
        <v>18929</v>
      </c>
      <c r="K16" s="81" t="s">
        <v>904</v>
      </c>
    </row>
    <row r="17" spans="1:11">
      <c r="A17" s="1">
        <v>1952</v>
      </c>
      <c r="B17" s="1" t="s">
        <v>867</v>
      </c>
      <c r="C17" s="1">
        <v>1</v>
      </c>
      <c r="D17" s="1" t="s">
        <v>868</v>
      </c>
      <c r="E17" s="1" t="s">
        <v>869</v>
      </c>
      <c r="F17" s="1">
        <v>46.9589</v>
      </c>
      <c r="G17" s="1">
        <v>7.4019399999999997</v>
      </c>
      <c r="H17" s="1" t="s">
        <v>870</v>
      </c>
      <c r="I17" s="1" t="s">
        <v>468</v>
      </c>
      <c r="J17" s="81">
        <v>19132</v>
      </c>
      <c r="K17" s="81" t="s">
        <v>905</v>
      </c>
    </row>
    <row r="18" spans="1:11">
      <c r="A18" s="1">
        <v>1952</v>
      </c>
      <c r="B18" s="1" t="s">
        <v>862</v>
      </c>
      <c r="C18" s="1">
        <v>2</v>
      </c>
      <c r="D18" s="1" t="s">
        <v>863</v>
      </c>
      <c r="E18" s="1" t="s">
        <v>864</v>
      </c>
      <c r="F18" s="1">
        <v>39.795000000000002</v>
      </c>
      <c r="G18" s="1">
        <v>-86.234700000000004</v>
      </c>
      <c r="H18" s="1" t="s">
        <v>865</v>
      </c>
      <c r="I18" s="1" t="s">
        <v>82</v>
      </c>
      <c r="J18" s="81">
        <v>19144</v>
      </c>
      <c r="K18" s="81" t="s">
        <v>906</v>
      </c>
    </row>
    <row r="19" spans="1:11">
      <c r="A19" s="1">
        <v>1952</v>
      </c>
      <c r="B19" s="1" t="s">
        <v>872</v>
      </c>
      <c r="C19" s="1">
        <v>3</v>
      </c>
      <c r="D19" s="1" t="s">
        <v>873</v>
      </c>
      <c r="E19" s="1" t="s">
        <v>874</v>
      </c>
      <c r="F19" s="1">
        <v>50.437199999999997</v>
      </c>
      <c r="G19" s="1">
        <v>5.9713900000000004</v>
      </c>
      <c r="H19" s="1" t="s">
        <v>875</v>
      </c>
      <c r="I19" s="1" t="s">
        <v>244</v>
      </c>
      <c r="J19" s="81">
        <v>19167</v>
      </c>
      <c r="K19" s="81" t="s">
        <v>907</v>
      </c>
    </row>
    <row r="20" spans="1:11">
      <c r="A20" s="1">
        <v>1952</v>
      </c>
      <c r="B20" s="1" t="s">
        <v>877</v>
      </c>
      <c r="C20" s="1">
        <v>4</v>
      </c>
      <c r="D20" s="1" t="s">
        <v>908</v>
      </c>
      <c r="E20" s="1" t="s">
        <v>909</v>
      </c>
      <c r="F20" s="1">
        <v>49.330599999999997</v>
      </c>
      <c r="G20" s="1">
        <v>1.00458</v>
      </c>
      <c r="H20" s="1" t="s">
        <v>910</v>
      </c>
      <c r="I20" s="1" t="s">
        <v>755</v>
      </c>
      <c r="J20" s="81">
        <v>19181</v>
      </c>
      <c r="K20" s="81" t="s">
        <v>911</v>
      </c>
    </row>
    <row r="21" spans="1:11">
      <c r="A21" s="1">
        <v>1952</v>
      </c>
      <c r="B21" s="1" t="s">
        <v>850</v>
      </c>
      <c r="C21" s="1">
        <v>5</v>
      </c>
      <c r="D21" s="1" t="s">
        <v>851</v>
      </c>
      <c r="E21" s="1" t="s">
        <v>852</v>
      </c>
      <c r="F21" s="1">
        <v>52.078600000000002</v>
      </c>
      <c r="G21" s="1">
        <v>-1.01694</v>
      </c>
      <c r="H21" s="1" t="s">
        <v>853</v>
      </c>
      <c r="I21" s="1" t="s">
        <v>854</v>
      </c>
      <c r="J21" s="81">
        <v>19194</v>
      </c>
      <c r="K21" s="81" t="s">
        <v>912</v>
      </c>
    </row>
    <row r="22" spans="1:11">
      <c r="A22" s="1">
        <v>1952</v>
      </c>
      <c r="B22" s="1" t="s">
        <v>893</v>
      </c>
      <c r="C22" s="1">
        <v>6</v>
      </c>
      <c r="D22" s="1" t="s">
        <v>894</v>
      </c>
      <c r="E22" s="1" t="s">
        <v>895</v>
      </c>
      <c r="F22" s="1">
        <v>50.335599999999999</v>
      </c>
      <c r="G22" s="1">
        <v>6.9474999999999998</v>
      </c>
      <c r="H22" s="1" t="s">
        <v>896</v>
      </c>
      <c r="I22" s="1" t="s">
        <v>761</v>
      </c>
      <c r="J22" s="81">
        <v>19209</v>
      </c>
      <c r="K22" s="81" t="s">
        <v>913</v>
      </c>
    </row>
    <row r="23" spans="1:11">
      <c r="A23" s="1">
        <v>1952</v>
      </c>
      <c r="B23" s="1" t="s">
        <v>914</v>
      </c>
      <c r="C23" s="1">
        <v>7</v>
      </c>
      <c r="D23" s="1" t="s">
        <v>915</v>
      </c>
      <c r="E23" s="1" t="s">
        <v>916</v>
      </c>
      <c r="F23" s="1">
        <v>52.388800000000003</v>
      </c>
      <c r="G23" s="1">
        <v>4.5409199999999998</v>
      </c>
      <c r="H23" s="1" t="s">
        <v>917</v>
      </c>
      <c r="I23" s="1" t="s">
        <v>918</v>
      </c>
      <c r="J23" s="81">
        <v>19223</v>
      </c>
      <c r="K23" s="81" t="s">
        <v>919</v>
      </c>
    </row>
    <row r="24" spans="1:11">
      <c r="A24" s="1">
        <v>1952</v>
      </c>
      <c r="B24" s="1" t="s">
        <v>882</v>
      </c>
      <c r="C24" s="1">
        <v>8</v>
      </c>
      <c r="D24" s="1" t="s">
        <v>883</v>
      </c>
      <c r="E24" s="1" t="s">
        <v>884</v>
      </c>
      <c r="F24" s="1">
        <v>45.615600000000001</v>
      </c>
      <c r="G24" s="1">
        <v>9.28111</v>
      </c>
      <c r="H24" s="1" t="s">
        <v>885</v>
      </c>
      <c r="I24" s="1" t="s">
        <v>886</v>
      </c>
      <c r="J24" s="81">
        <v>19244</v>
      </c>
      <c r="K24" s="81" t="s">
        <v>920</v>
      </c>
    </row>
    <row r="25" spans="1:11">
      <c r="A25" s="1">
        <v>1953</v>
      </c>
      <c r="B25" s="1" t="s">
        <v>921</v>
      </c>
      <c r="C25" s="1">
        <v>1</v>
      </c>
      <c r="D25" s="1" t="s">
        <v>922</v>
      </c>
      <c r="E25" s="1" t="s">
        <v>923</v>
      </c>
      <c r="F25" s="1">
        <v>-34.694299999999998</v>
      </c>
      <c r="G25" s="1">
        <v>-58.459299999999999</v>
      </c>
      <c r="H25" s="1" t="s">
        <v>253</v>
      </c>
      <c r="I25" s="1" t="s">
        <v>252</v>
      </c>
      <c r="J25" s="81">
        <v>19377</v>
      </c>
      <c r="K25" s="81" t="s">
        <v>924</v>
      </c>
    </row>
    <row r="26" spans="1:11">
      <c r="A26" s="1">
        <v>1953</v>
      </c>
      <c r="B26" s="1" t="s">
        <v>862</v>
      </c>
      <c r="C26" s="1">
        <v>2</v>
      </c>
      <c r="D26" s="1" t="s">
        <v>863</v>
      </c>
      <c r="E26" s="1" t="s">
        <v>864</v>
      </c>
      <c r="F26" s="1">
        <v>39.795000000000002</v>
      </c>
      <c r="G26" s="1">
        <v>-86.234700000000004</v>
      </c>
      <c r="H26" s="1" t="s">
        <v>865</v>
      </c>
      <c r="I26" s="1" t="s">
        <v>82</v>
      </c>
      <c r="J26" s="81">
        <v>19509</v>
      </c>
      <c r="K26" s="81" t="s">
        <v>925</v>
      </c>
    </row>
    <row r="27" spans="1:11">
      <c r="A27" s="1">
        <v>1953</v>
      </c>
      <c r="B27" s="1" t="s">
        <v>914</v>
      </c>
      <c r="C27" s="1">
        <v>3</v>
      </c>
      <c r="D27" s="1" t="s">
        <v>915</v>
      </c>
      <c r="E27" s="1" t="s">
        <v>916</v>
      </c>
      <c r="F27" s="1">
        <v>52.388800000000003</v>
      </c>
      <c r="G27" s="1">
        <v>4.5409199999999998</v>
      </c>
      <c r="H27" s="1" t="s">
        <v>917</v>
      </c>
      <c r="I27" s="1" t="s">
        <v>918</v>
      </c>
      <c r="J27" s="81">
        <v>19517</v>
      </c>
      <c r="K27" s="81" t="s">
        <v>926</v>
      </c>
    </row>
    <row r="28" spans="1:11">
      <c r="A28" s="1">
        <v>1953</v>
      </c>
      <c r="B28" s="1" t="s">
        <v>872</v>
      </c>
      <c r="C28" s="1">
        <v>4</v>
      </c>
      <c r="D28" s="1" t="s">
        <v>873</v>
      </c>
      <c r="E28" s="1" t="s">
        <v>874</v>
      </c>
      <c r="F28" s="1">
        <v>50.437199999999997</v>
      </c>
      <c r="G28" s="1">
        <v>5.9713900000000004</v>
      </c>
      <c r="H28" s="1" t="s">
        <v>875</v>
      </c>
      <c r="I28" s="1" t="s">
        <v>244</v>
      </c>
      <c r="J28" s="81">
        <v>19531</v>
      </c>
      <c r="K28" s="81" t="s">
        <v>927</v>
      </c>
    </row>
    <row r="29" spans="1:11">
      <c r="A29" s="1">
        <v>1953</v>
      </c>
      <c r="B29" s="1" t="s">
        <v>877</v>
      </c>
      <c r="C29" s="1">
        <v>5</v>
      </c>
      <c r="D29" s="1" t="s">
        <v>878</v>
      </c>
      <c r="E29" s="1" t="s">
        <v>879</v>
      </c>
      <c r="F29" s="1">
        <v>49.254199999999997</v>
      </c>
      <c r="G29" s="1">
        <v>3.9308299999999998</v>
      </c>
      <c r="H29" s="1" t="s">
        <v>880</v>
      </c>
      <c r="I29" s="1" t="s">
        <v>755</v>
      </c>
      <c r="J29" s="81">
        <v>19545</v>
      </c>
      <c r="K29" s="81" t="s">
        <v>928</v>
      </c>
    </row>
    <row r="30" spans="1:11">
      <c r="A30" s="1">
        <v>1953</v>
      </c>
      <c r="B30" s="1" t="s">
        <v>850</v>
      </c>
      <c r="C30" s="1">
        <v>6</v>
      </c>
      <c r="D30" s="1" t="s">
        <v>851</v>
      </c>
      <c r="E30" s="1" t="s">
        <v>852</v>
      </c>
      <c r="F30" s="1">
        <v>52.078600000000002</v>
      </c>
      <c r="G30" s="1">
        <v>-1.01694</v>
      </c>
      <c r="H30" s="1" t="s">
        <v>853</v>
      </c>
      <c r="I30" s="1" t="s">
        <v>854</v>
      </c>
      <c r="J30" s="81">
        <v>19558</v>
      </c>
      <c r="K30" s="81" t="s">
        <v>929</v>
      </c>
    </row>
    <row r="31" spans="1:11">
      <c r="A31" s="1">
        <v>1953</v>
      </c>
      <c r="B31" s="1" t="s">
        <v>893</v>
      </c>
      <c r="C31" s="1">
        <v>7</v>
      </c>
      <c r="D31" s="1" t="s">
        <v>894</v>
      </c>
      <c r="E31" s="1" t="s">
        <v>895</v>
      </c>
      <c r="F31" s="1">
        <v>50.335599999999999</v>
      </c>
      <c r="G31" s="1">
        <v>6.9474999999999998</v>
      </c>
      <c r="H31" s="1" t="s">
        <v>896</v>
      </c>
      <c r="I31" s="1" t="s">
        <v>761</v>
      </c>
      <c r="J31" s="81">
        <v>19573</v>
      </c>
      <c r="K31" s="81" t="s">
        <v>930</v>
      </c>
    </row>
    <row r="32" spans="1:11">
      <c r="A32" s="1">
        <v>1953</v>
      </c>
      <c r="B32" s="1" t="s">
        <v>867</v>
      </c>
      <c r="C32" s="1">
        <v>8</v>
      </c>
      <c r="D32" s="1" t="s">
        <v>868</v>
      </c>
      <c r="E32" s="1" t="s">
        <v>869</v>
      </c>
      <c r="F32" s="1">
        <v>46.9589</v>
      </c>
      <c r="G32" s="1">
        <v>7.4019399999999997</v>
      </c>
      <c r="H32" s="1" t="s">
        <v>870</v>
      </c>
      <c r="I32" s="1" t="s">
        <v>468</v>
      </c>
      <c r="J32" s="81">
        <v>19594</v>
      </c>
      <c r="K32" s="81" t="s">
        <v>931</v>
      </c>
    </row>
    <row r="33" spans="1:11">
      <c r="A33" s="1">
        <v>1953</v>
      </c>
      <c r="B33" s="1" t="s">
        <v>882</v>
      </c>
      <c r="C33" s="1">
        <v>9</v>
      </c>
      <c r="D33" s="1" t="s">
        <v>883</v>
      </c>
      <c r="E33" s="1" t="s">
        <v>884</v>
      </c>
      <c r="F33" s="1">
        <v>45.615600000000001</v>
      </c>
      <c r="G33" s="1">
        <v>9.28111</v>
      </c>
      <c r="H33" s="1" t="s">
        <v>885</v>
      </c>
      <c r="I33" s="1" t="s">
        <v>886</v>
      </c>
      <c r="J33" s="81">
        <v>19615</v>
      </c>
      <c r="K33" s="81" t="s">
        <v>932</v>
      </c>
    </row>
    <row r="34" spans="1:11">
      <c r="A34" s="1">
        <v>1954</v>
      </c>
      <c r="B34" s="1" t="s">
        <v>921</v>
      </c>
      <c r="C34" s="1">
        <v>1</v>
      </c>
      <c r="D34" s="1" t="s">
        <v>922</v>
      </c>
      <c r="E34" s="1" t="s">
        <v>923</v>
      </c>
      <c r="F34" s="1">
        <v>-34.694299999999998</v>
      </c>
      <c r="G34" s="1">
        <v>-58.459299999999999</v>
      </c>
      <c r="H34" s="1" t="s">
        <v>253</v>
      </c>
      <c r="I34" s="1" t="s">
        <v>252</v>
      </c>
      <c r="J34" s="81">
        <v>19741</v>
      </c>
      <c r="K34" s="81" t="s">
        <v>933</v>
      </c>
    </row>
    <row r="35" spans="1:11">
      <c r="A35" s="1">
        <v>1954</v>
      </c>
      <c r="B35" s="1" t="s">
        <v>862</v>
      </c>
      <c r="C35" s="1">
        <v>2</v>
      </c>
      <c r="D35" s="1" t="s">
        <v>863</v>
      </c>
      <c r="E35" s="1" t="s">
        <v>864</v>
      </c>
      <c r="F35" s="1">
        <v>39.795000000000002</v>
      </c>
      <c r="G35" s="1">
        <v>-86.234700000000004</v>
      </c>
      <c r="H35" s="1" t="s">
        <v>865</v>
      </c>
      <c r="I35" s="1" t="s">
        <v>82</v>
      </c>
      <c r="J35" s="81">
        <v>19875</v>
      </c>
      <c r="K35" s="81" t="s">
        <v>934</v>
      </c>
    </row>
    <row r="36" spans="1:11">
      <c r="A36" s="1">
        <v>1954</v>
      </c>
      <c r="B36" s="1" t="s">
        <v>872</v>
      </c>
      <c r="C36" s="1">
        <v>3</v>
      </c>
      <c r="D36" s="1" t="s">
        <v>873</v>
      </c>
      <c r="E36" s="1" t="s">
        <v>874</v>
      </c>
      <c r="F36" s="1">
        <v>50.437199999999997</v>
      </c>
      <c r="G36" s="1">
        <v>5.9713900000000004</v>
      </c>
      <c r="H36" s="1" t="s">
        <v>875</v>
      </c>
      <c r="I36" s="1" t="s">
        <v>244</v>
      </c>
      <c r="J36" s="81">
        <v>19895</v>
      </c>
      <c r="K36" s="81" t="s">
        <v>935</v>
      </c>
    </row>
    <row r="37" spans="1:11">
      <c r="A37" s="1">
        <v>1954</v>
      </c>
      <c r="B37" s="1" t="s">
        <v>877</v>
      </c>
      <c r="C37" s="1">
        <v>4</v>
      </c>
      <c r="D37" s="1" t="s">
        <v>878</v>
      </c>
      <c r="E37" s="1" t="s">
        <v>879</v>
      </c>
      <c r="F37" s="1">
        <v>49.254199999999997</v>
      </c>
      <c r="G37" s="1">
        <v>3.9308299999999998</v>
      </c>
      <c r="H37" s="1" t="s">
        <v>880</v>
      </c>
      <c r="I37" s="1" t="s">
        <v>755</v>
      </c>
      <c r="J37" s="81">
        <v>19909</v>
      </c>
      <c r="K37" s="81" t="s">
        <v>936</v>
      </c>
    </row>
    <row r="38" spans="1:11">
      <c r="A38" s="1">
        <v>1954</v>
      </c>
      <c r="B38" s="1" t="s">
        <v>850</v>
      </c>
      <c r="C38" s="1">
        <v>5</v>
      </c>
      <c r="D38" s="1" t="s">
        <v>851</v>
      </c>
      <c r="E38" s="1" t="s">
        <v>852</v>
      </c>
      <c r="F38" s="1">
        <v>52.078600000000002</v>
      </c>
      <c r="G38" s="1">
        <v>-1.01694</v>
      </c>
      <c r="H38" s="1" t="s">
        <v>853</v>
      </c>
      <c r="I38" s="1" t="s">
        <v>854</v>
      </c>
      <c r="J38" s="81">
        <v>19922</v>
      </c>
      <c r="K38" s="81" t="s">
        <v>937</v>
      </c>
    </row>
    <row r="39" spans="1:11">
      <c r="A39" s="1">
        <v>1954</v>
      </c>
      <c r="B39" s="1" t="s">
        <v>893</v>
      </c>
      <c r="C39" s="1">
        <v>6</v>
      </c>
      <c r="D39" s="1" t="s">
        <v>894</v>
      </c>
      <c r="E39" s="1" t="s">
        <v>895</v>
      </c>
      <c r="F39" s="1">
        <v>50.335599999999999</v>
      </c>
      <c r="G39" s="1">
        <v>6.9474999999999998</v>
      </c>
      <c r="H39" s="1" t="s">
        <v>896</v>
      </c>
      <c r="I39" s="1" t="s">
        <v>761</v>
      </c>
      <c r="J39" s="81">
        <v>19937</v>
      </c>
      <c r="K39" s="81" t="s">
        <v>938</v>
      </c>
    </row>
    <row r="40" spans="1:11">
      <c r="A40" s="1">
        <v>1954</v>
      </c>
      <c r="B40" s="1" t="s">
        <v>867</v>
      </c>
      <c r="C40" s="1">
        <v>7</v>
      </c>
      <c r="D40" s="1" t="s">
        <v>868</v>
      </c>
      <c r="E40" s="1" t="s">
        <v>869</v>
      </c>
      <c r="F40" s="1">
        <v>46.9589</v>
      </c>
      <c r="G40" s="1">
        <v>7.4019399999999997</v>
      </c>
      <c r="H40" s="1" t="s">
        <v>870</v>
      </c>
      <c r="I40" s="1" t="s">
        <v>468</v>
      </c>
      <c r="J40" s="81">
        <v>19958</v>
      </c>
      <c r="K40" s="81" t="s">
        <v>939</v>
      </c>
    </row>
    <row r="41" spans="1:11">
      <c r="A41" s="1">
        <v>1954</v>
      </c>
      <c r="B41" s="1" t="s">
        <v>882</v>
      </c>
      <c r="C41" s="1">
        <v>8</v>
      </c>
      <c r="D41" s="1" t="s">
        <v>883</v>
      </c>
      <c r="E41" s="1" t="s">
        <v>884</v>
      </c>
      <c r="F41" s="1">
        <v>45.615600000000001</v>
      </c>
      <c r="G41" s="1">
        <v>9.28111</v>
      </c>
      <c r="H41" s="1" t="s">
        <v>885</v>
      </c>
      <c r="I41" s="1" t="s">
        <v>886</v>
      </c>
      <c r="J41" s="81">
        <v>19972</v>
      </c>
      <c r="K41" s="81" t="s">
        <v>940</v>
      </c>
    </row>
    <row r="42" spans="1:11">
      <c r="A42" s="1">
        <v>1954</v>
      </c>
      <c r="B42" s="1" t="s">
        <v>899</v>
      </c>
      <c r="C42" s="1">
        <v>9</v>
      </c>
      <c r="D42" s="1" t="s">
        <v>900</v>
      </c>
      <c r="E42" s="1" t="s">
        <v>901</v>
      </c>
      <c r="F42" s="1">
        <v>41.390300000000003</v>
      </c>
      <c r="G42" s="1">
        <v>2.1166700000000001</v>
      </c>
      <c r="H42" s="1" t="s">
        <v>902</v>
      </c>
      <c r="I42" s="1" t="s">
        <v>903</v>
      </c>
      <c r="J42" s="81">
        <v>20021</v>
      </c>
      <c r="K42" s="81" t="s">
        <v>941</v>
      </c>
    </row>
    <row r="43" spans="1:11">
      <c r="A43" s="1">
        <v>1955</v>
      </c>
      <c r="B43" s="1" t="s">
        <v>921</v>
      </c>
      <c r="C43" s="1">
        <v>1</v>
      </c>
      <c r="D43" s="1" t="s">
        <v>922</v>
      </c>
      <c r="E43" s="1" t="s">
        <v>923</v>
      </c>
      <c r="F43" s="1">
        <v>-34.694299999999998</v>
      </c>
      <c r="G43" s="1">
        <v>-58.459299999999999</v>
      </c>
      <c r="H43" s="1" t="s">
        <v>253</v>
      </c>
      <c r="I43" s="1" t="s">
        <v>252</v>
      </c>
      <c r="J43" s="81">
        <v>20105</v>
      </c>
      <c r="K43" s="81" t="s">
        <v>942</v>
      </c>
    </row>
    <row r="44" spans="1:11">
      <c r="A44" s="1">
        <v>1955</v>
      </c>
      <c r="B44" s="1" t="s">
        <v>856</v>
      </c>
      <c r="C44" s="1">
        <v>2</v>
      </c>
      <c r="D44" s="1" t="s">
        <v>857</v>
      </c>
      <c r="E44" s="1" t="s">
        <v>858</v>
      </c>
      <c r="F44" s="1">
        <v>43.734699999999997</v>
      </c>
      <c r="G44" s="1">
        <v>7.42056</v>
      </c>
      <c r="H44" s="1" t="s">
        <v>859</v>
      </c>
      <c r="I44" s="1" t="s">
        <v>860</v>
      </c>
      <c r="J44" s="81">
        <v>20231</v>
      </c>
      <c r="K44" s="81" t="s">
        <v>943</v>
      </c>
    </row>
    <row r="45" spans="1:11">
      <c r="A45" s="1">
        <v>1955</v>
      </c>
      <c r="B45" s="1" t="s">
        <v>862</v>
      </c>
      <c r="C45" s="1">
        <v>3</v>
      </c>
      <c r="D45" s="1" t="s">
        <v>863</v>
      </c>
      <c r="E45" s="1" t="s">
        <v>864</v>
      </c>
      <c r="F45" s="1">
        <v>39.795000000000002</v>
      </c>
      <c r="G45" s="1">
        <v>-86.234700000000004</v>
      </c>
      <c r="H45" s="1" t="s">
        <v>865</v>
      </c>
      <c r="I45" s="1" t="s">
        <v>82</v>
      </c>
      <c r="J45" s="81">
        <v>20239</v>
      </c>
      <c r="K45" s="81" t="s">
        <v>944</v>
      </c>
    </row>
    <row r="46" spans="1:11">
      <c r="A46" s="1">
        <v>1955</v>
      </c>
      <c r="B46" s="1" t="s">
        <v>872</v>
      </c>
      <c r="C46" s="1">
        <v>4</v>
      </c>
      <c r="D46" s="1" t="s">
        <v>873</v>
      </c>
      <c r="E46" s="1" t="s">
        <v>874</v>
      </c>
      <c r="F46" s="1">
        <v>50.437199999999997</v>
      </c>
      <c r="G46" s="1">
        <v>5.9713900000000004</v>
      </c>
      <c r="H46" s="1" t="s">
        <v>875</v>
      </c>
      <c r="I46" s="1" t="s">
        <v>244</v>
      </c>
      <c r="J46" s="81">
        <v>20245</v>
      </c>
      <c r="K46" s="81" t="s">
        <v>945</v>
      </c>
    </row>
    <row r="47" spans="1:11">
      <c r="A47" s="1">
        <v>1955</v>
      </c>
      <c r="B47" s="1" t="s">
        <v>914</v>
      </c>
      <c r="C47" s="1">
        <v>5</v>
      </c>
      <c r="D47" s="1" t="s">
        <v>915</v>
      </c>
      <c r="E47" s="1" t="s">
        <v>916</v>
      </c>
      <c r="F47" s="1">
        <v>52.388800000000003</v>
      </c>
      <c r="G47" s="1">
        <v>4.5409199999999998</v>
      </c>
      <c r="H47" s="1" t="s">
        <v>917</v>
      </c>
      <c r="I47" s="1" t="s">
        <v>918</v>
      </c>
      <c r="J47" s="81">
        <v>20259</v>
      </c>
      <c r="K47" s="81" t="s">
        <v>946</v>
      </c>
    </row>
    <row r="48" spans="1:11">
      <c r="A48" s="1">
        <v>1955</v>
      </c>
      <c r="B48" s="1" t="s">
        <v>850</v>
      </c>
      <c r="C48" s="1">
        <v>6</v>
      </c>
      <c r="D48" s="1" t="s">
        <v>947</v>
      </c>
      <c r="E48" s="1" t="s">
        <v>948</v>
      </c>
      <c r="F48" s="1">
        <v>53.476900000000001</v>
      </c>
      <c r="G48" s="1">
        <v>-2.9405600000000001</v>
      </c>
      <c r="H48" s="1" t="s">
        <v>949</v>
      </c>
      <c r="I48" s="1" t="s">
        <v>854</v>
      </c>
      <c r="J48" s="81">
        <v>20286</v>
      </c>
      <c r="K48" s="81" t="s">
        <v>950</v>
      </c>
    </row>
    <row r="49" spans="1:11">
      <c r="A49" s="1">
        <v>1955</v>
      </c>
      <c r="B49" s="1" t="s">
        <v>882</v>
      </c>
      <c r="C49" s="1">
        <v>7</v>
      </c>
      <c r="D49" s="1" t="s">
        <v>883</v>
      </c>
      <c r="E49" s="1" t="s">
        <v>884</v>
      </c>
      <c r="F49" s="1">
        <v>45.615600000000001</v>
      </c>
      <c r="G49" s="1">
        <v>9.28111</v>
      </c>
      <c r="H49" s="1" t="s">
        <v>885</v>
      </c>
      <c r="I49" s="1" t="s">
        <v>886</v>
      </c>
      <c r="J49" s="81">
        <v>20343</v>
      </c>
      <c r="K49" s="81" t="s">
        <v>951</v>
      </c>
    </row>
    <row r="50" spans="1:11">
      <c r="A50" s="1">
        <v>1956</v>
      </c>
      <c r="B50" s="1" t="s">
        <v>921</v>
      </c>
      <c r="C50" s="1">
        <v>1</v>
      </c>
      <c r="D50" s="1" t="s">
        <v>922</v>
      </c>
      <c r="E50" s="1" t="s">
        <v>923</v>
      </c>
      <c r="F50" s="1">
        <v>-34.694299999999998</v>
      </c>
      <c r="G50" s="1">
        <v>-58.459299999999999</v>
      </c>
      <c r="H50" s="1" t="s">
        <v>253</v>
      </c>
      <c r="I50" s="1" t="s">
        <v>252</v>
      </c>
      <c r="J50" s="81">
        <v>20476</v>
      </c>
      <c r="K50" s="81" t="s">
        <v>952</v>
      </c>
    </row>
    <row r="51" spans="1:11">
      <c r="A51" s="1">
        <v>1956</v>
      </c>
      <c r="B51" s="1" t="s">
        <v>856</v>
      </c>
      <c r="C51" s="1">
        <v>2</v>
      </c>
      <c r="D51" s="1" t="s">
        <v>857</v>
      </c>
      <c r="E51" s="1" t="s">
        <v>858</v>
      </c>
      <c r="F51" s="1">
        <v>43.734699999999997</v>
      </c>
      <c r="G51" s="1">
        <v>7.42056</v>
      </c>
      <c r="H51" s="1" t="s">
        <v>859</v>
      </c>
      <c r="I51" s="1" t="s">
        <v>860</v>
      </c>
      <c r="J51" s="81">
        <v>20588</v>
      </c>
      <c r="K51" s="81" t="s">
        <v>953</v>
      </c>
    </row>
    <row r="52" spans="1:11">
      <c r="A52" s="1">
        <v>1956</v>
      </c>
      <c r="B52" s="1" t="s">
        <v>862</v>
      </c>
      <c r="C52" s="1">
        <v>3</v>
      </c>
      <c r="D52" s="1" t="s">
        <v>863</v>
      </c>
      <c r="E52" s="1" t="s">
        <v>864</v>
      </c>
      <c r="F52" s="1">
        <v>39.795000000000002</v>
      </c>
      <c r="G52" s="1">
        <v>-86.234700000000004</v>
      </c>
      <c r="H52" s="1" t="s">
        <v>865</v>
      </c>
      <c r="I52" s="1" t="s">
        <v>82</v>
      </c>
      <c r="J52" s="81">
        <v>20605</v>
      </c>
      <c r="K52" s="81" t="s">
        <v>954</v>
      </c>
    </row>
    <row r="53" spans="1:11">
      <c r="A53" s="1">
        <v>1956</v>
      </c>
      <c r="B53" s="1" t="s">
        <v>872</v>
      </c>
      <c r="C53" s="1">
        <v>4</v>
      </c>
      <c r="D53" s="1" t="s">
        <v>873</v>
      </c>
      <c r="E53" s="1" t="s">
        <v>874</v>
      </c>
      <c r="F53" s="1">
        <v>50.437199999999997</v>
      </c>
      <c r="G53" s="1">
        <v>5.9713900000000004</v>
      </c>
      <c r="H53" s="1" t="s">
        <v>875</v>
      </c>
      <c r="I53" s="1" t="s">
        <v>244</v>
      </c>
      <c r="J53" s="81">
        <v>20609</v>
      </c>
      <c r="K53" s="81" t="s">
        <v>955</v>
      </c>
    </row>
    <row r="54" spans="1:11">
      <c r="A54" s="1">
        <v>1956</v>
      </c>
      <c r="B54" s="1" t="s">
        <v>877</v>
      </c>
      <c r="C54" s="1">
        <v>5</v>
      </c>
      <c r="D54" s="1" t="s">
        <v>878</v>
      </c>
      <c r="E54" s="1" t="s">
        <v>879</v>
      </c>
      <c r="F54" s="1">
        <v>49.254199999999997</v>
      </c>
      <c r="G54" s="1">
        <v>3.9308299999999998</v>
      </c>
      <c r="H54" s="1" t="s">
        <v>880</v>
      </c>
      <c r="I54" s="1" t="s">
        <v>755</v>
      </c>
      <c r="J54" s="81">
        <v>20637</v>
      </c>
      <c r="K54" s="81" t="s">
        <v>956</v>
      </c>
    </row>
    <row r="55" spans="1:11">
      <c r="A55" s="1">
        <v>1956</v>
      </c>
      <c r="B55" s="1" t="s">
        <v>850</v>
      </c>
      <c r="C55" s="1">
        <v>6</v>
      </c>
      <c r="D55" s="1" t="s">
        <v>851</v>
      </c>
      <c r="E55" s="1" t="s">
        <v>852</v>
      </c>
      <c r="F55" s="1">
        <v>52.078600000000002</v>
      </c>
      <c r="G55" s="1">
        <v>-1.01694</v>
      </c>
      <c r="H55" s="1" t="s">
        <v>853</v>
      </c>
      <c r="I55" s="1" t="s">
        <v>854</v>
      </c>
      <c r="J55" s="81">
        <v>20650</v>
      </c>
      <c r="K55" s="81" t="s">
        <v>957</v>
      </c>
    </row>
    <row r="56" spans="1:11">
      <c r="A56" s="1">
        <v>1956</v>
      </c>
      <c r="B56" s="1" t="s">
        <v>893</v>
      </c>
      <c r="C56" s="1">
        <v>7</v>
      </c>
      <c r="D56" s="1" t="s">
        <v>894</v>
      </c>
      <c r="E56" s="1" t="s">
        <v>895</v>
      </c>
      <c r="F56" s="1">
        <v>50.335599999999999</v>
      </c>
      <c r="G56" s="1">
        <v>6.9474999999999998</v>
      </c>
      <c r="H56" s="1" t="s">
        <v>896</v>
      </c>
      <c r="I56" s="1" t="s">
        <v>761</v>
      </c>
      <c r="J56" s="81">
        <v>20672</v>
      </c>
      <c r="K56" s="81" t="s">
        <v>958</v>
      </c>
    </row>
    <row r="57" spans="1:11">
      <c r="A57" s="1">
        <v>1956</v>
      </c>
      <c r="B57" s="1" t="s">
        <v>882</v>
      </c>
      <c r="C57" s="1">
        <v>8</v>
      </c>
      <c r="D57" s="1" t="s">
        <v>883</v>
      </c>
      <c r="E57" s="1" t="s">
        <v>884</v>
      </c>
      <c r="F57" s="1">
        <v>45.615600000000001</v>
      </c>
      <c r="G57" s="1">
        <v>9.28111</v>
      </c>
      <c r="H57" s="1" t="s">
        <v>885</v>
      </c>
      <c r="I57" s="1" t="s">
        <v>886</v>
      </c>
      <c r="J57" s="81">
        <v>20700</v>
      </c>
      <c r="K57" s="81" t="s">
        <v>959</v>
      </c>
    </row>
    <row r="58" spans="1:11">
      <c r="A58" s="1">
        <v>1957</v>
      </c>
      <c r="B58" s="1" t="s">
        <v>921</v>
      </c>
      <c r="C58" s="1">
        <v>1</v>
      </c>
      <c r="D58" s="1" t="s">
        <v>922</v>
      </c>
      <c r="E58" s="1" t="s">
        <v>923</v>
      </c>
      <c r="F58" s="1">
        <v>-34.694299999999998</v>
      </c>
      <c r="G58" s="1">
        <v>-58.459299999999999</v>
      </c>
      <c r="H58" s="1" t="s">
        <v>253</v>
      </c>
      <c r="I58" s="1" t="s">
        <v>252</v>
      </c>
      <c r="J58" s="81">
        <v>20833</v>
      </c>
      <c r="K58" s="81" t="s">
        <v>960</v>
      </c>
    </row>
    <row r="59" spans="1:11">
      <c r="A59" s="1">
        <v>1957</v>
      </c>
      <c r="B59" s="1" t="s">
        <v>856</v>
      </c>
      <c r="C59" s="1">
        <v>2</v>
      </c>
      <c r="D59" s="1" t="s">
        <v>857</v>
      </c>
      <c r="E59" s="1" t="s">
        <v>858</v>
      </c>
      <c r="F59" s="1">
        <v>43.734699999999997</v>
      </c>
      <c r="G59" s="1">
        <v>7.42056</v>
      </c>
      <c r="H59" s="1" t="s">
        <v>859</v>
      </c>
      <c r="I59" s="1" t="s">
        <v>860</v>
      </c>
      <c r="J59" s="81">
        <v>20959</v>
      </c>
      <c r="K59" s="81" t="s">
        <v>961</v>
      </c>
    </row>
    <row r="60" spans="1:11">
      <c r="A60" s="1">
        <v>1957</v>
      </c>
      <c r="B60" s="1" t="s">
        <v>862</v>
      </c>
      <c r="C60" s="1">
        <v>3</v>
      </c>
      <c r="D60" s="1" t="s">
        <v>863</v>
      </c>
      <c r="E60" s="1" t="s">
        <v>864</v>
      </c>
      <c r="F60" s="1">
        <v>39.795000000000002</v>
      </c>
      <c r="G60" s="1">
        <v>-86.234700000000004</v>
      </c>
      <c r="H60" s="1" t="s">
        <v>865</v>
      </c>
      <c r="I60" s="1" t="s">
        <v>82</v>
      </c>
      <c r="J60" s="81">
        <v>20970</v>
      </c>
      <c r="K60" s="81" t="s">
        <v>962</v>
      </c>
    </row>
    <row r="61" spans="1:11">
      <c r="A61" s="1">
        <v>1957</v>
      </c>
      <c r="B61" s="1" t="s">
        <v>877</v>
      </c>
      <c r="C61" s="1">
        <v>4</v>
      </c>
      <c r="D61" s="1" t="s">
        <v>908</v>
      </c>
      <c r="E61" s="1" t="s">
        <v>909</v>
      </c>
      <c r="F61" s="1">
        <v>49.330599999999997</v>
      </c>
      <c r="G61" s="1">
        <v>1.00458</v>
      </c>
      <c r="H61" s="1" t="s">
        <v>910</v>
      </c>
      <c r="I61" s="1" t="s">
        <v>755</v>
      </c>
      <c r="J61" s="81">
        <v>21008</v>
      </c>
      <c r="K61" s="81" t="s">
        <v>963</v>
      </c>
    </row>
    <row r="62" spans="1:11">
      <c r="A62" s="1">
        <v>1957</v>
      </c>
      <c r="B62" s="1" t="s">
        <v>850</v>
      </c>
      <c r="C62" s="1">
        <v>5</v>
      </c>
      <c r="D62" s="1" t="s">
        <v>947</v>
      </c>
      <c r="E62" s="1" t="s">
        <v>948</v>
      </c>
      <c r="F62" s="1">
        <v>53.476900000000001</v>
      </c>
      <c r="G62" s="1">
        <v>-2.9405600000000001</v>
      </c>
      <c r="H62" s="1" t="s">
        <v>949</v>
      </c>
      <c r="I62" s="1" t="s">
        <v>854</v>
      </c>
      <c r="J62" s="81">
        <v>21021</v>
      </c>
      <c r="K62" s="81" t="s">
        <v>964</v>
      </c>
    </row>
    <row r="63" spans="1:11">
      <c r="A63" s="1">
        <v>1957</v>
      </c>
      <c r="B63" s="1" t="s">
        <v>893</v>
      </c>
      <c r="C63" s="1">
        <v>6</v>
      </c>
      <c r="D63" s="1" t="s">
        <v>894</v>
      </c>
      <c r="E63" s="1" t="s">
        <v>895</v>
      </c>
      <c r="F63" s="1">
        <v>50.335599999999999</v>
      </c>
      <c r="G63" s="1">
        <v>6.9474999999999998</v>
      </c>
      <c r="H63" s="1" t="s">
        <v>896</v>
      </c>
      <c r="I63" s="1" t="s">
        <v>761</v>
      </c>
      <c r="J63" s="81">
        <v>21036</v>
      </c>
      <c r="K63" s="81" t="s">
        <v>965</v>
      </c>
    </row>
    <row r="64" spans="1:11">
      <c r="A64" s="1">
        <v>1957</v>
      </c>
      <c r="B64" s="1" t="s">
        <v>966</v>
      </c>
      <c r="C64" s="1">
        <v>7</v>
      </c>
      <c r="D64" s="1" t="s">
        <v>967</v>
      </c>
      <c r="E64" s="1" t="s">
        <v>968</v>
      </c>
      <c r="F64" s="1">
        <v>42.475000000000001</v>
      </c>
      <c r="G64" s="1">
        <v>14.1508</v>
      </c>
      <c r="H64" s="1" t="s">
        <v>969</v>
      </c>
      <c r="I64" s="1" t="s">
        <v>886</v>
      </c>
      <c r="J64" s="81">
        <v>21050</v>
      </c>
      <c r="K64" s="81" t="s">
        <v>970</v>
      </c>
    </row>
    <row r="65" spans="1:11">
      <c r="A65" s="1">
        <v>1957</v>
      </c>
      <c r="B65" s="1" t="s">
        <v>882</v>
      </c>
      <c r="C65" s="1">
        <v>8</v>
      </c>
      <c r="D65" s="1" t="s">
        <v>883</v>
      </c>
      <c r="E65" s="1" t="s">
        <v>884</v>
      </c>
      <c r="F65" s="1">
        <v>45.615600000000001</v>
      </c>
      <c r="G65" s="1">
        <v>9.28111</v>
      </c>
      <c r="H65" s="1" t="s">
        <v>885</v>
      </c>
      <c r="I65" s="1" t="s">
        <v>886</v>
      </c>
      <c r="J65" s="81">
        <v>21071</v>
      </c>
      <c r="K65" s="81" t="s">
        <v>971</v>
      </c>
    </row>
    <row r="66" spans="1:11">
      <c r="A66" s="1">
        <v>1958</v>
      </c>
      <c r="B66" s="1" t="s">
        <v>921</v>
      </c>
      <c r="C66" s="1">
        <v>1</v>
      </c>
      <c r="D66" s="1" t="s">
        <v>922</v>
      </c>
      <c r="E66" s="1" t="s">
        <v>923</v>
      </c>
      <c r="F66" s="1">
        <v>-34.694299999999998</v>
      </c>
      <c r="G66" s="1">
        <v>-58.459299999999999</v>
      </c>
      <c r="H66" s="1" t="s">
        <v>253</v>
      </c>
      <c r="I66" s="1" t="s">
        <v>252</v>
      </c>
      <c r="J66" s="81">
        <v>21204</v>
      </c>
      <c r="K66" s="81" t="s">
        <v>972</v>
      </c>
    </row>
    <row r="67" spans="1:11">
      <c r="A67" s="1">
        <v>1958</v>
      </c>
      <c r="B67" s="1" t="s">
        <v>856</v>
      </c>
      <c r="C67" s="1">
        <v>2</v>
      </c>
      <c r="D67" s="1" t="s">
        <v>857</v>
      </c>
      <c r="E67" s="1" t="s">
        <v>858</v>
      </c>
      <c r="F67" s="1">
        <v>43.734699999999997</v>
      </c>
      <c r="G67" s="1">
        <v>7.42056</v>
      </c>
      <c r="H67" s="1" t="s">
        <v>859</v>
      </c>
      <c r="I67" s="1" t="s">
        <v>860</v>
      </c>
      <c r="J67" s="81">
        <v>21323</v>
      </c>
      <c r="K67" s="81" t="s">
        <v>973</v>
      </c>
    </row>
    <row r="68" spans="1:11">
      <c r="A68" s="1">
        <v>1958</v>
      </c>
      <c r="B68" s="1" t="s">
        <v>914</v>
      </c>
      <c r="C68" s="1">
        <v>3</v>
      </c>
      <c r="D68" s="1" t="s">
        <v>915</v>
      </c>
      <c r="E68" s="1" t="s">
        <v>916</v>
      </c>
      <c r="F68" s="1">
        <v>52.388800000000003</v>
      </c>
      <c r="G68" s="1">
        <v>4.5409199999999998</v>
      </c>
      <c r="H68" s="1" t="s">
        <v>917</v>
      </c>
      <c r="I68" s="1" t="s">
        <v>918</v>
      </c>
      <c r="J68" s="81">
        <v>21331</v>
      </c>
      <c r="K68" s="81" t="s">
        <v>974</v>
      </c>
    </row>
    <row r="69" spans="1:11">
      <c r="A69" s="1">
        <v>1958</v>
      </c>
      <c r="B69" s="1" t="s">
        <v>862</v>
      </c>
      <c r="C69" s="1">
        <v>4</v>
      </c>
      <c r="D69" s="1" t="s">
        <v>863</v>
      </c>
      <c r="E69" s="1" t="s">
        <v>864</v>
      </c>
      <c r="F69" s="1">
        <v>39.795000000000002</v>
      </c>
      <c r="G69" s="1">
        <v>-86.234700000000004</v>
      </c>
      <c r="H69" s="1" t="s">
        <v>865</v>
      </c>
      <c r="I69" s="1" t="s">
        <v>82</v>
      </c>
      <c r="J69" s="81">
        <v>21335</v>
      </c>
      <c r="K69" s="81" t="s">
        <v>975</v>
      </c>
    </row>
    <row r="70" spans="1:11">
      <c r="A70" s="1">
        <v>1958</v>
      </c>
      <c r="B70" s="1" t="s">
        <v>872</v>
      </c>
      <c r="C70" s="1">
        <v>5</v>
      </c>
      <c r="D70" s="1" t="s">
        <v>873</v>
      </c>
      <c r="E70" s="1" t="s">
        <v>874</v>
      </c>
      <c r="F70" s="1">
        <v>50.437199999999997</v>
      </c>
      <c r="G70" s="1">
        <v>5.9713900000000004</v>
      </c>
      <c r="H70" s="1" t="s">
        <v>875</v>
      </c>
      <c r="I70" s="1" t="s">
        <v>244</v>
      </c>
      <c r="J70" s="81">
        <v>21351</v>
      </c>
      <c r="K70" s="81" t="s">
        <v>976</v>
      </c>
    </row>
    <row r="71" spans="1:11">
      <c r="A71" s="1">
        <v>1958</v>
      </c>
      <c r="B71" s="1" t="s">
        <v>877</v>
      </c>
      <c r="C71" s="1">
        <v>6</v>
      </c>
      <c r="D71" s="1" t="s">
        <v>878</v>
      </c>
      <c r="E71" s="1" t="s">
        <v>879</v>
      </c>
      <c r="F71" s="1">
        <v>49.254199999999997</v>
      </c>
      <c r="G71" s="1">
        <v>3.9308299999999998</v>
      </c>
      <c r="H71" s="1" t="s">
        <v>880</v>
      </c>
      <c r="I71" s="1" t="s">
        <v>755</v>
      </c>
      <c r="J71" s="81">
        <v>21372</v>
      </c>
      <c r="K71" s="81" t="s">
        <v>977</v>
      </c>
    </row>
    <row r="72" spans="1:11">
      <c r="A72" s="1">
        <v>1958</v>
      </c>
      <c r="B72" s="1" t="s">
        <v>850</v>
      </c>
      <c r="C72" s="1">
        <v>7</v>
      </c>
      <c r="D72" s="1" t="s">
        <v>851</v>
      </c>
      <c r="E72" s="1" t="s">
        <v>852</v>
      </c>
      <c r="F72" s="1">
        <v>52.078600000000002</v>
      </c>
      <c r="G72" s="1">
        <v>-1.01694</v>
      </c>
      <c r="H72" s="1" t="s">
        <v>853</v>
      </c>
      <c r="I72" s="1" t="s">
        <v>854</v>
      </c>
      <c r="J72" s="81">
        <v>21385</v>
      </c>
      <c r="K72" s="81" t="s">
        <v>978</v>
      </c>
    </row>
    <row r="73" spans="1:11">
      <c r="A73" s="1">
        <v>1958</v>
      </c>
      <c r="B73" s="1" t="s">
        <v>893</v>
      </c>
      <c r="C73" s="1">
        <v>8</v>
      </c>
      <c r="D73" s="1" t="s">
        <v>894</v>
      </c>
      <c r="E73" s="1" t="s">
        <v>895</v>
      </c>
      <c r="F73" s="1">
        <v>50.335599999999999</v>
      </c>
      <c r="G73" s="1">
        <v>6.9474999999999998</v>
      </c>
      <c r="H73" s="1" t="s">
        <v>896</v>
      </c>
      <c r="I73" s="1" t="s">
        <v>761</v>
      </c>
      <c r="J73" s="81">
        <v>21400</v>
      </c>
      <c r="K73" s="81" t="s">
        <v>979</v>
      </c>
    </row>
    <row r="74" spans="1:11">
      <c r="A74" s="1">
        <v>1958</v>
      </c>
      <c r="B74" s="1" t="s">
        <v>980</v>
      </c>
      <c r="C74" s="1">
        <v>9</v>
      </c>
      <c r="D74" s="1" t="s">
        <v>981</v>
      </c>
      <c r="E74" s="1" t="s">
        <v>982</v>
      </c>
      <c r="F74" s="1">
        <v>41.170499999999997</v>
      </c>
      <c r="G74" s="1">
        <v>-8.6732499999999995</v>
      </c>
      <c r="H74" s="1" t="s">
        <v>983</v>
      </c>
      <c r="I74" s="1" t="s">
        <v>984</v>
      </c>
      <c r="J74" s="81">
        <v>21421</v>
      </c>
      <c r="K74" s="81" t="s">
        <v>985</v>
      </c>
    </row>
    <row r="75" spans="1:11">
      <c r="A75" s="1">
        <v>1958</v>
      </c>
      <c r="B75" s="1" t="s">
        <v>882</v>
      </c>
      <c r="C75" s="1">
        <v>10</v>
      </c>
      <c r="D75" s="1" t="s">
        <v>883</v>
      </c>
      <c r="E75" s="1" t="s">
        <v>884</v>
      </c>
      <c r="F75" s="1">
        <v>45.615600000000001</v>
      </c>
      <c r="G75" s="1">
        <v>9.28111</v>
      </c>
      <c r="H75" s="1" t="s">
        <v>885</v>
      </c>
      <c r="I75" s="1" t="s">
        <v>886</v>
      </c>
      <c r="J75" s="81">
        <v>21435</v>
      </c>
      <c r="K75" s="81" t="s">
        <v>986</v>
      </c>
    </row>
    <row r="76" spans="1:11">
      <c r="A76" s="1">
        <v>1958</v>
      </c>
      <c r="B76" s="1" t="s">
        <v>987</v>
      </c>
      <c r="C76" s="1">
        <v>11</v>
      </c>
      <c r="D76" s="1" t="s">
        <v>988</v>
      </c>
      <c r="E76" s="1" t="s">
        <v>989</v>
      </c>
      <c r="F76" s="1">
        <v>33.578600000000002</v>
      </c>
      <c r="G76" s="1">
        <v>-7.6875</v>
      </c>
      <c r="H76" s="1" t="s">
        <v>990</v>
      </c>
      <c r="I76" s="1" t="s">
        <v>991</v>
      </c>
      <c r="J76" s="81">
        <v>21477</v>
      </c>
      <c r="K76" s="81" t="s">
        <v>992</v>
      </c>
    </row>
    <row r="77" spans="1:11">
      <c r="A77" s="1">
        <v>1959</v>
      </c>
      <c r="B77" s="1" t="s">
        <v>856</v>
      </c>
      <c r="C77" s="1">
        <v>1</v>
      </c>
      <c r="D77" s="1" t="s">
        <v>857</v>
      </c>
      <c r="E77" s="1" t="s">
        <v>858</v>
      </c>
      <c r="F77" s="1">
        <v>43.734699999999997</v>
      </c>
      <c r="G77" s="1">
        <v>7.42056</v>
      </c>
      <c r="H77" s="1" t="s">
        <v>859</v>
      </c>
      <c r="I77" s="1" t="s">
        <v>860</v>
      </c>
      <c r="J77" s="81">
        <v>21680</v>
      </c>
      <c r="K77" s="81" t="s">
        <v>993</v>
      </c>
    </row>
    <row r="78" spans="1:11">
      <c r="A78" s="1">
        <v>1959</v>
      </c>
      <c r="B78" s="1" t="s">
        <v>862</v>
      </c>
      <c r="C78" s="1">
        <v>2</v>
      </c>
      <c r="D78" s="1" t="s">
        <v>863</v>
      </c>
      <c r="E78" s="1" t="s">
        <v>864</v>
      </c>
      <c r="F78" s="1">
        <v>39.795000000000002</v>
      </c>
      <c r="G78" s="1">
        <v>-86.234700000000004</v>
      </c>
      <c r="H78" s="1" t="s">
        <v>865</v>
      </c>
      <c r="I78" s="1" t="s">
        <v>82</v>
      </c>
      <c r="J78" s="81">
        <v>21700</v>
      </c>
      <c r="K78" s="81" t="s">
        <v>994</v>
      </c>
    </row>
    <row r="79" spans="1:11">
      <c r="A79" s="1">
        <v>1959</v>
      </c>
      <c r="B79" s="1" t="s">
        <v>914</v>
      </c>
      <c r="C79" s="1">
        <v>3</v>
      </c>
      <c r="D79" s="1" t="s">
        <v>915</v>
      </c>
      <c r="E79" s="1" t="s">
        <v>916</v>
      </c>
      <c r="F79" s="1">
        <v>52.388800000000003</v>
      </c>
      <c r="G79" s="1">
        <v>4.5409199999999998</v>
      </c>
      <c r="H79" s="1" t="s">
        <v>917</v>
      </c>
      <c r="I79" s="1" t="s">
        <v>918</v>
      </c>
      <c r="J79" s="81">
        <v>21701</v>
      </c>
      <c r="K79" s="81" t="s">
        <v>995</v>
      </c>
    </row>
    <row r="80" spans="1:11">
      <c r="A80" s="1">
        <v>1959</v>
      </c>
      <c r="B80" s="1" t="s">
        <v>877</v>
      </c>
      <c r="C80" s="1">
        <v>4</v>
      </c>
      <c r="D80" s="1" t="s">
        <v>878</v>
      </c>
      <c r="E80" s="1" t="s">
        <v>879</v>
      </c>
      <c r="F80" s="1">
        <v>49.254199999999997</v>
      </c>
      <c r="G80" s="1">
        <v>3.9308299999999998</v>
      </c>
      <c r="H80" s="1" t="s">
        <v>880</v>
      </c>
      <c r="I80" s="1" t="s">
        <v>755</v>
      </c>
      <c r="J80" s="81">
        <v>21736</v>
      </c>
      <c r="K80" s="81" t="s">
        <v>996</v>
      </c>
    </row>
    <row r="81" spans="1:11">
      <c r="A81" s="1">
        <v>1959</v>
      </c>
      <c r="B81" s="1" t="s">
        <v>850</v>
      </c>
      <c r="C81" s="1">
        <v>5</v>
      </c>
      <c r="D81" s="1" t="s">
        <v>947</v>
      </c>
      <c r="E81" s="1" t="s">
        <v>948</v>
      </c>
      <c r="F81" s="1">
        <v>53.476900000000001</v>
      </c>
      <c r="G81" s="1">
        <v>-2.9405600000000001</v>
      </c>
      <c r="H81" s="1" t="s">
        <v>949</v>
      </c>
      <c r="I81" s="1" t="s">
        <v>854</v>
      </c>
      <c r="J81" s="81">
        <v>21749</v>
      </c>
      <c r="K81" s="81" t="s">
        <v>997</v>
      </c>
    </row>
    <row r="82" spans="1:11">
      <c r="A82" s="1">
        <v>1959</v>
      </c>
      <c r="B82" s="1" t="s">
        <v>893</v>
      </c>
      <c r="C82" s="1">
        <v>6</v>
      </c>
      <c r="D82" s="1" t="s">
        <v>998</v>
      </c>
      <c r="E82" s="1" t="s">
        <v>999</v>
      </c>
      <c r="F82" s="1">
        <v>52.480600000000003</v>
      </c>
      <c r="G82" s="1">
        <v>13.2514</v>
      </c>
      <c r="H82" s="1" t="s">
        <v>762</v>
      </c>
      <c r="I82" s="1" t="s">
        <v>761</v>
      </c>
      <c r="J82" s="81">
        <v>21764</v>
      </c>
      <c r="K82" s="81" t="s">
        <v>1000</v>
      </c>
    </row>
    <row r="83" spans="1:11">
      <c r="A83" s="1">
        <v>1959</v>
      </c>
      <c r="B83" s="1" t="s">
        <v>980</v>
      </c>
      <c r="C83" s="1">
        <v>7</v>
      </c>
      <c r="D83" s="1" t="s">
        <v>1001</v>
      </c>
      <c r="E83" s="1" t="s">
        <v>1002</v>
      </c>
      <c r="F83" s="1">
        <v>38.719700000000003</v>
      </c>
      <c r="G83" s="1">
        <v>-9.2030600000000007</v>
      </c>
      <c r="H83" s="1" t="s">
        <v>1003</v>
      </c>
      <c r="I83" s="1" t="s">
        <v>984</v>
      </c>
      <c r="J83" s="81">
        <v>21785</v>
      </c>
      <c r="K83" s="81" t="s">
        <v>1004</v>
      </c>
    </row>
    <row r="84" spans="1:11">
      <c r="A84" s="1">
        <v>1959</v>
      </c>
      <c r="B84" s="1" t="s">
        <v>882</v>
      </c>
      <c r="C84" s="1">
        <v>8</v>
      </c>
      <c r="D84" s="1" t="s">
        <v>883</v>
      </c>
      <c r="E84" s="1" t="s">
        <v>884</v>
      </c>
      <c r="F84" s="1">
        <v>45.615600000000001</v>
      </c>
      <c r="G84" s="1">
        <v>9.28111</v>
      </c>
      <c r="H84" s="1" t="s">
        <v>885</v>
      </c>
      <c r="I84" s="1" t="s">
        <v>886</v>
      </c>
      <c r="J84" s="81">
        <v>21806</v>
      </c>
      <c r="K84" s="81" t="s">
        <v>1005</v>
      </c>
    </row>
    <row r="85" spans="1:11">
      <c r="A85" s="1">
        <v>1959</v>
      </c>
      <c r="B85" s="1" t="s">
        <v>1006</v>
      </c>
      <c r="C85" s="1">
        <v>9</v>
      </c>
      <c r="D85" s="1" t="s">
        <v>1007</v>
      </c>
      <c r="E85" s="1" t="s">
        <v>1008</v>
      </c>
      <c r="F85" s="1">
        <v>27.454699999999999</v>
      </c>
      <c r="G85" s="1">
        <v>-81.348299999999995</v>
      </c>
      <c r="H85" s="1" t="s">
        <v>1009</v>
      </c>
      <c r="I85" s="1" t="s">
        <v>1010</v>
      </c>
      <c r="J85" s="81">
        <v>21896</v>
      </c>
      <c r="K85" s="81" t="s">
        <v>1011</v>
      </c>
    </row>
    <row r="86" spans="1:11">
      <c r="A86" s="1">
        <v>1960</v>
      </c>
      <c r="B86" s="1" t="s">
        <v>921</v>
      </c>
      <c r="C86" s="1">
        <v>1</v>
      </c>
      <c r="D86" s="1" t="s">
        <v>922</v>
      </c>
      <c r="E86" s="1" t="s">
        <v>923</v>
      </c>
      <c r="F86" s="1">
        <v>-34.694299999999998</v>
      </c>
      <c r="G86" s="1">
        <v>-58.459299999999999</v>
      </c>
      <c r="H86" s="1" t="s">
        <v>253</v>
      </c>
      <c r="I86" s="1" t="s">
        <v>252</v>
      </c>
      <c r="J86" s="81">
        <v>21953</v>
      </c>
      <c r="K86" s="81" t="s">
        <v>1012</v>
      </c>
    </row>
    <row r="87" spans="1:11">
      <c r="A87" s="1">
        <v>1960</v>
      </c>
      <c r="B87" s="1" t="s">
        <v>856</v>
      </c>
      <c r="C87" s="1">
        <v>2</v>
      </c>
      <c r="D87" s="1" t="s">
        <v>857</v>
      </c>
      <c r="E87" s="1" t="s">
        <v>858</v>
      </c>
      <c r="F87" s="1">
        <v>43.734699999999997</v>
      </c>
      <c r="G87" s="1">
        <v>7.42056</v>
      </c>
      <c r="H87" s="1" t="s">
        <v>859</v>
      </c>
      <c r="I87" s="1" t="s">
        <v>860</v>
      </c>
      <c r="J87" s="81">
        <v>22065</v>
      </c>
      <c r="K87" s="81" t="s">
        <v>1013</v>
      </c>
    </row>
    <row r="88" spans="1:11">
      <c r="A88" s="1">
        <v>1960</v>
      </c>
      <c r="B88" s="1" t="s">
        <v>862</v>
      </c>
      <c r="C88" s="1">
        <v>3</v>
      </c>
      <c r="D88" s="1" t="s">
        <v>863</v>
      </c>
      <c r="E88" s="1" t="s">
        <v>864</v>
      </c>
      <c r="F88" s="1">
        <v>39.795000000000002</v>
      </c>
      <c r="G88" s="1">
        <v>-86.234700000000004</v>
      </c>
      <c r="H88" s="1" t="s">
        <v>865</v>
      </c>
      <c r="I88" s="1" t="s">
        <v>82</v>
      </c>
      <c r="J88" s="81">
        <v>22066</v>
      </c>
      <c r="K88" s="81" t="s">
        <v>1014</v>
      </c>
    </row>
    <row r="89" spans="1:11">
      <c r="A89" s="1">
        <v>1960</v>
      </c>
      <c r="B89" s="1" t="s">
        <v>914</v>
      </c>
      <c r="C89" s="1">
        <v>4</v>
      </c>
      <c r="D89" s="1" t="s">
        <v>915</v>
      </c>
      <c r="E89" s="1" t="s">
        <v>916</v>
      </c>
      <c r="F89" s="1">
        <v>52.388800000000003</v>
      </c>
      <c r="G89" s="1">
        <v>4.5409199999999998</v>
      </c>
      <c r="H89" s="1" t="s">
        <v>917</v>
      </c>
      <c r="I89" s="1" t="s">
        <v>918</v>
      </c>
      <c r="J89" s="81">
        <v>22073</v>
      </c>
      <c r="K89" s="81" t="s">
        <v>1015</v>
      </c>
    </row>
    <row r="90" spans="1:11">
      <c r="A90" s="1">
        <v>1960</v>
      </c>
      <c r="B90" s="1" t="s">
        <v>872</v>
      </c>
      <c r="C90" s="1">
        <v>5</v>
      </c>
      <c r="D90" s="1" t="s">
        <v>873</v>
      </c>
      <c r="E90" s="1" t="s">
        <v>874</v>
      </c>
      <c r="F90" s="1">
        <v>50.437199999999997</v>
      </c>
      <c r="G90" s="1">
        <v>5.9713900000000004</v>
      </c>
      <c r="H90" s="1" t="s">
        <v>875</v>
      </c>
      <c r="I90" s="1" t="s">
        <v>244</v>
      </c>
      <c r="J90" s="81">
        <v>22086</v>
      </c>
      <c r="K90" s="81" t="s">
        <v>1016</v>
      </c>
    </row>
    <row r="91" spans="1:11">
      <c r="A91" s="1">
        <v>1960</v>
      </c>
      <c r="B91" s="1" t="s">
        <v>877</v>
      </c>
      <c r="C91" s="1">
        <v>6</v>
      </c>
      <c r="D91" s="1" t="s">
        <v>878</v>
      </c>
      <c r="E91" s="1" t="s">
        <v>879</v>
      </c>
      <c r="F91" s="1">
        <v>49.254199999999997</v>
      </c>
      <c r="G91" s="1">
        <v>3.9308299999999998</v>
      </c>
      <c r="H91" s="1" t="s">
        <v>880</v>
      </c>
      <c r="I91" s="1" t="s">
        <v>755</v>
      </c>
      <c r="J91" s="81">
        <v>22100</v>
      </c>
      <c r="K91" s="81" t="s">
        <v>1017</v>
      </c>
    </row>
    <row r="92" spans="1:11">
      <c r="A92" s="1">
        <v>1960</v>
      </c>
      <c r="B92" s="1" t="s">
        <v>850</v>
      </c>
      <c r="C92" s="1">
        <v>7</v>
      </c>
      <c r="D92" s="1" t="s">
        <v>851</v>
      </c>
      <c r="E92" s="1" t="s">
        <v>852</v>
      </c>
      <c r="F92" s="1">
        <v>52.078600000000002</v>
      </c>
      <c r="G92" s="1">
        <v>-1.01694</v>
      </c>
      <c r="H92" s="1" t="s">
        <v>853</v>
      </c>
      <c r="I92" s="1" t="s">
        <v>854</v>
      </c>
      <c r="J92" s="81">
        <v>22113</v>
      </c>
      <c r="K92" s="81" t="s">
        <v>1018</v>
      </c>
    </row>
    <row r="93" spans="1:11">
      <c r="A93" s="1">
        <v>1960</v>
      </c>
      <c r="B93" s="1" t="s">
        <v>980</v>
      </c>
      <c r="C93" s="1">
        <v>8</v>
      </c>
      <c r="D93" s="1" t="s">
        <v>981</v>
      </c>
      <c r="E93" s="1" t="s">
        <v>982</v>
      </c>
      <c r="F93" s="1">
        <v>41.170499999999997</v>
      </c>
      <c r="G93" s="1">
        <v>-8.6732499999999995</v>
      </c>
      <c r="H93" s="1" t="s">
        <v>983</v>
      </c>
      <c r="I93" s="1" t="s">
        <v>984</v>
      </c>
      <c r="J93" s="81">
        <v>22142</v>
      </c>
      <c r="K93" s="81" t="s">
        <v>1019</v>
      </c>
    </row>
    <row r="94" spans="1:11">
      <c r="A94" s="1">
        <v>1960</v>
      </c>
      <c r="B94" s="1" t="s">
        <v>882</v>
      </c>
      <c r="C94" s="1">
        <v>9</v>
      </c>
      <c r="D94" s="1" t="s">
        <v>883</v>
      </c>
      <c r="E94" s="1" t="s">
        <v>884</v>
      </c>
      <c r="F94" s="1">
        <v>45.615600000000001</v>
      </c>
      <c r="G94" s="1">
        <v>9.28111</v>
      </c>
      <c r="H94" s="1" t="s">
        <v>885</v>
      </c>
      <c r="I94" s="1" t="s">
        <v>886</v>
      </c>
      <c r="J94" s="81">
        <v>22163</v>
      </c>
      <c r="K94" s="81" t="s">
        <v>1020</v>
      </c>
    </row>
    <row r="95" spans="1:11">
      <c r="A95" s="1">
        <v>1960</v>
      </c>
      <c r="B95" s="1" t="s">
        <v>1006</v>
      </c>
      <c r="C95" s="1">
        <v>10</v>
      </c>
      <c r="D95" s="1" t="s">
        <v>1021</v>
      </c>
      <c r="E95" s="1" t="s">
        <v>1022</v>
      </c>
      <c r="F95" s="1">
        <v>33.936999999999998</v>
      </c>
      <c r="G95" s="1">
        <v>-117.273</v>
      </c>
      <c r="H95" s="1" t="s">
        <v>77</v>
      </c>
      <c r="I95" s="1" t="s">
        <v>1010</v>
      </c>
      <c r="J95" s="81">
        <v>22240</v>
      </c>
      <c r="K95" s="81" t="s">
        <v>1023</v>
      </c>
    </row>
    <row r="96" spans="1:11">
      <c r="A96" s="1">
        <v>1961</v>
      </c>
      <c r="B96" s="1" t="s">
        <v>856</v>
      </c>
      <c r="C96" s="1">
        <v>1</v>
      </c>
      <c r="D96" s="1" t="s">
        <v>857</v>
      </c>
      <c r="E96" s="1" t="s">
        <v>858</v>
      </c>
      <c r="F96" s="1">
        <v>43.734699999999997</v>
      </c>
      <c r="G96" s="1">
        <v>7.42056</v>
      </c>
      <c r="H96" s="1" t="s">
        <v>859</v>
      </c>
      <c r="I96" s="1" t="s">
        <v>860</v>
      </c>
      <c r="J96" s="81">
        <v>22415</v>
      </c>
      <c r="K96" s="81" t="s">
        <v>1024</v>
      </c>
    </row>
    <row r="97" spans="1:11">
      <c r="A97" s="1">
        <v>1961</v>
      </c>
      <c r="B97" s="1" t="s">
        <v>914</v>
      </c>
      <c r="C97" s="1">
        <v>2</v>
      </c>
      <c r="D97" s="1" t="s">
        <v>915</v>
      </c>
      <c r="E97" s="1" t="s">
        <v>916</v>
      </c>
      <c r="F97" s="1">
        <v>52.388800000000003</v>
      </c>
      <c r="G97" s="1">
        <v>4.5409199999999998</v>
      </c>
      <c r="H97" s="1" t="s">
        <v>917</v>
      </c>
      <c r="I97" s="1" t="s">
        <v>918</v>
      </c>
      <c r="J97" s="81">
        <v>22423</v>
      </c>
      <c r="K97" s="81" t="s">
        <v>1025</v>
      </c>
    </row>
    <row r="98" spans="1:11">
      <c r="A98" s="1">
        <v>1961</v>
      </c>
      <c r="B98" s="1" t="s">
        <v>872</v>
      </c>
      <c r="C98" s="1">
        <v>3</v>
      </c>
      <c r="D98" s="1" t="s">
        <v>873</v>
      </c>
      <c r="E98" s="1" t="s">
        <v>874</v>
      </c>
      <c r="F98" s="1">
        <v>50.437199999999997</v>
      </c>
      <c r="G98" s="1">
        <v>5.9713900000000004</v>
      </c>
      <c r="H98" s="1" t="s">
        <v>875</v>
      </c>
      <c r="I98" s="1" t="s">
        <v>244</v>
      </c>
      <c r="J98" s="81">
        <v>22450</v>
      </c>
      <c r="K98" s="81" t="s">
        <v>1026</v>
      </c>
    </row>
    <row r="99" spans="1:11">
      <c r="A99" s="1">
        <v>1961</v>
      </c>
      <c r="B99" s="1" t="s">
        <v>877</v>
      </c>
      <c r="C99" s="1">
        <v>4</v>
      </c>
      <c r="D99" s="1" t="s">
        <v>878</v>
      </c>
      <c r="E99" s="1" t="s">
        <v>879</v>
      </c>
      <c r="F99" s="1">
        <v>49.254199999999997</v>
      </c>
      <c r="G99" s="1">
        <v>3.9308299999999998</v>
      </c>
      <c r="H99" s="1" t="s">
        <v>880</v>
      </c>
      <c r="I99" s="1" t="s">
        <v>755</v>
      </c>
      <c r="J99" s="81">
        <v>22464</v>
      </c>
      <c r="K99" s="81" t="s">
        <v>1027</v>
      </c>
    </row>
    <row r="100" spans="1:11">
      <c r="A100" s="1">
        <v>1961</v>
      </c>
      <c r="B100" s="1" t="s">
        <v>850</v>
      </c>
      <c r="C100" s="1">
        <v>5</v>
      </c>
      <c r="D100" s="1" t="s">
        <v>947</v>
      </c>
      <c r="E100" s="1" t="s">
        <v>948</v>
      </c>
      <c r="F100" s="1">
        <v>53.476900000000001</v>
      </c>
      <c r="G100" s="1">
        <v>-2.9405600000000001</v>
      </c>
      <c r="H100" s="1" t="s">
        <v>949</v>
      </c>
      <c r="I100" s="1" t="s">
        <v>854</v>
      </c>
      <c r="J100" s="81">
        <v>22477</v>
      </c>
      <c r="K100" s="81" t="s">
        <v>1028</v>
      </c>
    </row>
    <row r="101" spans="1:11">
      <c r="A101" s="1">
        <v>1961</v>
      </c>
      <c r="B101" s="1" t="s">
        <v>893</v>
      </c>
      <c r="C101" s="1">
        <v>6</v>
      </c>
      <c r="D101" s="1" t="s">
        <v>894</v>
      </c>
      <c r="E101" s="1" t="s">
        <v>895</v>
      </c>
      <c r="F101" s="1">
        <v>50.335599999999999</v>
      </c>
      <c r="G101" s="1">
        <v>6.9474999999999998</v>
      </c>
      <c r="H101" s="1" t="s">
        <v>896</v>
      </c>
      <c r="I101" s="1" t="s">
        <v>761</v>
      </c>
      <c r="J101" s="81">
        <v>22499</v>
      </c>
      <c r="K101" s="81" t="s">
        <v>1029</v>
      </c>
    </row>
    <row r="102" spans="1:11">
      <c r="A102" s="1">
        <v>1961</v>
      </c>
      <c r="B102" s="1" t="s">
        <v>882</v>
      </c>
      <c r="C102" s="1">
        <v>7</v>
      </c>
      <c r="D102" s="1" t="s">
        <v>883</v>
      </c>
      <c r="E102" s="1" t="s">
        <v>884</v>
      </c>
      <c r="F102" s="1">
        <v>45.615600000000001</v>
      </c>
      <c r="G102" s="1">
        <v>9.28111</v>
      </c>
      <c r="H102" s="1" t="s">
        <v>885</v>
      </c>
      <c r="I102" s="1" t="s">
        <v>886</v>
      </c>
      <c r="J102" s="81">
        <v>22534</v>
      </c>
      <c r="K102" s="81" t="s">
        <v>1030</v>
      </c>
    </row>
    <row r="103" spans="1:11">
      <c r="A103" s="1">
        <v>1961</v>
      </c>
      <c r="B103" s="1" t="s">
        <v>1006</v>
      </c>
      <c r="C103" s="1">
        <v>8</v>
      </c>
      <c r="D103" s="1" t="s">
        <v>1031</v>
      </c>
      <c r="E103" s="1" t="s">
        <v>1032</v>
      </c>
      <c r="F103" s="1">
        <v>42.3369</v>
      </c>
      <c r="G103" s="1">
        <v>-76.927199999999999</v>
      </c>
      <c r="H103" s="1" t="s">
        <v>752</v>
      </c>
      <c r="I103" s="1" t="s">
        <v>1010</v>
      </c>
      <c r="J103" s="81">
        <v>22562</v>
      </c>
      <c r="K103" s="81" t="s">
        <v>1033</v>
      </c>
    </row>
    <row r="104" spans="1:11">
      <c r="A104" s="1">
        <v>1962</v>
      </c>
      <c r="B104" s="1" t="s">
        <v>914</v>
      </c>
      <c r="C104" s="1">
        <v>1</v>
      </c>
      <c r="D104" s="1" t="s">
        <v>915</v>
      </c>
      <c r="E104" s="1" t="s">
        <v>916</v>
      </c>
      <c r="F104" s="1">
        <v>52.388800000000003</v>
      </c>
      <c r="G104" s="1">
        <v>4.5409199999999998</v>
      </c>
      <c r="H104" s="1" t="s">
        <v>917</v>
      </c>
      <c r="I104" s="1" t="s">
        <v>918</v>
      </c>
      <c r="J104" s="81">
        <v>22786</v>
      </c>
      <c r="K104" s="81" t="s">
        <v>1034</v>
      </c>
    </row>
    <row r="105" spans="1:11">
      <c r="A105" s="1">
        <v>1962</v>
      </c>
      <c r="B105" s="1" t="s">
        <v>856</v>
      </c>
      <c r="C105" s="1">
        <v>2</v>
      </c>
      <c r="D105" s="1" t="s">
        <v>857</v>
      </c>
      <c r="E105" s="1" t="s">
        <v>858</v>
      </c>
      <c r="F105" s="1">
        <v>43.734699999999997</v>
      </c>
      <c r="G105" s="1">
        <v>7.42056</v>
      </c>
      <c r="H105" s="1" t="s">
        <v>859</v>
      </c>
      <c r="I105" s="1" t="s">
        <v>860</v>
      </c>
      <c r="J105" s="81">
        <v>22800</v>
      </c>
      <c r="K105" s="81" t="s">
        <v>1035</v>
      </c>
    </row>
    <row r="106" spans="1:11">
      <c r="A106" s="1">
        <v>1962</v>
      </c>
      <c r="B106" s="1" t="s">
        <v>872</v>
      </c>
      <c r="C106" s="1">
        <v>3</v>
      </c>
      <c r="D106" s="1" t="s">
        <v>873</v>
      </c>
      <c r="E106" s="1" t="s">
        <v>874</v>
      </c>
      <c r="F106" s="1">
        <v>50.437199999999997</v>
      </c>
      <c r="G106" s="1">
        <v>5.9713900000000004</v>
      </c>
      <c r="H106" s="1" t="s">
        <v>875</v>
      </c>
      <c r="I106" s="1" t="s">
        <v>244</v>
      </c>
      <c r="J106" s="81">
        <v>22814</v>
      </c>
      <c r="K106" s="81" t="s">
        <v>1036</v>
      </c>
    </row>
    <row r="107" spans="1:11">
      <c r="A107" s="1">
        <v>1962</v>
      </c>
      <c r="B107" s="1" t="s">
        <v>877</v>
      </c>
      <c r="C107" s="1">
        <v>4</v>
      </c>
      <c r="D107" s="1" t="s">
        <v>908</v>
      </c>
      <c r="E107" s="1" t="s">
        <v>909</v>
      </c>
      <c r="F107" s="1">
        <v>49.330599999999997</v>
      </c>
      <c r="G107" s="1">
        <v>1.00458</v>
      </c>
      <c r="H107" s="1" t="s">
        <v>910</v>
      </c>
      <c r="I107" s="1" t="s">
        <v>755</v>
      </c>
      <c r="J107" s="81">
        <v>22835</v>
      </c>
      <c r="K107" s="81" t="s">
        <v>1037</v>
      </c>
    </row>
    <row r="108" spans="1:11">
      <c r="A108" s="1">
        <v>1962</v>
      </c>
      <c r="B108" s="1" t="s">
        <v>850</v>
      </c>
      <c r="C108" s="1">
        <v>5</v>
      </c>
      <c r="D108" s="1" t="s">
        <v>947</v>
      </c>
      <c r="E108" s="1" t="s">
        <v>948</v>
      </c>
      <c r="F108" s="1">
        <v>53.476900000000001</v>
      </c>
      <c r="G108" s="1">
        <v>-2.9405600000000001</v>
      </c>
      <c r="H108" s="1" t="s">
        <v>949</v>
      </c>
      <c r="I108" s="1" t="s">
        <v>854</v>
      </c>
      <c r="J108" s="81">
        <v>22848</v>
      </c>
      <c r="K108" s="81" t="s">
        <v>1038</v>
      </c>
    </row>
    <row r="109" spans="1:11">
      <c r="A109" s="1">
        <v>1962</v>
      </c>
      <c r="B109" s="1" t="s">
        <v>893</v>
      </c>
      <c r="C109" s="1">
        <v>6</v>
      </c>
      <c r="D109" s="1" t="s">
        <v>894</v>
      </c>
      <c r="E109" s="1" t="s">
        <v>895</v>
      </c>
      <c r="F109" s="1">
        <v>50.335599999999999</v>
      </c>
      <c r="G109" s="1">
        <v>6.9474999999999998</v>
      </c>
      <c r="H109" s="1" t="s">
        <v>896</v>
      </c>
      <c r="I109" s="1" t="s">
        <v>761</v>
      </c>
      <c r="J109" s="81">
        <v>22863</v>
      </c>
      <c r="K109" s="81" t="s">
        <v>1039</v>
      </c>
    </row>
    <row r="110" spans="1:11">
      <c r="A110" s="1">
        <v>1962</v>
      </c>
      <c r="B110" s="1" t="s">
        <v>882</v>
      </c>
      <c r="C110" s="1">
        <v>7</v>
      </c>
      <c r="D110" s="1" t="s">
        <v>883</v>
      </c>
      <c r="E110" s="1" t="s">
        <v>884</v>
      </c>
      <c r="F110" s="1">
        <v>45.615600000000001</v>
      </c>
      <c r="G110" s="1">
        <v>9.28111</v>
      </c>
      <c r="H110" s="1" t="s">
        <v>885</v>
      </c>
      <c r="I110" s="1" t="s">
        <v>886</v>
      </c>
      <c r="J110" s="81">
        <v>22905</v>
      </c>
      <c r="K110" s="81" t="s">
        <v>1040</v>
      </c>
    </row>
    <row r="111" spans="1:11">
      <c r="A111" s="1">
        <v>1962</v>
      </c>
      <c r="B111" s="1" t="s">
        <v>1006</v>
      </c>
      <c r="C111" s="1">
        <v>8</v>
      </c>
      <c r="D111" s="1" t="s">
        <v>1031</v>
      </c>
      <c r="E111" s="1" t="s">
        <v>1032</v>
      </c>
      <c r="F111" s="1">
        <v>42.3369</v>
      </c>
      <c r="G111" s="1">
        <v>-76.927199999999999</v>
      </c>
      <c r="H111" s="1" t="s">
        <v>752</v>
      </c>
      <c r="I111" s="1" t="s">
        <v>1010</v>
      </c>
      <c r="J111" s="81">
        <v>22926</v>
      </c>
      <c r="K111" s="81" t="s">
        <v>1041</v>
      </c>
    </row>
    <row r="112" spans="1:11">
      <c r="A112" s="1">
        <v>1962</v>
      </c>
      <c r="B112" s="1" t="s">
        <v>1042</v>
      </c>
      <c r="C112" s="1">
        <v>9</v>
      </c>
      <c r="D112" s="1" t="s">
        <v>1043</v>
      </c>
      <c r="E112" s="1" t="s">
        <v>1044</v>
      </c>
      <c r="F112" s="1">
        <v>-33.0486</v>
      </c>
      <c r="G112" s="1">
        <v>27.8736</v>
      </c>
      <c r="H112" s="1" t="s">
        <v>1045</v>
      </c>
      <c r="I112" s="1" t="s">
        <v>1046</v>
      </c>
      <c r="J112" s="81">
        <v>23009</v>
      </c>
      <c r="K112" s="81" t="s">
        <v>1047</v>
      </c>
    </row>
    <row r="113" spans="1:11">
      <c r="A113" s="1">
        <v>1963</v>
      </c>
      <c r="B113" s="1" t="s">
        <v>856</v>
      </c>
      <c r="C113" s="1">
        <v>1</v>
      </c>
      <c r="D113" s="1" t="s">
        <v>857</v>
      </c>
      <c r="E113" s="1" t="s">
        <v>858</v>
      </c>
      <c r="F113" s="1">
        <v>43.734699999999997</v>
      </c>
      <c r="G113" s="1">
        <v>7.42056</v>
      </c>
      <c r="H113" s="1" t="s">
        <v>859</v>
      </c>
      <c r="I113" s="1" t="s">
        <v>860</v>
      </c>
      <c r="J113" s="81">
        <v>23157</v>
      </c>
      <c r="K113" s="81" t="s">
        <v>1048</v>
      </c>
    </row>
    <row r="114" spans="1:11">
      <c r="A114" s="1">
        <v>1963</v>
      </c>
      <c r="B114" s="1" t="s">
        <v>872</v>
      </c>
      <c r="C114" s="1">
        <v>2</v>
      </c>
      <c r="D114" s="1" t="s">
        <v>873</v>
      </c>
      <c r="E114" s="1" t="s">
        <v>874</v>
      </c>
      <c r="F114" s="1">
        <v>50.437199999999997</v>
      </c>
      <c r="G114" s="1">
        <v>5.9713900000000004</v>
      </c>
      <c r="H114" s="1" t="s">
        <v>875</v>
      </c>
      <c r="I114" s="1" t="s">
        <v>244</v>
      </c>
      <c r="J114" s="81">
        <v>23171</v>
      </c>
      <c r="K114" s="81" t="s">
        <v>1049</v>
      </c>
    </row>
    <row r="115" spans="1:11">
      <c r="A115" s="1">
        <v>1963</v>
      </c>
      <c r="B115" s="1" t="s">
        <v>914</v>
      </c>
      <c r="C115" s="1">
        <v>3</v>
      </c>
      <c r="D115" s="1" t="s">
        <v>915</v>
      </c>
      <c r="E115" s="1" t="s">
        <v>916</v>
      </c>
      <c r="F115" s="1">
        <v>52.388800000000003</v>
      </c>
      <c r="G115" s="1">
        <v>4.5409199999999998</v>
      </c>
      <c r="H115" s="1" t="s">
        <v>917</v>
      </c>
      <c r="I115" s="1" t="s">
        <v>918</v>
      </c>
      <c r="J115" s="81">
        <v>23185</v>
      </c>
      <c r="K115" s="81" t="s">
        <v>1050</v>
      </c>
    </row>
    <row r="116" spans="1:11">
      <c r="A116" s="1">
        <v>1963</v>
      </c>
      <c r="B116" s="1" t="s">
        <v>877</v>
      </c>
      <c r="C116" s="1">
        <v>4</v>
      </c>
      <c r="D116" s="1" t="s">
        <v>878</v>
      </c>
      <c r="E116" s="1" t="s">
        <v>879</v>
      </c>
      <c r="F116" s="1">
        <v>49.254199999999997</v>
      </c>
      <c r="G116" s="1">
        <v>3.9308299999999998</v>
      </c>
      <c r="H116" s="1" t="s">
        <v>880</v>
      </c>
      <c r="I116" s="1" t="s">
        <v>755</v>
      </c>
      <c r="J116" s="81">
        <v>23192</v>
      </c>
      <c r="K116" s="81" t="s">
        <v>1051</v>
      </c>
    </row>
    <row r="117" spans="1:11">
      <c r="A117" s="1">
        <v>1963</v>
      </c>
      <c r="B117" s="1" t="s">
        <v>850</v>
      </c>
      <c r="C117" s="1">
        <v>5</v>
      </c>
      <c r="D117" s="1" t="s">
        <v>851</v>
      </c>
      <c r="E117" s="1" t="s">
        <v>852</v>
      </c>
      <c r="F117" s="1">
        <v>52.078600000000002</v>
      </c>
      <c r="G117" s="1">
        <v>-1.01694</v>
      </c>
      <c r="H117" s="1" t="s">
        <v>853</v>
      </c>
      <c r="I117" s="1" t="s">
        <v>854</v>
      </c>
      <c r="J117" s="81">
        <v>23212</v>
      </c>
      <c r="K117" s="81" t="s">
        <v>1052</v>
      </c>
    </row>
    <row r="118" spans="1:11">
      <c r="A118" s="1">
        <v>1963</v>
      </c>
      <c r="B118" s="1" t="s">
        <v>893</v>
      </c>
      <c r="C118" s="1">
        <v>6</v>
      </c>
      <c r="D118" s="1" t="s">
        <v>894</v>
      </c>
      <c r="E118" s="1" t="s">
        <v>895</v>
      </c>
      <c r="F118" s="1">
        <v>50.335599999999999</v>
      </c>
      <c r="G118" s="1">
        <v>6.9474999999999998</v>
      </c>
      <c r="H118" s="1" t="s">
        <v>896</v>
      </c>
      <c r="I118" s="1" t="s">
        <v>761</v>
      </c>
      <c r="J118" s="81">
        <v>23227</v>
      </c>
      <c r="K118" s="81" t="s">
        <v>1053</v>
      </c>
    </row>
    <row r="119" spans="1:11">
      <c r="A119" s="1">
        <v>1963</v>
      </c>
      <c r="B119" s="1" t="s">
        <v>882</v>
      </c>
      <c r="C119" s="1">
        <v>7</v>
      </c>
      <c r="D119" s="1" t="s">
        <v>883</v>
      </c>
      <c r="E119" s="1" t="s">
        <v>884</v>
      </c>
      <c r="F119" s="1">
        <v>45.615600000000001</v>
      </c>
      <c r="G119" s="1">
        <v>9.28111</v>
      </c>
      <c r="H119" s="1" t="s">
        <v>885</v>
      </c>
      <c r="I119" s="1" t="s">
        <v>886</v>
      </c>
      <c r="J119" s="81">
        <v>23262</v>
      </c>
      <c r="K119" s="81" t="s">
        <v>1054</v>
      </c>
    </row>
    <row r="120" spans="1:11">
      <c r="A120" s="1">
        <v>1963</v>
      </c>
      <c r="B120" s="1" t="s">
        <v>1006</v>
      </c>
      <c r="C120" s="1">
        <v>8</v>
      </c>
      <c r="D120" s="1" t="s">
        <v>1031</v>
      </c>
      <c r="E120" s="1" t="s">
        <v>1032</v>
      </c>
      <c r="F120" s="1">
        <v>42.3369</v>
      </c>
      <c r="G120" s="1">
        <v>-76.927199999999999</v>
      </c>
      <c r="H120" s="1" t="s">
        <v>752</v>
      </c>
      <c r="I120" s="1" t="s">
        <v>1010</v>
      </c>
      <c r="J120" s="81">
        <v>23290</v>
      </c>
      <c r="K120" s="81" t="s">
        <v>1055</v>
      </c>
    </row>
    <row r="121" spans="1:11">
      <c r="A121" s="1">
        <v>1963</v>
      </c>
      <c r="B121" s="1" t="s">
        <v>1056</v>
      </c>
      <c r="C121" s="1">
        <v>9</v>
      </c>
      <c r="D121" s="1" t="s">
        <v>1057</v>
      </c>
      <c r="E121" s="1" t="s">
        <v>1058</v>
      </c>
      <c r="F121" s="1">
        <v>19.432700000000001</v>
      </c>
      <c r="G121" s="1">
        <v>-99.133300000000006</v>
      </c>
      <c r="H121" s="1" t="s">
        <v>1059</v>
      </c>
      <c r="I121" s="1" t="s">
        <v>1060</v>
      </c>
      <c r="J121" s="81">
        <v>23311</v>
      </c>
      <c r="K121" s="81" t="s">
        <v>1061</v>
      </c>
    </row>
    <row r="122" spans="1:11">
      <c r="A122" s="1">
        <v>1963</v>
      </c>
      <c r="B122" s="1" t="s">
        <v>1042</v>
      </c>
      <c r="C122" s="1">
        <v>10</v>
      </c>
      <c r="D122" s="1" t="s">
        <v>1043</v>
      </c>
      <c r="E122" s="1" t="s">
        <v>1044</v>
      </c>
      <c r="F122" s="1">
        <v>-33.0486</v>
      </c>
      <c r="G122" s="1">
        <v>27.8736</v>
      </c>
      <c r="H122" s="1" t="s">
        <v>1045</v>
      </c>
      <c r="I122" s="1" t="s">
        <v>1046</v>
      </c>
      <c r="J122" s="81">
        <v>23373</v>
      </c>
      <c r="K122" s="81" t="s">
        <v>1062</v>
      </c>
    </row>
    <row r="123" spans="1:11">
      <c r="A123" s="1">
        <v>1964</v>
      </c>
      <c r="B123" s="1" t="s">
        <v>856</v>
      </c>
      <c r="C123" s="1">
        <v>1</v>
      </c>
      <c r="D123" s="1" t="s">
        <v>857</v>
      </c>
      <c r="E123" s="1" t="s">
        <v>858</v>
      </c>
      <c r="F123" s="1">
        <v>43.734699999999997</v>
      </c>
      <c r="G123" s="1">
        <v>7.42056</v>
      </c>
      <c r="H123" s="1" t="s">
        <v>859</v>
      </c>
      <c r="I123" s="1" t="s">
        <v>860</v>
      </c>
      <c r="J123" s="81">
        <v>23507</v>
      </c>
      <c r="K123" s="81" t="s">
        <v>1063</v>
      </c>
    </row>
    <row r="124" spans="1:11">
      <c r="A124" s="1">
        <v>1964</v>
      </c>
      <c r="B124" s="1" t="s">
        <v>914</v>
      </c>
      <c r="C124" s="1">
        <v>2</v>
      </c>
      <c r="D124" s="1" t="s">
        <v>915</v>
      </c>
      <c r="E124" s="1" t="s">
        <v>916</v>
      </c>
      <c r="F124" s="1">
        <v>52.388800000000003</v>
      </c>
      <c r="G124" s="1">
        <v>4.5409199999999998</v>
      </c>
      <c r="H124" s="1" t="s">
        <v>917</v>
      </c>
      <c r="I124" s="1" t="s">
        <v>918</v>
      </c>
      <c r="J124" s="81">
        <v>23521</v>
      </c>
      <c r="K124" s="81" t="s">
        <v>1064</v>
      </c>
    </row>
    <row r="125" spans="1:11">
      <c r="A125" s="1">
        <v>1964</v>
      </c>
      <c r="B125" s="1" t="s">
        <v>872</v>
      </c>
      <c r="C125" s="1">
        <v>3</v>
      </c>
      <c r="D125" s="1" t="s">
        <v>873</v>
      </c>
      <c r="E125" s="1" t="s">
        <v>874</v>
      </c>
      <c r="F125" s="1">
        <v>50.437199999999997</v>
      </c>
      <c r="G125" s="1">
        <v>5.9713900000000004</v>
      </c>
      <c r="H125" s="1" t="s">
        <v>875</v>
      </c>
      <c r="I125" s="1" t="s">
        <v>244</v>
      </c>
      <c r="J125" s="81">
        <v>23542</v>
      </c>
      <c r="K125" s="81" t="s">
        <v>1065</v>
      </c>
    </row>
    <row r="126" spans="1:11">
      <c r="A126" s="1">
        <v>1964</v>
      </c>
      <c r="B126" s="1" t="s">
        <v>877</v>
      </c>
      <c r="C126" s="1">
        <v>4</v>
      </c>
      <c r="D126" s="1" t="s">
        <v>908</v>
      </c>
      <c r="E126" s="1" t="s">
        <v>909</v>
      </c>
      <c r="F126" s="1">
        <v>49.330599999999997</v>
      </c>
      <c r="G126" s="1">
        <v>1.00458</v>
      </c>
      <c r="H126" s="1" t="s">
        <v>910</v>
      </c>
      <c r="I126" s="1" t="s">
        <v>755</v>
      </c>
      <c r="J126" s="81">
        <v>23556</v>
      </c>
      <c r="K126" s="81" t="s">
        <v>1066</v>
      </c>
    </row>
    <row r="127" spans="1:11">
      <c r="A127" s="1">
        <v>1964</v>
      </c>
      <c r="B127" s="1" t="s">
        <v>850</v>
      </c>
      <c r="C127" s="1">
        <v>5</v>
      </c>
      <c r="D127" s="1" t="s">
        <v>1067</v>
      </c>
      <c r="E127" s="1" t="s">
        <v>1068</v>
      </c>
      <c r="F127" s="1">
        <v>51.356900000000003</v>
      </c>
      <c r="G127" s="1">
        <v>0.26305600000000001</v>
      </c>
      <c r="H127" s="1" t="s">
        <v>1069</v>
      </c>
      <c r="I127" s="1" t="s">
        <v>854</v>
      </c>
      <c r="J127" s="81">
        <v>23569</v>
      </c>
      <c r="K127" s="81" t="s">
        <v>1070</v>
      </c>
    </row>
    <row r="128" spans="1:11">
      <c r="A128" s="1">
        <v>1964</v>
      </c>
      <c r="B128" s="1" t="s">
        <v>893</v>
      </c>
      <c r="C128" s="1">
        <v>6</v>
      </c>
      <c r="D128" s="1" t="s">
        <v>894</v>
      </c>
      <c r="E128" s="1" t="s">
        <v>895</v>
      </c>
      <c r="F128" s="1">
        <v>50.335599999999999</v>
      </c>
      <c r="G128" s="1">
        <v>6.9474999999999998</v>
      </c>
      <c r="H128" s="1" t="s">
        <v>896</v>
      </c>
      <c r="I128" s="1" t="s">
        <v>761</v>
      </c>
      <c r="J128" s="81">
        <v>23591</v>
      </c>
      <c r="K128" s="81" t="s">
        <v>1071</v>
      </c>
    </row>
    <row r="129" spans="1:11">
      <c r="A129" s="1">
        <v>1964</v>
      </c>
      <c r="B129" s="1" t="s">
        <v>1072</v>
      </c>
      <c r="C129" s="1">
        <v>7</v>
      </c>
      <c r="D129" s="1" t="s">
        <v>1073</v>
      </c>
      <c r="E129" s="1" t="s">
        <v>1074</v>
      </c>
      <c r="F129" s="1">
        <v>47.203899999999997</v>
      </c>
      <c r="G129" s="1">
        <v>14.7478</v>
      </c>
      <c r="H129" s="1" t="s">
        <v>1075</v>
      </c>
      <c r="I129" s="1" t="s">
        <v>1076</v>
      </c>
      <c r="J129" s="81">
        <v>23612</v>
      </c>
      <c r="K129" s="81" t="s">
        <v>1077</v>
      </c>
    </row>
    <row r="130" spans="1:11">
      <c r="A130" s="1">
        <v>1964</v>
      </c>
      <c r="B130" s="1" t="s">
        <v>882</v>
      </c>
      <c r="C130" s="1">
        <v>8</v>
      </c>
      <c r="D130" s="1" t="s">
        <v>883</v>
      </c>
      <c r="E130" s="1" t="s">
        <v>884</v>
      </c>
      <c r="F130" s="1">
        <v>45.615600000000001</v>
      </c>
      <c r="G130" s="1">
        <v>9.28111</v>
      </c>
      <c r="H130" s="1" t="s">
        <v>885</v>
      </c>
      <c r="I130" s="1" t="s">
        <v>886</v>
      </c>
      <c r="J130" s="81">
        <v>23626</v>
      </c>
      <c r="K130" s="81" t="s">
        <v>1078</v>
      </c>
    </row>
    <row r="131" spans="1:11">
      <c r="A131" s="1">
        <v>1964</v>
      </c>
      <c r="B131" s="1" t="s">
        <v>1006</v>
      </c>
      <c r="C131" s="1">
        <v>9</v>
      </c>
      <c r="D131" s="1" t="s">
        <v>1031</v>
      </c>
      <c r="E131" s="1" t="s">
        <v>1032</v>
      </c>
      <c r="F131" s="1">
        <v>42.3369</v>
      </c>
      <c r="G131" s="1">
        <v>-76.927199999999999</v>
      </c>
      <c r="H131" s="1" t="s">
        <v>752</v>
      </c>
      <c r="I131" s="1" t="s">
        <v>1010</v>
      </c>
      <c r="J131" s="81">
        <v>23654</v>
      </c>
      <c r="K131" s="81" t="s">
        <v>1079</v>
      </c>
    </row>
    <row r="132" spans="1:11">
      <c r="A132" s="1">
        <v>1964</v>
      </c>
      <c r="B132" s="1" t="s">
        <v>1056</v>
      </c>
      <c r="C132" s="1">
        <v>10</v>
      </c>
      <c r="D132" s="1" t="s">
        <v>1057</v>
      </c>
      <c r="E132" s="1" t="s">
        <v>1058</v>
      </c>
      <c r="F132" s="1">
        <v>19.432700000000001</v>
      </c>
      <c r="G132" s="1">
        <v>-99.133300000000006</v>
      </c>
      <c r="H132" s="1" t="s">
        <v>1059</v>
      </c>
      <c r="I132" s="1" t="s">
        <v>1060</v>
      </c>
      <c r="J132" s="81">
        <v>23675</v>
      </c>
      <c r="K132" s="81" t="s">
        <v>1080</v>
      </c>
    </row>
    <row r="133" spans="1:11">
      <c r="A133" s="1">
        <v>1965</v>
      </c>
      <c r="B133" s="1" t="s">
        <v>1042</v>
      </c>
      <c r="C133" s="1">
        <v>1</v>
      </c>
      <c r="D133" s="1" t="s">
        <v>1043</v>
      </c>
      <c r="E133" s="1" t="s">
        <v>1044</v>
      </c>
      <c r="F133" s="1">
        <v>-33.0486</v>
      </c>
      <c r="G133" s="1">
        <v>27.8736</v>
      </c>
      <c r="H133" s="1" t="s">
        <v>1045</v>
      </c>
      <c r="I133" s="1" t="s">
        <v>1046</v>
      </c>
      <c r="J133" s="81">
        <v>23743</v>
      </c>
      <c r="K133" s="81" t="s">
        <v>1081</v>
      </c>
    </row>
    <row r="134" spans="1:11">
      <c r="A134" s="1">
        <v>1965</v>
      </c>
      <c r="B134" s="1" t="s">
        <v>856</v>
      </c>
      <c r="C134" s="1">
        <v>2</v>
      </c>
      <c r="D134" s="1" t="s">
        <v>857</v>
      </c>
      <c r="E134" s="1" t="s">
        <v>858</v>
      </c>
      <c r="F134" s="1">
        <v>43.734699999999997</v>
      </c>
      <c r="G134" s="1">
        <v>7.42056</v>
      </c>
      <c r="H134" s="1" t="s">
        <v>859</v>
      </c>
      <c r="I134" s="1" t="s">
        <v>860</v>
      </c>
      <c r="J134" s="81">
        <v>23892</v>
      </c>
      <c r="K134" s="81" t="s">
        <v>1082</v>
      </c>
    </row>
    <row r="135" spans="1:11">
      <c r="A135" s="1">
        <v>1965</v>
      </c>
      <c r="B135" s="1" t="s">
        <v>872</v>
      </c>
      <c r="C135" s="1">
        <v>3</v>
      </c>
      <c r="D135" s="1" t="s">
        <v>873</v>
      </c>
      <c r="E135" s="1" t="s">
        <v>874</v>
      </c>
      <c r="F135" s="1">
        <v>50.437199999999997</v>
      </c>
      <c r="G135" s="1">
        <v>5.9713900000000004</v>
      </c>
      <c r="H135" s="1" t="s">
        <v>875</v>
      </c>
      <c r="I135" s="1" t="s">
        <v>244</v>
      </c>
      <c r="J135" s="81">
        <v>23906</v>
      </c>
      <c r="K135" s="81" t="s">
        <v>1083</v>
      </c>
    </row>
    <row r="136" spans="1:11">
      <c r="A136" s="1">
        <v>1965</v>
      </c>
      <c r="B136" s="1" t="s">
        <v>877</v>
      </c>
      <c r="C136" s="1">
        <v>4</v>
      </c>
      <c r="D136" s="1" t="s">
        <v>1084</v>
      </c>
      <c r="E136" s="1" t="s">
        <v>1085</v>
      </c>
      <c r="F136" s="1">
        <v>45.747199999999999</v>
      </c>
      <c r="G136" s="1">
        <v>3.0388899999999999</v>
      </c>
      <c r="H136" s="1" t="s">
        <v>1086</v>
      </c>
      <c r="I136" s="1" t="s">
        <v>755</v>
      </c>
      <c r="J136" s="81">
        <v>23920</v>
      </c>
      <c r="K136" s="81" t="s">
        <v>1087</v>
      </c>
    </row>
    <row r="137" spans="1:11">
      <c r="A137" s="1">
        <v>1965</v>
      </c>
      <c r="B137" s="1" t="s">
        <v>850</v>
      </c>
      <c r="C137" s="1">
        <v>5</v>
      </c>
      <c r="D137" s="1" t="s">
        <v>851</v>
      </c>
      <c r="E137" s="1" t="s">
        <v>852</v>
      </c>
      <c r="F137" s="1">
        <v>52.078600000000002</v>
      </c>
      <c r="G137" s="1">
        <v>-1.01694</v>
      </c>
      <c r="H137" s="1" t="s">
        <v>853</v>
      </c>
      <c r="I137" s="1" t="s">
        <v>854</v>
      </c>
      <c r="J137" s="81">
        <v>23933</v>
      </c>
      <c r="K137" s="81" t="s">
        <v>1088</v>
      </c>
    </row>
    <row r="138" spans="1:11">
      <c r="A138" s="1">
        <v>1965</v>
      </c>
      <c r="B138" s="1" t="s">
        <v>914</v>
      </c>
      <c r="C138" s="1">
        <v>6</v>
      </c>
      <c r="D138" s="1" t="s">
        <v>915</v>
      </c>
      <c r="E138" s="1" t="s">
        <v>916</v>
      </c>
      <c r="F138" s="1">
        <v>52.388800000000003</v>
      </c>
      <c r="G138" s="1">
        <v>4.5409199999999998</v>
      </c>
      <c r="H138" s="1" t="s">
        <v>917</v>
      </c>
      <c r="I138" s="1" t="s">
        <v>918</v>
      </c>
      <c r="J138" s="81">
        <v>23941</v>
      </c>
      <c r="K138" s="81" t="s">
        <v>1089</v>
      </c>
    </row>
    <row r="139" spans="1:11">
      <c r="A139" s="1">
        <v>1965</v>
      </c>
      <c r="B139" s="1" t="s">
        <v>893</v>
      </c>
      <c r="C139" s="1">
        <v>7</v>
      </c>
      <c r="D139" s="1" t="s">
        <v>894</v>
      </c>
      <c r="E139" s="1" t="s">
        <v>895</v>
      </c>
      <c r="F139" s="1">
        <v>50.335599999999999</v>
      </c>
      <c r="G139" s="1">
        <v>6.9474999999999998</v>
      </c>
      <c r="H139" s="1" t="s">
        <v>896</v>
      </c>
      <c r="I139" s="1" t="s">
        <v>761</v>
      </c>
      <c r="J139" s="81">
        <v>23955</v>
      </c>
      <c r="K139" s="81" t="s">
        <v>1090</v>
      </c>
    </row>
    <row r="140" spans="1:11">
      <c r="A140" s="1">
        <v>1965</v>
      </c>
      <c r="B140" s="1" t="s">
        <v>882</v>
      </c>
      <c r="C140" s="1">
        <v>8</v>
      </c>
      <c r="D140" s="1" t="s">
        <v>883</v>
      </c>
      <c r="E140" s="1" t="s">
        <v>884</v>
      </c>
      <c r="F140" s="1">
        <v>45.615600000000001</v>
      </c>
      <c r="G140" s="1">
        <v>9.28111</v>
      </c>
      <c r="H140" s="1" t="s">
        <v>885</v>
      </c>
      <c r="I140" s="1" t="s">
        <v>886</v>
      </c>
      <c r="J140" s="81">
        <v>23997</v>
      </c>
      <c r="K140" s="81" t="s">
        <v>1091</v>
      </c>
    </row>
    <row r="141" spans="1:11">
      <c r="A141" s="1">
        <v>1965</v>
      </c>
      <c r="B141" s="1" t="s">
        <v>1006</v>
      </c>
      <c r="C141" s="1">
        <v>9</v>
      </c>
      <c r="D141" s="1" t="s">
        <v>1031</v>
      </c>
      <c r="E141" s="1" t="s">
        <v>1032</v>
      </c>
      <c r="F141" s="1">
        <v>42.3369</v>
      </c>
      <c r="G141" s="1">
        <v>-76.927199999999999</v>
      </c>
      <c r="H141" s="1" t="s">
        <v>752</v>
      </c>
      <c r="I141" s="1" t="s">
        <v>1010</v>
      </c>
      <c r="J141" s="81">
        <v>24018</v>
      </c>
      <c r="K141" s="81" t="s">
        <v>1092</v>
      </c>
    </row>
    <row r="142" spans="1:11">
      <c r="A142" s="1">
        <v>1965</v>
      </c>
      <c r="B142" s="1" t="s">
        <v>1056</v>
      </c>
      <c r="C142" s="1">
        <v>10</v>
      </c>
      <c r="D142" s="1" t="s">
        <v>1057</v>
      </c>
      <c r="E142" s="1" t="s">
        <v>1058</v>
      </c>
      <c r="F142" s="1">
        <v>19.432700000000001</v>
      </c>
      <c r="G142" s="1">
        <v>-99.133300000000006</v>
      </c>
      <c r="H142" s="1" t="s">
        <v>1059</v>
      </c>
      <c r="I142" s="1" t="s">
        <v>1060</v>
      </c>
      <c r="J142" s="81">
        <v>24039</v>
      </c>
      <c r="K142" s="81" t="s">
        <v>1093</v>
      </c>
    </row>
    <row r="143" spans="1:11">
      <c r="A143" s="1">
        <v>1966</v>
      </c>
      <c r="B143" s="1" t="s">
        <v>856</v>
      </c>
      <c r="C143" s="1">
        <v>1</v>
      </c>
      <c r="D143" s="1" t="s">
        <v>857</v>
      </c>
      <c r="E143" s="1" t="s">
        <v>858</v>
      </c>
      <c r="F143" s="1">
        <v>43.734699999999997</v>
      </c>
      <c r="G143" s="1">
        <v>7.42056</v>
      </c>
      <c r="H143" s="1" t="s">
        <v>859</v>
      </c>
      <c r="I143" s="1" t="s">
        <v>860</v>
      </c>
      <c r="J143" s="81">
        <v>24249</v>
      </c>
      <c r="K143" s="81" t="s">
        <v>1094</v>
      </c>
    </row>
    <row r="144" spans="1:11">
      <c r="A144" s="1">
        <v>1966</v>
      </c>
      <c r="B144" s="1" t="s">
        <v>872</v>
      </c>
      <c r="C144" s="1">
        <v>2</v>
      </c>
      <c r="D144" s="1" t="s">
        <v>873</v>
      </c>
      <c r="E144" s="1" t="s">
        <v>874</v>
      </c>
      <c r="F144" s="1">
        <v>50.437199999999997</v>
      </c>
      <c r="G144" s="1">
        <v>5.9713900000000004</v>
      </c>
      <c r="H144" s="1" t="s">
        <v>875</v>
      </c>
      <c r="I144" s="1" t="s">
        <v>244</v>
      </c>
      <c r="J144" s="81">
        <v>24270</v>
      </c>
      <c r="K144" s="81" t="s">
        <v>1095</v>
      </c>
    </row>
    <row r="145" spans="1:11">
      <c r="A145" s="1">
        <v>1966</v>
      </c>
      <c r="B145" s="1" t="s">
        <v>877</v>
      </c>
      <c r="C145" s="1">
        <v>3</v>
      </c>
      <c r="D145" s="1" t="s">
        <v>878</v>
      </c>
      <c r="E145" s="1" t="s">
        <v>879</v>
      </c>
      <c r="F145" s="1">
        <v>49.254199999999997</v>
      </c>
      <c r="G145" s="1">
        <v>3.9308299999999998</v>
      </c>
      <c r="H145" s="1" t="s">
        <v>880</v>
      </c>
      <c r="I145" s="1" t="s">
        <v>755</v>
      </c>
      <c r="J145" s="81">
        <v>24291</v>
      </c>
      <c r="K145" s="81" t="s">
        <v>1096</v>
      </c>
    </row>
    <row r="146" spans="1:11">
      <c r="A146" s="1">
        <v>1966</v>
      </c>
      <c r="B146" s="1" t="s">
        <v>850</v>
      </c>
      <c r="C146" s="1">
        <v>4</v>
      </c>
      <c r="D146" s="1" t="s">
        <v>1067</v>
      </c>
      <c r="E146" s="1" t="s">
        <v>1068</v>
      </c>
      <c r="F146" s="1">
        <v>51.356900000000003</v>
      </c>
      <c r="G146" s="1">
        <v>0.26305600000000001</v>
      </c>
      <c r="H146" s="1" t="s">
        <v>1069</v>
      </c>
      <c r="I146" s="1" t="s">
        <v>854</v>
      </c>
      <c r="J146" s="81">
        <v>24304</v>
      </c>
      <c r="K146" s="81" t="s">
        <v>1097</v>
      </c>
    </row>
    <row r="147" spans="1:11">
      <c r="A147" s="1">
        <v>1966</v>
      </c>
      <c r="B147" s="1" t="s">
        <v>914</v>
      </c>
      <c r="C147" s="1">
        <v>5</v>
      </c>
      <c r="D147" s="1" t="s">
        <v>915</v>
      </c>
      <c r="E147" s="1" t="s">
        <v>916</v>
      </c>
      <c r="F147" s="1">
        <v>52.388800000000003</v>
      </c>
      <c r="G147" s="1">
        <v>4.5409199999999998</v>
      </c>
      <c r="H147" s="1" t="s">
        <v>917</v>
      </c>
      <c r="I147" s="1" t="s">
        <v>918</v>
      </c>
      <c r="J147" s="81">
        <v>24312</v>
      </c>
      <c r="K147" s="81" t="s">
        <v>1098</v>
      </c>
    </row>
    <row r="148" spans="1:11">
      <c r="A148" s="1">
        <v>1966</v>
      </c>
      <c r="B148" s="1" t="s">
        <v>893</v>
      </c>
      <c r="C148" s="1">
        <v>6</v>
      </c>
      <c r="D148" s="1" t="s">
        <v>894</v>
      </c>
      <c r="E148" s="1" t="s">
        <v>895</v>
      </c>
      <c r="F148" s="1">
        <v>50.335599999999999</v>
      </c>
      <c r="G148" s="1">
        <v>6.9474999999999998</v>
      </c>
      <c r="H148" s="1" t="s">
        <v>896</v>
      </c>
      <c r="I148" s="1" t="s">
        <v>761</v>
      </c>
      <c r="J148" s="81">
        <v>24326</v>
      </c>
      <c r="K148" s="81" t="s">
        <v>1099</v>
      </c>
    </row>
    <row r="149" spans="1:11">
      <c r="A149" s="1">
        <v>1966</v>
      </c>
      <c r="B149" s="1" t="s">
        <v>882</v>
      </c>
      <c r="C149" s="1">
        <v>7</v>
      </c>
      <c r="D149" s="1" t="s">
        <v>883</v>
      </c>
      <c r="E149" s="1" t="s">
        <v>884</v>
      </c>
      <c r="F149" s="1">
        <v>45.615600000000001</v>
      </c>
      <c r="G149" s="1">
        <v>9.28111</v>
      </c>
      <c r="H149" s="1" t="s">
        <v>885</v>
      </c>
      <c r="I149" s="1" t="s">
        <v>886</v>
      </c>
      <c r="J149" s="81">
        <v>24354</v>
      </c>
      <c r="K149" s="81" t="s">
        <v>1100</v>
      </c>
    </row>
    <row r="150" spans="1:11">
      <c r="A150" s="1">
        <v>1966</v>
      </c>
      <c r="B150" s="1" t="s">
        <v>1006</v>
      </c>
      <c r="C150" s="1">
        <v>8</v>
      </c>
      <c r="D150" s="1" t="s">
        <v>1031</v>
      </c>
      <c r="E150" s="1" t="s">
        <v>1032</v>
      </c>
      <c r="F150" s="1">
        <v>42.3369</v>
      </c>
      <c r="G150" s="1">
        <v>-76.927199999999999</v>
      </c>
      <c r="H150" s="1" t="s">
        <v>752</v>
      </c>
      <c r="I150" s="1" t="s">
        <v>1010</v>
      </c>
      <c r="J150" s="81">
        <v>24382</v>
      </c>
      <c r="K150" s="81" t="s">
        <v>1101</v>
      </c>
    </row>
    <row r="151" spans="1:11">
      <c r="A151" s="1">
        <v>1966</v>
      </c>
      <c r="B151" s="1" t="s">
        <v>1056</v>
      </c>
      <c r="C151" s="1">
        <v>9</v>
      </c>
      <c r="D151" s="1" t="s">
        <v>1057</v>
      </c>
      <c r="E151" s="1" t="s">
        <v>1058</v>
      </c>
      <c r="F151" s="1">
        <v>19.432700000000001</v>
      </c>
      <c r="G151" s="1">
        <v>-99.133300000000006</v>
      </c>
      <c r="H151" s="1" t="s">
        <v>1059</v>
      </c>
      <c r="I151" s="1" t="s">
        <v>1060</v>
      </c>
      <c r="J151" s="81">
        <v>24403</v>
      </c>
      <c r="K151" s="81" t="s">
        <v>1102</v>
      </c>
    </row>
    <row r="152" spans="1:11">
      <c r="A152" s="1">
        <v>1967</v>
      </c>
      <c r="B152" s="1" t="s">
        <v>1042</v>
      </c>
      <c r="C152" s="1">
        <v>1</v>
      </c>
      <c r="D152" s="1" t="s">
        <v>1103</v>
      </c>
      <c r="E152" s="1" t="s">
        <v>1104</v>
      </c>
      <c r="F152" s="1">
        <v>-25.9894</v>
      </c>
      <c r="G152" s="1">
        <v>28.076699999999999</v>
      </c>
      <c r="H152" s="1" t="s">
        <v>1105</v>
      </c>
      <c r="I152" s="1" t="s">
        <v>1046</v>
      </c>
      <c r="J152" s="81">
        <v>24474</v>
      </c>
      <c r="K152" s="81" t="s">
        <v>1106</v>
      </c>
    </row>
    <row r="153" spans="1:11">
      <c r="A153" s="1">
        <v>1967</v>
      </c>
      <c r="B153" s="1" t="s">
        <v>856</v>
      </c>
      <c r="C153" s="1">
        <v>2</v>
      </c>
      <c r="D153" s="1" t="s">
        <v>857</v>
      </c>
      <c r="E153" s="1" t="s">
        <v>858</v>
      </c>
      <c r="F153" s="1">
        <v>43.734699999999997</v>
      </c>
      <c r="G153" s="1">
        <v>7.42056</v>
      </c>
      <c r="H153" s="1" t="s">
        <v>859</v>
      </c>
      <c r="I153" s="1" t="s">
        <v>860</v>
      </c>
      <c r="J153" s="81">
        <v>24599</v>
      </c>
      <c r="K153" s="81" t="s">
        <v>1107</v>
      </c>
    </row>
    <row r="154" spans="1:11">
      <c r="A154" s="1">
        <v>1967</v>
      </c>
      <c r="B154" s="1" t="s">
        <v>914</v>
      </c>
      <c r="C154" s="1">
        <v>3</v>
      </c>
      <c r="D154" s="1" t="s">
        <v>915</v>
      </c>
      <c r="E154" s="1" t="s">
        <v>916</v>
      </c>
      <c r="F154" s="1">
        <v>52.388800000000003</v>
      </c>
      <c r="G154" s="1">
        <v>4.5409199999999998</v>
      </c>
      <c r="H154" s="1" t="s">
        <v>917</v>
      </c>
      <c r="I154" s="1" t="s">
        <v>918</v>
      </c>
      <c r="J154" s="81">
        <v>24627</v>
      </c>
      <c r="K154" s="81" t="s">
        <v>1108</v>
      </c>
    </row>
    <row r="155" spans="1:11">
      <c r="A155" s="1">
        <v>1967</v>
      </c>
      <c r="B155" s="1" t="s">
        <v>872</v>
      </c>
      <c r="C155" s="1">
        <v>4</v>
      </c>
      <c r="D155" s="1" t="s">
        <v>873</v>
      </c>
      <c r="E155" s="1" t="s">
        <v>874</v>
      </c>
      <c r="F155" s="1">
        <v>50.437199999999997</v>
      </c>
      <c r="G155" s="1">
        <v>5.9713900000000004</v>
      </c>
      <c r="H155" s="1" t="s">
        <v>875</v>
      </c>
      <c r="I155" s="1" t="s">
        <v>244</v>
      </c>
      <c r="J155" s="81">
        <v>24641</v>
      </c>
      <c r="K155" s="81" t="s">
        <v>1109</v>
      </c>
    </row>
    <row r="156" spans="1:11">
      <c r="A156" s="1">
        <v>1967</v>
      </c>
      <c r="B156" s="1" t="s">
        <v>877</v>
      </c>
      <c r="C156" s="1">
        <v>5</v>
      </c>
      <c r="D156" s="1" t="s">
        <v>1110</v>
      </c>
      <c r="E156" s="1" t="s">
        <v>1111</v>
      </c>
      <c r="F156" s="1">
        <v>47.9377</v>
      </c>
      <c r="G156" s="1">
        <v>0.22561100000000001</v>
      </c>
      <c r="H156" s="1" t="s">
        <v>1111</v>
      </c>
      <c r="I156" s="1" t="s">
        <v>755</v>
      </c>
      <c r="J156" s="81">
        <v>24655</v>
      </c>
      <c r="K156" s="81" t="s">
        <v>1112</v>
      </c>
    </row>
    <row r="157" spans="1:11">
      <c r="A157" s="1">
        <v>1967</v>
      </c>
      <c r="B157" s="1" t="s">
        <v>850</v>
      </c>
      <c r="C157" s="1">
        <v>6</v>
      </c>
      <c r="D157" s="1" t="s">
        <v>851</v>
      </c>
      <c r="E157" s="1" t="s">
        <v>852</v>
      </c>
      <c r="F157" s="1">
        <v>52.078600000000002</v>
      </c>
      <c r="G157" s="1">
        <v>-1.01694</v>
      </c>
      <c r="H157" s="1" t="s">
        <v>853</v>
      </c>
      <c r="I157" s="1" t="s">
        <v>854</v>
      </c>
      <c r="J157" s="81">
        <v>24668</v>
      </c>
      <c r="K157" s="81" t="s">
        <v>1113</v>
      </c>
    </row>
    <row r="158" spans="1:11">
      <c r="A158" s="1">
        <v>1967</v>
      </c>
      <c r="B158" s="1" t="s">
        <v>893</v>
      </c>
      <c r="C158" s="1">
        <v>7</v>
      </c>
      <c r="D158" s="1" t="s">
        <v>894</v>
      </c>
      <c r="E158" s="1" t="s">
        <v>895</v>
      </c>
      <c r="F158" s="1">
        <v>50.335599999999999</v>
      </c>
      <c r="G158" s="1">
        <v>6.9474999999999998</v>
      </c>
      <c r="H158" s="1" t="s">
        <v>896</v>
      </c>
      <c r="I158" s="1" t="s">
        <v>761</v>
      </c>
      <c r="J158" s="81">
        <v>24690</v>
      </c>
      <c r="K158" s="81" t="s">
        <v>1114</v>
      </c>
    </row>
    <row r="159" spans="1:11">
      <c r="A159" s="1">
        <v>1967</v>
      </c>
      <c r="B159" s="1" t="s">
        <v>1115</v>
      </c>
      <c r="C159" s="1">
        <v>8</v>
      </c>
      <c r="D159" s="1" t="s">
        <v>1116</v>
      </c>
      <c r="E159" s="1" t="s">
        <v>1117</v>
      </c>
      <c r="F159" s="1">
        <v>44.048099999999998</v>
      </c>
      <c r="G159" s="1">
        <v>-78.675600000000003</v>
      </c>
      <c r="H159" s="1" t="s">
        <v>1118</v>
      </c>
      <c r="I159" s="1" t="s">
        <v>1119</v>
      </c>
      <c r="J159" s="81">
        <v>24711</v>
      </c>
      <c r="K159" s="81" t="s">
        <v>1120</v>
      </c>
    </row>
    <row r="160" spans="1:11">
      <c r="A160" s="1">
        <v>1967</v>
      </c>
      <c r="B160" s="1" t="s">
        <v>882</v>
      </c>
      <c r="C160" s="1">
        <v>9</v>
      </c>
      <c r="D160" s="1" t="s">
        <v>883</v>
      </c>
      <c r="E160" s="1" t="s">
        <v>884</v>
      </c>
      <c r="F160" s="1">
        <v>45.615600000000001</v>
      </c>
      <c r="G160" s="1">
        <v>9.28111</v>
      </c>
      <c r="H160" s="1" t="s">
        <v>885</v>
      </c>
      <c r="I160" s="1" t="s">
        <v>886</v>
      </c>
      <c r="J160" s="81">
        <v>24725</v>
      </c>
      <c r="K160" s="81" t="s">
        <v>1121</v>
      </c>
    </row>
    <row r="161" spans="1:11">
      <c r="A161" s="1">
        <v>1967</v>
      </c>
      <c r="B161" s="1" t="s">
        <v>1006</v>
      </c>
      <c r="C161" s="1">
        <v>10</v>
      </c>
      <c r="D161" s="1" t="s">
        <v>1031</v>
      </c>
      <c r="E161" s="1" t="s">
        <v>1032</v>
      </c>
      <c r="F161" s="1">
        <v>42.3369</v>
      </c>
      <c r="G161" s="1">
        <v>-76.927199999999999</v>
      </c>
      <c r="H161" s="1" t="s">
        <v>752</v>
      </c>
      <c r="I161" s="1" t="s">
        <v>1010</v>
      </c>
      <c r="J161" s="81">
        <v>24746</v>
      </c>
      <c r="K161" s="81" t="s">
        <v>1122</v>
      </c>
    </row>
    <row r="162" spans="1:11">
      <c r="A162" s="1">
        <v>1967</v>
      </c>
      <c r="B162" s="1" t="s">
        <v>1056</v>
      </c>
      <c r="C162" s="1">
        <v>11</v>
      </c>
      <c r="D162" s="1" t="s">
        <v>1057</v>
      </c>
      <c r="E162" s="1" t="s">
        <v>1058</v>
      </c>
      <c r="F162" s="1">
        <v>19.432700000000001</v>
      </c>
      <c r="G162" s="1">
        <v>-99.133300000000006</v>
      </c>
      <c r="H162" s="1" t="s">
        <v>1059</v>
      </c>
      <c r="I162" s="1" t="s">
        <v>1060</v>
      </c>
      <c r="J162" s="81">
        <v>24767</v>
      </c>
      <c r="K162" s="81" t="s">
        <v>1123</v>
      </c>
    </row>
    <row r="163" spans="1:11">
      <c r="A163" s="1">
        <v>1968</v>
      </c>
      <c r="B163" s="1" t="s">
        <v>1042</v>
      </c>
      <c r="C163" s="1">
        <v>1</v>
      </c>
      <c r="D163" s="1" t="s">
        <v>1103</v>
      </c>
      <c r="E163" s="1" t="s">
        <v>1104</v>
      </c>
      <c r="F163" s="1">
        <v>-25.9894</v>
      </c>
      <c r="G163" s="1">
        <v>28.076699999999999</v>
      </c>
      <c r="H163" s="1" t="s">
        <v>1105</v>
      </c>
      <c r="I163" s="1" t="s">
        <v>1046</v>
      </c>
      <c r="J163" s="81">
        <v>24838</v>
      </c>
      <c r="K163" s="81" t="s">
        <v>1124</v>
      </c>
    </row>
    <row r="164" spans="1:11">
      <c r="A164" s="1">
        <v>1968</v>
      </c>
      <c r="B164" s="1" t="s">
        <v>899</v>
      </c>
      <c r="C164" s="1">
        <v>2</v>
      </c>
      <c r="D164" s="1" t="s">
        <v>1125</v>
      </c>
      <c r="E164" s="1" t="s">
        <v>1126</v>
      </c>
      <c r="F164" s="1">
        <v>40.617100000000001</v>
      </c>
      <c r="G164" s="1">
        <v>-3.5855800000000002</v>
      </c>
      <c r="H164" s="1" t="s">
        <v>1127</v>
      </c>
      <c r="I164" s="1" t="s">
        <v>903</v>
      </c>
      <c r="J164" s="81">
        <v>24970</v>
      </c>
      <c r="K164" s="81" t="s">
        <v>1128</v>
      </c>
    </row>
    <row r="165" spans="1:11">
      <c r="A165" s="1">
        <v>1968</v>
      </c>
      <c r="B165" s="1" t="s">
        <v>856</v>
      </c>
      <c r="C165" s="1">
        <v>3</v>
      </c>
      <c r="D165" s="1" t="s">
        <v>857</v>
      </c>
      <c r="E165" s="1" t="s">
        <v>858</v>
      </c>
      <c r="F165" s="1">
        <v>43.734699999999997</v>
      </c>
      <c r="G165" s="1">
        <v>7.42056</v>
      </c>
      <c r="H165" s="1" t="s">
        <v>859</v>
      </c>
      <c r="I165" s="1" t="s">
        <v>860</v>
      </c>
      <c r="J165" s="81">
        <v>24984</v>
      </c>
      <c r="K165" s="81" t="s">
        <v>1129</v>
      </c>
    </row>
    <row r="166" spans="1:11">
      <c r="A166" s="1">
        <v>1968</v>
      </c>
      <c r="B166" s="1" t="s">
        <v>872</v>
      </c>
      <c r="C166" s="1">
        <v>4</v>
      </c>
      <c r="D166" s="1" t="s">
        <v>873</v>
      </c>
      <c r="E166" s="1" t="s">
        <v>874</v>
      </c>
      <c r="F166" s="1">
        <v>50.437199999999997</v>
      </c>
      <c r="G166" s="1">
        <v>5.9713900000000004</v>
      </c>
      <c r="H166" s="1" t="s">
        <v>875</v>
      </c>
      <c r="I166" s="1" t="s">
        <v>244</v>
      </c>
      <c r="J166" s="81">
        <v>24998</v>
      </c>
      <c r="K166" s="81" t="s">
        <v>1130</v>
      </c>
    </row>
    <row r="167" spans="1:11">
      <c r="A167" s="1">
        <v>1968</v>
      </c>
      <c r="B167" s="1" t="s">
        <v>914</v>
      </c>
      <c r="C167" s="1">
        <v>5</v>
      </c>
      <c r="D167" s="1" t="s">
        <v>915</v>
      </c>
      <c r="E167" s="1" t="s">
        <v>916</v>
      </c>
      <c r="F167" s="1">
        <v>52.388800000000003</v>
      </c>
      <c r="G167" s="1">
        <v>4.5409199999999998</v>
      </c>
      <c r="H167" s="1" t="s">
        <v>917</v>
      </c>
      <c r="I167" s="1" t="s">
        <v>918</v>
      </c>
      <c r="J167" s="81">
        <v>25012</v>
      </c>
      <c r="K167" s="81" t="s">
        <v>1131</v>
      </c>
    </row>
    <row r="168" spans="1:11">
      <c r="A168" s="1">
        <v>1968</v>
      </c>
      <c r="B168" s="1" t="s">
        <v>877</v>
      </c>
      <c r="C168" s="1">
        <v>6</v>
      </c>
      <c r="D168" s="1" t="s">
        <v>908</v>
      </c>
      <c r="E168" s="1" t="s">
        <v>909</v>
      </c>
      <c r="F168" s="1">
        <v>49.330599999999997</v>
      </c>
      <c r="G168" s="1">
        <v>1.00458</v>
      </c>
      <c r="H168" s="1" t="s">
        <v>910</v>
      </c>
      <c r="I168" s="1" t="s">
        <v>755</v>
      </c>
      <c r="J168" s="81">
        <v>25026</v>
      </c>
      <c r="K168" s="81" t="s">
        <v>1132</v>
      </c>
    </row>
    <row r="169" spans="1:11">
      <c r="A169" s="1">
        <v>1968</v>
      </c>
      <c r="B169" s="1" t="s">
        <v>850</v>
      </c>
      <c r="C169" s="1">
        <v>7</v>
      </c>
      <c r="D169" s="1" t="s">
        <v>1067</v>
      </c>
      <c r="E169" s="1" t="s">
        <v>1068</v>
      </c>
      <c r="F169" s="1">
        <v>51.356900000000003</v>
      </c>
      <c r="G169" s="1">
        <v>0.26305600000000001</v>
      </c>
      <c r="H169" s="1" t="s">
        <v>1069</v>
      </c>
      <c r="I169" s="1" t="s">
        <v>854</v>
      </c>
      <c r="J169" s="81">
        <v>25039</v>
      </c>
      <c r="K169" s="81" t="s">
        <v>1133</v>
      </c>
    </row>
    <row r="170" spans="1:11">
      <c r="A170" s="1">
        <v>1968</v>
      </c>
      <c r="B170" s="1" t="s">
        <v>893</v>
      </c>
      <c r="C170" s="1">
        <v>8</v>
      </c>
      <c r="D170" s="1" t="s">
        <v>894</v>
      </c>
      <c r="E170" s="1" t="s">
        <v>895</v>
      </c>
      <c r="F170" s="1">
        <v>50.335599999999999</v>
      </c>
      <c r="G170" s="1">
        <v>6.9474999999999998</v>
      </c>
      <c r="H170" s="1" t="s">
        <v>896</v>
      </c>
      <c r="I170" s="1" t="s">
        <v>761</v>
      </c>
      <c r="J170" s="81">
        <v>25054</v>
      </c>
      <c r="K170" s="81" t="s">
        <v>1134</v>
      </c>
    </row>
    <row r="171" spans="1:11">
      <c r="A171" s="1">
        <v>1968</v>
      </c>
      <c r="B171" s="1" t="s">
        <v>882</v>
      </c>
      <c r="C171" s="1">
        <v>9</v>
      </c>
      <c r="D171" s="1" t="s">
        <v>883</v>
      </c>
      <c r="E171" s="1" t="s">
        <v>884</v>
      </c>
      <c r="F171" s="1">
        <v>45.615600000000001</v>
      </c>
      <c r="G171" s="1">
        <v>9.28111</v>
      </c>
      <c r="H171" s="1" t="s">
        <v>885</v>
      </c>
      <c r="I171" s="1" t="s">
        <v>886</v>
      </c>
      <c r="J171" s="81">
        <v>25089</v>
      </c>
      <c r="K171" s="81" t="s">
        <v>1135</v>
      </c>
    </row>
    <row r="172" spans="1:11">
      <c r="A172" s="1">
        <v>1968</v>
      </c>
      <c r="B172" s="1" t="s">
        <v>1115</v>
      </c>
      <c r="C172" s="1">
        <v>10</v>
      </c>
      <c r="D172" s="1" t="s">
        <v>1136</v>
      </c>
      <c r="E172" s="1" t="s">
        <v>1137</v>
      </c>
      <c r="F172" s="1">
        <v>46.1877</v>
      </c>
      <c r="G172" s="1">
        <v>-74.609899999999996</v>
      </c>
      <c r="H172" s="1" t="s">
        <v>1138</v>
      </c>
      <c r="I172" s="1" t="s">
        <v>1119</v>
      </c>
      <c r="J172" s="81">
        <v>25103</v>
      </c>
      <c r="K172" s="81" t="s">
        <v>1139</v>
      </c>
    </row>
    <row r="173" spans="1:11">
      <c r="A173" s="1">
        <v>1968</v>
      </c>
      <c r="B173" s="1" t="s">
        <v>1006</v>
      </c>
      <c r="C173" s="1">
        <v>11</v>
      </c>
      <c r="D173" s="1" t="s">
        <v>1031</v>
      </c>
      <c r="E173" s="1" t="s">
        <v>1032</v>
      </c>
      <c r="F173" s="1">
        <v>42.3369</v>
      </c>
      <c r="G173" s="1">
        <v>-76.927199999999999</v>
      </c>
      <c r="H173" s="1" t="s">
        <v>752</v>
      </c>
      <c r="I173" s="1" t="s">
        <v>1010</v>
      </c>
      <c r="J173" s="81">
        <v>25117</v>
      </c>
      <c r="K173" s="81" t="s">
        <v>1140</v>
      </c>
    </row>
    <row r="174" spans="1:11">
      <c r="A174" s="1">
        <v>1968</v>
      </c>
      <c r="B174" s="1" t="s">
        <v>1056</v>
      </c>
      <c r="C174" s="1">
        <v>12</v>
      </c>
      <c r="D174" s="1" t="s">
        <v>1057</v>
      </c>
      <c r="E174" s="1" t="s">
        <v>1058</v>
      </c>
      <c r="F174" s="1">
        <v>19.432700000000001</v>
      </c>
      <c r="G174" s="1">
        <v>-99.133300000000006</v>
      </c>
      <c r="H174" s="1" t="s">
        <v>1059</v>
      </c>
      <c r="I174" s="1" t="s">
        <v>1060</v>
      </c>
      <c r="J174" s="81">
        <v>25145</v>
      </c>
      <c r="K174" s="81" t="s">
        <v>1141</v>
      </c>
    </row>
    <row r="175" spans="1:11">
      <c r="A175" s="1">
        <v>1969</v>
      </c>
      <c r="B175" s="1" t="s">
        <v>1042</v>
      </c>
      <c r="C175" s="1">
        <v>1</v>
      </c>
      <c r="D175" s="1" t="s">
        <v>1103</v>
      </c>
      <c r="E175" s="1" t="s">
        <v>1104</v>
      </c>
      <c r="F175" s="1">
        <v>-25.9894</v>
      </c>
      <c r="G175" s="1">
        <v>28.076699999999999</v>
      </c>
      <c r="H175" s="1" t="s">
        <v>1105</v>
      </c>
      <c r="I175" s="1" t="s">
        <v>1046</v>
      </c>
      <c r="J175" s="81">
        <v>25263</v>
      </c>
      <c r="K175" s="81" t="s">
        <v>1142</v>
      </c>
    </row>
    <row r="176" spans="1:11">
      <c r="A176" s="1">
        <v>1969</v>
      </c>
      <c r="B176" s="1" t="s">
        <v>899</v>
      </c>
      <c r="C176" s="1">
        <v>2</v>
      </c>
      <c r="D176" s="1" t="s">
        <v>1143</v>
      </c>
      <c r="E176" s="1" t="s">
        <v>1144</v>
      </c>
      <c r="F176" s="1">
        <v>41.366399999999999</v>
      </c>
      <c r="G176" s="1">
        <v>2.1516700000000002</v>
      </c>
      <c r="H176" s="1" t="s">
        <v>902</v>
      </c>
      <c r="I176" s="1" t="s">
        <v>903</v>
      </c>
      <c r="J176" s="81">
        <v>25327</v>
      </c>
      <c r="K176" s="81" t="s">
        <v>1145</v>
      </c>
    </row>
    <row r="177" spans="1:11">
      <c r="A177" s="1">
        <v>1969</v>
      </c>
      <c r="B177" s="1" t="s">
        <v>856</v>
      </c>
      <c r="C177" s="1">
        <v>3</v>
      </c>
      <c r="D177" s="1" t="s">
        <v>857</v>
      </c>
      <c r="E177" s="1" t="s">
        <v>858</v>
      </c>
      <c r="F177" s="1">
        <v>43.734699999999997</v>
      </c>
      <c r="G177" s="1">
        <v>7.42056</v>
      </c>
      <c r="H177" s="1" t="s">
        <v>859</v>
      </c>
      <c r="I177" s="1" t="s">
        <v>860</v>
      </c>
      <c r="J177" s="81">
        <v>25341</v>
      </c>
      <c r="K177" s="81" t="s">
        <v>1146</v>
      </c>
    </row>
    <row r="178" spans="1:11">
      <c r="A178" s="1">
        <v>1969</v>
      </c>
      <c r="B178" s="1" t="s">
        <v>914</v>
      </c>
      <c r="C178" s="1">
        <v>4</v>
      </c>
      <c r="D178" s="1" t="s">
        <v>915</v>
      </c>
      <c r="E178" s="1" t="s">
        <v>916</v>
      </c>
      <c r="F178" s="1">
        <v>52.388800000000003</v>
      </c>
      <c r="G178" s="1">
        <v>4.5409199999999998</v>
      </c>
      <c r="H178" s="1" t="s">
        <v>917</v>
      </c>
      <c r="I178" s="1" t="s">
        <v>918</v>
      </c>
      <c r="J178" s="81">
        <v>25375</v>
      </c>
      <c r="K178" s="81" t="s">
        <v>1147</v>
      </c>
    </row>
    <row r="179" spans="1:11">
      <c r="A179" s="1">
        <v>1969</v>
      </c>
      <c r="B179" s="1" t="s">
        <v>877</v>
      </c>
      <c r="C179" s="1">
        <v>5</v>
      </c>
      <c r="D179" s="1" t="s">
        <v>1084</v>
      </c>
      <c r="E179" s="1" t="s">
        <v>1085</v>
      </c>
      <c r="F179" s="1">
        <v>45.747199999999999</v>
      </c>
      <c r="G179" s="1">
        <v>3.0388899999999999</v>
      </c>
      <c r="H179" s="1" t="s">
        <v>1086</v>
      </c>
      <c r="I179" s="1" t="s">
        <v>755</v>
      </c>
      <c r="J179" s="81">
        <v>25390</v>
      </c>
      <c r="K179" s="81" t="s">
        <v>1148</v>
      </c>
    </row>
    <row r="180" spans="1:11">
      <c r="A180" s="1">
        <v>1969</v>
      </c>
      <c r="B180" s="1" t="s">
        <v>850</v>
      </c>
      <c r="C180" s="1">
        <v>6</v>
      </c>
      <c r="D180" s="1" t="s">
        <v>851</v>
      </c>
      <c r="E180" s="1" t="s">
        <v>852</v>
      </c>
      <c r="F180" s="1">
        <v>52.078600000000002</v>
      </c>
      <c r="G180" s="1">
        <v>-1.01694</v>
      </c>
      <c r="H180" s="1" t="s">
        <v>853</v>
      </c>
      <c r="I180" s="1" t="s">
        <v>854</v>
      </c>
      <c r="J180" s="81">
        <v>25403</v>
      </c>
      <c r="K180" s="81" t="s">
        <v>1149</v>
      </c>
    </row>
    <row r="181" spans="1:11">
      <c r="A181" s="1">
        <v>1969</v>
      </c>
      <c r="B181" s="1" t="s">
        <v>893</v>
      </c>
      <c r="C181" s="1">
        <v>7</v>
      </c>
      <c r="D181" s="1" t="s">
        <v>894</v>
      </c>
      <c r="E181" s="1" t="s">
        <v>895</v>
      </c>
      <c r="F181" s="1">
        <v>50.335599999999999</v>
      </c>
      <c r="G181" s="1">
        <v>6.9474999999999998</v>
      </c>
      <c r="H181" s="1" t="s">
        <v>896</v>
      </c>
      <c r="I181" s="1" t="s">
        <v>761</v>
      </c>
      <c r="J181" s="81">
        <v>25418</v>
      </c>
      <c r="K181" s="81" t="s">
        <v>1150</v>
      </c>
    </row>
    <row r="182" spans="1:11">
      <c r="A182" s="1">
        <v>1969</v>
      </c>
      <c r="B182" s="1" t="s">
        <v>882</v>
      </c>
      <c r="C182" s="1">
        <v>8</v>
      </c>
      <c r="D182" s="1" t="s">
        <v>883</v>
      </c>
      <c r="E182" s="1" t="s">
        <v>884</v>
      </c>
      <c r="F182" s="1">
        <v>45.615600000000001</v>
      </c>
      <c r="G182" s="1">
        <v>9.28111</v>
      </c>
      <c r="H182" s="1" t="s">
        <v>885</v>
      </c>
      <c r="I182" s="1" t="s">
        <v>886</v>
      </c>
      <c r="J182" s="81">
        <v>25453</v>
      </c>
      <c r="K182" s="81" t="s">
        <v>1151</v>
      </c>
    </row>
    <row r="183" spans="1:11">
      <c r="A183" s="1">
        <v>1969</v>
      </c>
      <c r="B183" s="1" t="s">
        <v>1115</v>
      </c>
      <c r="C183" s="1">
        <v>9</v>
      </c>
      <c r="D183" s="1" t="s">
        <v>1116</v>
      </c>
      <c r="E183" s="1" t="s">
        <v>1117</v>
      </c>
      <c r="F183" s="1">
        <v>44.048099999999998</v>
      </c>
      <c r="G183" s="1">
        <v>-78.675600000000003</v>
      </c>
      <c r="H183" s="1" t="s">
        <v>1118</v>
      </c>
      <c r="I183" s="1" t="s">
        <v>1119</v>
      </c>
      <c r="J183" s="81">
        <v>25466</v>
      </c>
      <c r="K183" s="81" t="s">
        <v>1152</v>
      </c>
    </row>
    <row r="184" spans="1:11">
      <c r="A184" s="1">
        <v>1969</v>
      </c>
      <c r="B184" s="1" t="s">
        <v>1006</v>
      </c>
      <c r="C184" s="1">
        <v>10</v>
      </c>
      <c r="D184" s="1" t="s">
        <v>1031</v>
      </c>
      <c r="E184" s="1" t="s">
        <v>1032</v>
      </c>
      <c r="F184" s="1">
        <v>42.3369</v>
      </c>
      <c r="G184" s="1">
        <v>-76.927199999999999</v>
      </c>
      <c r="H184" s="1" t="s">
        <v>752</v>
      </c>
      <c r="I184" s="1" t="s">
        <v>1010</v>
      </c>
      <c r="J184" s="81">
        <v>25481</v>
      </c>
      <c r="K184" s="81" t="s">
        <v>1153</v>
      </c>
    </row>
    <row r="185" spans="1:11">
      <c r="A185" s="1">
        <v>1969</v>
      </c>
      <c r="B185" s="1" t="s">
        <v>1056</v>
      </c>
      <c r="C185" s="1">
        <v>11</v>
      </c>
      <c r="D185" s="1" t="s">
        <v>1057</v>
      </c>
      <c r="E185" s="1" t="s">
        <v>1058</v>
      </c>
      <c r="F185" s="1">
        <v>19.432700000000001</v>
      </c>
      <c r="G185" s="1">
        <v>-99.133300000000006</v>
      </c>
      <c r="H185" s="1" t="s">
        <v>1059</v>
      </c>
      <c r="I185" s="1" t="s">
        <v>1060</v>
      </c>
      <c r="J185" s="81">
        <v>25495</v>
      </c>
      <c r="K185" s="81" t="s">
        <v>1154</v>
      </c>
    </row>
    <row r="186" spans="1:11">
      <c r="A186" s="1">
        <v>1970</v>
      </c>
      <c r="B186" s="1" t="s">
        <v>1042</v>
      </c>
      <c r="C186" s="1">
        <v>1</v>
      </c>
      <c r="D186" s="1" t="s">
        <v>1103</v>
      </c>
      <c r="E186" s="1" t="s">
        <v>1104</v>
      </c>
      <c r="F186" s="1">
        <v>-25.9894</v>
      </c>
      <c r="G186" s="1">
        <v>28.076699999999999</v>
      </c>
      <c r="H186" s="1" t="s">
        <v>1105</v>
      </c>
      <c r="I186" s="1" t="s">
        <v>1046</v>
      </c>
      <c r="J186" s="81">
        <v>25634</v>
      </c>
      <c r="K186" s="81" t="s">
        <v>1155</v>
      </c>
    </row>
    <row r="187" spans="1:11">
      <c r="A187" s="1">
        <v>1970</v>
      </c>
      <c r="B187" s="1" t="s">
        <v>899</v>
      </c>
      <c r="C187" s="1">
        <v>2</v>
      </c>
      <c r="D187" s="1" t="s">
        <v>1125</v>
      </c>
      <c r="E187" s="1" t="s">
        <v>1126</v>
      </c>
      <c r="F187" s="1">
        <v>40.617100000000001</v>
      </c>
      <c r="G187" s="1">
        <v>-3.5855800000000002</v>
      </c>
      <c r="H187" s="1" t="s">
        <v>1127</v>
      </c>
      <c r="I187" s="1" t="s">
        <v>903</v>
      </c>
      <c r="J187" s="81">
        <v>25677</v>
      </c>
      <c r="K187" s="81" t="s">
        <v>1156</v>
      </c>
    </row>
    <row r="188" spans="1:11">
      <c r="A188" s="1">
        <v>1970</v>
      </c>
      <c r="B188" s="1" t="s">
        <v>856</v>
      </c>
      <c r="C188" s="1">
        <v>3</v>
      </c>
      <c r="D188" s="1" t="s">
        <v>857</v>
      </c>
      <c r="E188" s="1" t="s">
        <v>858</v>
      </c>
      <c r="F188" s="1">
        <v>43.734699999999997</v>
      </c>
      <c r="G188" s="1">
        <v>7.42056</v>
      </c>
      <c r="H188" s="1" t="s">
        <v>859</v>
      </c>
      <c r="I188" s="1" t="s">
        <v>860</v>
      </c>
      <c r="J188" s="81">
        <v>25698</v>
      </c>
      <c r="K188" s="81" t="s">
        <v>1157</v>
      </c>
    </row>
    <row r="189" spans="1:11">
      <c r="A189" s="1">
        <v>1970</v>
      </c>
      <c r="B189" s="1" t="s">
        <v>872</v>
      </c>
      <c r="C189" s="1">
        <v>4</v>
      </c>
      <c r="D189" s="1" t="s">
        <v>873</v>
      </c>
      <c r="E189" s="1" t="s">
        <v>874</v>
      </c>
      <c r="F189" s="1">
        <v>50.437199999999997</v>
      </c>
      <c r="G189" s="1">
        <v>5.9713900000000004</v>
      </c>
      <c r="H189" s="1" t="s">
        <v>875</v>
      </c>
      <c r="I189" s="1" t="s">
        <v>244</v>
      </c>
      <c r="J189" s="81">
        <v>25726</v>
      </c>
      <c r="K189" s="81" t="s">
        <v>1158</v>
      </c>
    </row>
    <row r="190" spans="1:11">
      <c r="A190" s="1">
        <v>1970</v>
      </c>
      <c r="B190" s="1" t="s">
        <v>914</v>
      </c>
      <c r="C190" s="1">
        <v>5</v>
      </c>
      <c r="D190" s="1" t="s">
        <v>915</v>
      </c>
      <c r="E190" s="1" t="s">
        <v>916</v>
      </c>
      <c r="F190" s="1">
        <v>52.388800000000003</v>
      </c>
      <c r="G190" s="1">
        <v>4.5409199999999998</v>
      </c>
      <c r="H190" s="1" t="s">
        <v>917</v>
      </c>
      <c r="I190" s="1" t="s">
        <v>918</v>
      </c>
      <c r="J190" s="81">
        <v>25740</v>
      </c>
      <c r="K190" s="81" t="s">
        <v>1159</v>
      </c>
    </row>
    <row r="191" spans="1:11">
      <c r="A191" s="1">
        <v>1970</v>
      </c>
      <c r="B191" s="1" t="s">
        <v>877</v>
      </c>
      <c r="C191" s="1">
        <v>6</v>
      </c>
      <c r="D191" s="1" t="s">
        <v>1084</v>
      </c>
      <c r="E191" s="1" t="s">
        <v>1085</v>
      </c>
      <c r="F191" s="1">
        <v>45.747199999999999</v>
      </c>
      <c r="G191" s="1">
        <v>3.0388899999999999</v>
      </c>
      <c r="H191" s="1" t="s">
        <v>1086</v>
      </c>
      <c r="I191" s="1" t="s">
        <v>755</v>
      </c>
      <c r="J191" s="81">
        <v>25754</v>
      </c>
      <c r="K191" s="81" t="s">
        <v>1160</v>
      </c>
    </row>
    <row r="192" spans="1:11">
      <c r="A192" s="1">
        <v>1970</v>
      </c>
      <c r="B192" s="1" t="s">
        <v>850</v>
      </c>
      <c r="C192" s="1">
        <v>7</v>
      </c>
      <c r="D192" s="1" t="s">
        <v>1067</v>
      </c>
      <c r="E192" s="1" t="s">
        <v>1068</v>
      </c>
      <c r="F192" s="1">
        <v>51.356900000000003</v>
      </c>
      <c r="G192" s="1">
        <v>0.26305600000000001</v>
      </c>
      <c r="H192" s="1" t="s">
        <v>1069</v>
      </c>
      <c r="I192" s="1" t="s">
        <v>854</v>
      </c>
      <c r="J192" s="81">
        <v>25767</v>
      </c>
      <c r="K192" s="81" t="s">
        <v>1161</v>
      </c>
    </row>
    <row r="193" spans="1:11">
      <c r="A193" s="1">
        <v>1970</v>
      </c>
      <c r="B193" s="1" t="s">
        <v>893</v>
      </c>
      <c r="C193" s="1">
        <v>8</v>
      </c>
      <c r="D193" s="1" t="s">
        <v>1162</v>
      </c>
      <c r="E193" s="1" t="s">
        <v>1163</v>
      </c>
      <c r="F193" s="1">
        <v>49.327800000000003</v>
      </c>
      <c r="G193" s="1">
        <v>8.5658300000000001</v>
      </c>
      <c r="H193" s="1" t="s">
        <v>1164</v>
      </c>
      <c r="I193" s="1" t="s">
        <v>761</v>
      </c>
      <c r="J193" s="81">
        <v>25782</v>
      </c>
      <c r="K193" s="81" t="s">
        <v>1165</v>
      </c>
    </row>
    <row r="194" spans="1:11">
      <c r="A194" s="1">
        <v>1970</v>
      </c>
      <c r="B194" s="1" t="s">
        <v>1072</v>
      </c>
      <c r="C194" s="1">
        <v>9</v>
      </c>
      <c r="D194" s="1" t="s">
        <v>1166</v>
      </c>
      <c r="E194" s="1" t="s">
        <v>1167</v>
      </c>
      <c r="F194" s="1">
        <v>47.219700000000003</v>
      </c>
      <c r="G194" s="1">
        <v>14.764699999999999</v>
      </c>
      <c r="H194" s="1" t="s">
        <v>1168</v>
      </c>
      <c r="I194" s="1" t="s">
        <v>1076</v>
      </c>
      <c r="J194" s="81">
        <v>25796</v>
      </c>
      <c r="K194" s="81" t="s">
        <v>1169</v>
      </c>
    </row>
    <row r="195" spans="1:11">
      <c r="A195" s="1">
        <v>1970</v>
      </c>
      <c r="B195" s="1" t="s">
        <v>882</v>
      </c>
      <c r="C195" s="1">
        <v>10</v>
      </c>
      <c r="D195" s="1" t="s">
        <v>883</v>
      </c>
      <c r="E195" s="1" t="s">
        <v>884</v>
      </c>
      <c r="F195" s="1">
        <v>45.615600000000001</v>
      </c>
      <c r="G195" s="1">
        <v>9.28111</v>
      </c>
      <c r="H195" s="1" t="s">
        <v>885</v>
      </c>
      <c r="I195" s="1" t="s">
        <v>886</v>
      </c>
      <c r="J195" s="81">
        <v>25817</v>
      </c>
      <c r="K195" s="81" t="s">
        <v>1170</v>
      </c>
    </row>
    <row r="196" spans="1:11">
      <c r="A196" s="1">
        <v>1970</v>
      </c>
      <c r="B196" s="1" t="s">
        <v>1115</v>
      </c>
      <c r="C196" s="1">
        <v>11</v>
      </c>
      <c r="D196" s="1" t="s">
        <v>1136</v>
      </c>
      <c r="E196" s="1" t="s">
        <v>1137</v>
      </c>
      <c r="F196" s="1">
        <v>46.1877</v>
      </c>
      <c r="G196" s="1">
        <v>-74.609899999999996</v>
      </c>
      <c r="H196" s="1" t="s">
        <v>1138</v>
      </c>
      <c r="I196" s="1" t="s">
        <v>1119</v>
      </c>
      <c r="J196" s="81">
        <v>25831</v>
      </c>
      <c r="K196" s="81" t="s">
        <v>1171</v>
      </c>
    </row>
    <row r="197" spans="1:11">
      <c r="A197" s="1">
        <v>1970</v>
      </c>
      <c r="B197" s="1" t="s">
        <v>1006</v>
      </c>
      <c r="C197" s="1">
        <v>12</v>
      </c>
      <c r="D197" s="1" t="s">
        <v>1031</v>
      </c>
      <c r="E197" s="1" t="s">
        <v>1032</v>
      </c>
      <c r="F197" s="1">
        <v>42.3369</v>
      </c>
      <c r="G197" s="1">
        <v>-76.927199999999999</v>
      </c>
      <c r="H197" s="1" t="s">
        <v>752</v>
      </c>
      <c r="I197" s="1" t="s">
        <v>1010</v>
      </c>
      <c r="J197" s="81">
        <v>25845</v>
      </c>
      <c r="K197" s="81" t="s">
        <v>1172</v>
      </c>
    </row>
    <row r="198" spans="1:11">
      <c r="A198" s="1">
        <v>1970</v>
      </c>
      <c r="B198" s="1" t="s">
        <v>1056</v>
      </c>
      <c r="C198" s="1">
        <v>13</v>
      </c>
      <c r="D198" s="1" t="s">
        <v>1057</v>
      </c>
      <c r="E198" s="1" t="s">
        <v>1058</v>
      </c>
      <c r="F198" s="1">
        <v>19.432700000000001</v>
      </c>
      <c r="G198" s="1">
        <v>-99.133300000000006</v>
      </c>
      <c r="H198" s="1" t="s">
        <v>1059</v>
      </c>
      <c r="I198" s="1" t="s">
        <v>1060</v>
      </c>
      <c r="J198" s="81">
        <v>25866</v>
      </c>
      <c r="K198" s="81" t="s">
        <v>1173</v>
      </c>
    </row>
    <row r="199" spans="1:11">
      <c r="A199" s="1">
        <v>1971</v>
      </c>
      <c r="B199" s="1" t="s">
        <v>1042</v>
      </c>
      <c r="C199" s="1">
        <v>1</v>
      </c>
      <c r="D199" s="1" t="s">
        <v>1103</v>
      </c>
      <c r="E199" s="1" t="s">
        <v>1104</v>
      </c>
      <c r="F199" s="1">
        <v>-25.9894</v>
      </c>
      <c r="G199" s="1">
        <v>28.076699999999999</v>
      </c>
      <c r="H199" s="1" t="s">
        <v>1105</v>
      </c>
      <c r="I199" s="1" t="s">
        <v>1046</v>
      </c>
      <c r="J199" s="81">
        <v>25998</v>
      </c>
      <c r="K199" s="81" t="s">
        <v>1174</v>
      </c>
    </row>
    <row r="200" spans="1:11">
      <c r="A200" s="1">
        <v>1971</v>
      </c>
      <c r="B200" s="1" t="s">
        <v>899</v>
      </c>
      <c r="C200" s="1">
        <v>2</v>
      </c>
      <c r="D200" s="1" t="s">
        <v>1143</v>
      </c>
      <c r="E200" s="1" t="s">
        <v>1144</v>
      </c>
      <c r="F200" s="1">
        <v>41.366399999999999</v>
      </c>
      <c r="G200" s="1">
        <v>2.1516700000000002</v>
      </c>
      <c r="H200" s="1" t="s">
        <v>902</v>
      </c>
      <c r="I200" s="1" t="s">
        <v>903</v>
      </c>
      <c r="J200" s="81">
        <v>26041</v>
      </c>
      <c r="K200" s="81" t="s">
        <v>1175</v>
      </c>
    </row>
    <row r="201" spans="1:11">
      <c r="A201" s="1">
        <v>1971</v>
      </c>
      <c r="B201" s="1" t="s">
        <v>856</v>
      </c>
      <c r="C201" s="1">
        <v>3</v>
      </c>
      <c r="D201" s="1" t="s">
        <v>857</v>
      </c>
      <c r="E201" s="1" t="s">
        <v>858</v>
      </c>
      <c r="F201" s="1">
        <v>43.734699999999997</v>
      </c>
      <c r="G201" s="1">
        <v>7.42056</v>
      </c>
      <c r="H201" s="1" t="s">
        <v>859</v>
      </c>
      <c r="I201" s="1" t="s">
        <v>860</v>
      </c>
      <c r="J201" s="81">
        <v>26076</v>
      </c>
      <c r="K201" s="81" t="s">
        <v>1176</v>
      </c>
    </row>
    <row r="202" spans="1:11">
      <c r="A202" s="1">
        <v>1971</v>
      </c>
      <c r="B202" s="1" t="s">
        <v>914</v>
      </c>
      <c r="C202" s="1">
        <v>4</v>
      </c>
      <c r="D202" s="1" t="s">
        <v>915</v>
      </c>
      <c r="E202" s="1" t="s">
        <v>916</v>
      </c>
      <c r="F202" s="1">
        <v>52.388800000000003</v>
      </c>
      <c r="G202" s="1">
        <v>4.5409199999999998</v>
      </c>
      <c r="H202" s="1" t="s">
        <v>917</v>
      </c>
      <c r="I202" s="1" t="s">
        <v>918</v>
      </c>
      <c r="J202" s="81">
        <v>26104</v>
      </c>
      <c r="K202" s="81" t="s">
        <v>1177</v>
      </c>
    </row>
    <row r="203" spans="1:11">
      <c r="A203" s="1">
        <v>1971</v>
      </c>
      <c r="B203" s="1" t="s">
        <v>877</v>
      </c>
      <c r="C203" s="1">
        <v>5</v>
      </c>
      <c r="D203" s="1" t="s">
        <v>1178</v>
      </c>
      <c r="E203" s="1" t="s">
        <v>1179</v>
      </c>
      <c r="F203" s="1">
        <v>43.250599999999999</v>
      </c>
      <c r="G203" s="1">
        <v>5.7916699999999999</v>
      </c>
      <c r="H203" s="1" t="s">
        <v>1180</v>
      </c>
      <c r="I203" s="1" t="s">
        <v>755</v>
      </c>
      <c r="J203" s="81">
        <v>26118</v>
      </c>
      <c r="K203" s="81" t="s">
        <v>1181</v>
      </c>
    </row>
    <row r="204" spans="1:11">
      <c r="A204" s="1">
        <v>1971</v>
      </c>
      <c r="B204" s="1" t="s">
        <v>850</v>
      </c>
      <c r="C204" s="1">
        <v>6</v>
      </c>
      <c r="D204" s="1" t="s">
        <v>851</v>
      </c>
      <c r="E204" s="1" t="s">
        <v>852</v>
      </c>
      <c r="F204" s="1">
        <v>52.078600000000002</v>
      </c>
      <c r="G204" s="1">
        <v>-1.01694</v>
      </c>
      <c r="H204" s="1" t="s">
        <v>853</v>
      </c>
      <c r="I204" s="1" t="s">
        <v>854</v>
      </c>
      <c r="J204" s="81">
        <v>26131</v>
      </c>
      <c r="K204" s="81" t="s">
        <v>1182</v>
      </c>
    </row>
    <row r="205" spans="1:11">
      <c r="A205" s="1">
        <v>1971</v>
      </c>
      <c r="B205" s="1" t="s">
        <v>893</v>
      </c>
      <c r="C205" s="1">
        <v>7</v>
      </c>
      <c r="D205" s="1" t="s">
        <v>894</v>
      </c>
      <c r="E205" s="1" t="s">
        <v>895</v>
      </c>
      <c r="F205" s="1">
        <v>50.335599999999999</v>
      </c>
      <c r="G205" s="1">
        <v>6.9474999999999998</v>
      </c>
      <c r="H205" s="1" t="s">
        <v>896</v>
      </c>
      <c r="I205" s="1" t="s">
        <v>761</v>
      </c>
      <c r="J205" s="81">
        <v>26146</v>
      </c>
      <c r="K205" s="81" t="s">
        <v>1183</v>
      </c>
    </row>
    <row r="206" spans="1:11">
      <c r="A206" s="1">
        <v>1971</v>
      </c>
      <c r="B206" s="1" t="s">
        <v>1072</v>
      </c>
      <c r="C206" s="1">
        <v>8</v>
      </c>
      <c r="D206" s="1" t="s">
        <v>1166</v>
      </c>
      <c r="E206" s="1" t="s">
        <v>1167</v>
      </c>
      <c r="F206" s="1">
        <v>47.219700000000003</v>
      </c>
      <c r="G206" s="1">
        <v>14.764699999999999</v>
      </c>
      <c r="H206" s="1" t="s">
        <v>1168</v>
      </c>
      <c r="I206" s="1" t="s">
        <v>1076</v>
      </c>
      <c r="J206" s="81">
        <v>26160</v>
      </c>
      <c r="K206" s="81" t="s">
        <v>1184</v>
      </c>
    </row>
    <row r="207" spans="1:11">
      <c r="A207" s="1">
        <v>1971</v>
      </c>
      <c r="B207" s="1" t="s">
        <v>882</v>
      </c>
      <c r="C207" s="1">
        <v>9</v>
      </c>
      <c r="D207" s="1" t="s">
        <v>883</v>
      </c>
      <c r="E207" s="1" t="s">
        <v>884</v>
      </c>
      <c r="F207" s="1">
        <v>45.615600000000001</v>
      </c>
      <c r="G207" s="1">
        <v>9.28111</v>
      </c>
      <c r="H207" s="1" t="s">
        <v>885</v>
      </c>
      <c r="I207" s="1" t="s">
        <v>886</v>
      </c>
      <c r="J207" s="81">
        <v>26181</v>
      </c>
      <c r="K207" s="81" t="s">
        <v>1185</v>
      </c>
    </row>
    <row r="208" spans="1:11">
      <c r="A208" s="1">
        <v>1971</v>
      </c>
      <c r="B208" s="1" t="s">
        <v>1115</v>
      </c>
      <c r="C208" s="1">
        <v>10</v>
      </c>
      <c r="D208" s="1" t="s">
        <v>1116</v>
      </c>
      <c r="E208" s="1" t="s">
        <v>1117</v>
      </c>
      <c r="F208" s="1">
        <v>44.048099999999998</v>
      </c>
      <c r="G208" s="1">
        <v>-78.675600000000003</v>
      </c>
      <c r="H208" s="1" t="s">
        <v>1118</v>
      </c>
      <c r="I208" s="1" t="s">
        <v>1119</v>
      </c>
      <c r="J208" s="81">
        <v>26195</v>
      </c>
      <c r="K208" s="81" t="s">
        <v>1186</v>
      </c>
    </row>
    <row r="209" spans="1:11">
      <c r="A209" s="1">
        <v>1971</v>
      </c>
      <c r="B209" s="1" t="s">
        <v>1006</v>
      </c>
      <c r="C209" s="1">
        <v>11</v>
      </c>
      <c r="D209" s="1" t="s">
        <v>1031</v>
      </c>
      <c r="E209" s="1" t="s">
        <v>1032</v>
      </c>
      <c r="F209" s="1">
        <v>42.3369</v>
      </c>
      <c r="G209" s="1">
        <v>-76.927199999999999</v>
      </c>
      <c r="H209" s="1" t="s">
        <v>752</v>
      </c>
      <c r="I209" s="1" t="s">
        <v>1010</v>
      </c>
      <c r="J209" s="81">
        <v>26209</v>
      </c>
      <c r="K209" s="81" t="s">
        <v>1187</v>
      </c>
    </row>
    <row r="210" spans="1:11">
      <c r="A210" s="1">
        <v>1972</v>
      </c>
      <c r="B210" s="1" t="s">
        <v>921</v>
      </c>
      <c r="C210" s="1">
        <v>1</v>
      </c>
      <c r="D210" s="1" t="s">
        <v>922</v>
      </c>
      <c r="E210" s="1" t="s">
        <v>923</v>
      </c>
      <c r="F210" s="1">
        <v>-34.694299999999998</v>
      </c>
      <c r="G210" s="1">
        <v>-58.459299999999999</v>
      </c>
      <c r="H210" s="1" t="s">
        <v>253</v>
      </c>
      <c r="I210" s="1" t="s">
        <v>252</v>
      </c>
      <c r="J210" s="81">
        <v>26321</v>
      </c>
      <c r="K210" s="81" t="s">
        <v>1188</v>
      </c>
    </row>
    <row r="211" spans="1:11">
      <c r="A211" s="1">
        <v>1972</v>
      </c>
      <c r="B211" s="1" t="s">
        <v>1042</v>
      </c>
      <c r="C211" s="1">
        <v>2</v>
      </c>
      <c r="D211" s="1" t="s">
        <v>1103</v>
      </c>
      <c r="E211" s="1" t="s">
        <v>1104</v>
      </c>
      <c r="F211" s="1">
        <v>-25.9894</v>
      </c>
      <c r="G211" s="1">
        <v>28.076699999999999</v>
      </c>
      <c r="H211" s="1" t="s">
        <v>1105</v>
      </c>
      <c r="I211" s="1" t="s">
        <v>1046</v>
      </c>
      <c r="J211" s="81">
        <v>26362</v>
      </c>
      <c r="K211" s="81" t="s">
        <v>1189</v>
      </c>
    </row>
    <row r="212" spans="1:11">
      <c r="A212" s="1">
        <v>1972</v>
      </c>
      <c r="B212" s="1" t="s">
        <v>899</v>
      </c>
      <c r="C212" s="1">
        <v>3</v>
      </c>
      <c r="D212" s="1" t="s">
        <v>1125</v>
      </c>
      <c r="E212" s="1" t="s">
        <v>1126</v>
      </c>
      <c r="F212" s="1">
        <v>40.617100000000001</v>
      </c>
      <c r="G212" s="1">
        <v>-3.5855800000000002</v>
      </c>
      <c r="H212" s="1" t="s">
        <v>1127</v>
      </c>
      <c r="I212" s="1" t="s">
        <v>903</v>
      </c>
      <c r="J212" s="81">
        <v>26420</v>
      </c>
      <c r="K212" s="81" t="s">
        <v>1190</v>
      </c>
    </row>
    <row r="213" spans="1:11">
      <c r="A213" s="1">
        <v>1972</v>
      </c>
      <c r="B213" s="1" t="s">
        <v>856</v>
      </c>
      <c r="C213" s="1">
        <v>4</v>
      </c>
      <c r="D213" s="1" t="s">
        <v>857</v>
      </c>
      <c r="E213" s="1" t="s">
        <v>858</v>
      </c>
      <c r="F213" s="1">
        <v>43.734699999999997</v>
      </c>
      <c r="G213" s="1">
        <v>7.42056</v>
      </c>
      <c r="H213" s="1" t="s">
        <v>859</v>
      </c>
      <c r="I213" s="1" t="s">
        <v>860</v>
      </c>
      <c r="J213" s="81">
        <v>26433</v>
      </c>
      <c r="K213" s="81" t="s">
        <v>1191</v>
      </c>
    </row>
    <row r="214" spans="1:11">
      <c r="A214" s="1">
        <v>1972</v>
      </c>
      <c r="B214" s="1" t="s">
        <v>872</v>
      </c>
      <c r="C214" s="1">
        <v>5</v>
      </c>
      <c r="D214" s="1" t="s">
        <v>1192</v>
      </c>
      <c r="E214" s="1" t="s">
        <v>1193</v>
      </c>
      <c r="F214" s="1">
        <v>50.621099999999998</v>
      </c>
      <c r="G214" s="1">
        <v>4.3269399999999996</v>
      </c>
      <c r="H214" s="1" t="s">
        <v>100</v>
      </c>
      <c r="I214" s="1" t="s">
        <v>244</v>
      </c>
      <c r="J214" s="81">
        <v>26454</v>
      </c>
      <c r="K214" s="81" t="s">
        <v>1194</v>
      </c>
    </row>
    <row r="215" spans="1:11">
      <c r="A215" s="1">
        <v>1972</v>
      </c>
      <c r="B215" s="1" t="s">
        <v>877</v>
      </c>
      <c r="C215" s="1">
        <v>6</v>
      </c>
      <c r="D215" s="1" t="s">
        <v>1084</v>
      </c>
      <c r="E215" s="1" t="s">
        <v>1085</v>
      </c>
      <c r="F215" s="1">
        <v>45.747199999999999</v>
      </c>
      <c r="G215" s="1">
        <v>3.0388899999999999</v>
      </c>
      <c r="H215" s="1" t="s">
        <v>1086</v>
      </c>
      <c r="I215" s="1" t="s">
        <v>755</v>
      </c>
      <c r="J215" s="81">
        <v>26482</v>
      </c>
      <c r="K215" s="81" t="s">
        <v>1195</v>
      </c>
    </row>
    <row r="216" spans="1:11">
      <c r="A216" s="1">
        <v>1972</v>
      </c>
      <c r="B216" s="1" t="s">
        <v>850</v>
      </c>
      <c r="C216" s="1">
        <v>7</v>
      </c>
      <c r="D216" s="1" t="s">
        <v>1067</v>
      </c>
      <c r="E216" s="1" t="s">
        <v>1068</v>
      </c>
      <c r="F216" s="1">
        <v>51.356900000000003</v>
      </c>
      <c r="G216" s="1">
        <v>0.26305600000000001</v>
      </c>
      <c r="H216" s="1" t="s">
        <v>1069</v>
      </c>
      <c r="I216" s="1" t="s">
        <v>854</v>
      </c>
      <c r="J216" s="81">
        <v>26495</v>
      </c>
      <c r="K216" s="81" t="s">
        <v>1196</v>
      </c>
    </row>
    <row r="217" spans="1:11">
      <c r="A217" s="1">
        <v>1972</v>
      </c>
      <c r="B217" s="1" t="s">
        <v>893</v>
      </c>
      <c r="C217" s="1">
        <v>8</v>
      </c>
      <c r="D217" s="1" t="s">
        <v>894</v>
      </c>
      <c r="E217" s="1" t="s">
        <v>895</v>
      </c>
      <c r="F217" s="1">
        <v>50.335599999999999</v>
      </c>
      <c r="G217" s="1">
        <v>6.9474999999999998</v>
      </c>
      <c r="H217" s="1" t="s">
        <v>896</v>
      </c>
      <c r="I217" s="1" t="s">
        <v>761</v>
      </c>
      <c r="J217" s="81">
        <v>26510</v>
      </c>
      <c r="K217" s="81" t="s">
        <v>1197</v>
      </c>
    </row>
    <row r="218" spans="1:11">
      <c r="A218" s="1">
        <v>1972</v>
      </c>
      <c r="B218" s="1" t="s">
        <v>1072</v>
      </c>
      <c r="C218" s="1">
        <v>9</v>
      </c>
      <c r="D218" s="1" t="s">
        <v>1166</v>
      </c>
      <c r="E218" s="1" t="s">
        <v>1167</v>
      </c>
      <c r="F218" s="1">
        <v>47.219700000000003</v>
      </c>
      <c r="G218" s="1">
        <v>14.764699999999999</v>
      </c>
      <c r="H218" s="1" t="s">
        <v>1168</v>
      </c>
      <c r="I218" s="1" t="s">
        <v>1076</v>
      </c>
      <c r="J218" s="81">
        <v>26524</v>
      </c>
      <c r="K218" s="81" t="s">
        <v>1198</v>
      </c>
    </row>
    <row r="219" spans="1:11">
      <c r="A219" s="1">
        <v>1972</v>
      </c>
      <c r="B219" s="1" t="s">
        <v>882</v>
      </c>
      <c r="C219" s="1">
        <v>10</v>
      </c>
      <c r="D219" s="1" t="s">
        <v>883</v>
      </c>
      <c r="E219" s="1" t="s">
        <v>884</v>
      </c>
      <c r="F219" s="1">
        <v>45.615600000000001</v>
      </c>
      <c r="G219" s="1">
        <v>9.28111</v>
      </c>
      <c r="H219" s="1" t="s">
        <v>885</v>
      </c>
      <c r="I219" s="1" t="s">
        <v>886</v>
      </c>
      <c r="J219" s="81">
        <v>26552</v>
      </c>
      <c r="K219" s="81" t="s">
        <v>1199</v>
      </c>
    </row>
    <row r="220" spans="1:11">
      <c r="A220" s="1">
        <v>1972</v>
      </c>
      <c r="B220" s="1" t="s">
        <v>1115</v>
      </c>
      <c r="C220" s="1">
        <v>11</v>
      </c>
      <c r="D220" s="1" t="s">
        <v>1116</v>
      </c>
      <c r="E220" s="1" t="s">
        <v>1117</v>
      </c>
      <c r="F220" s="1">
        <v>44.048099999999998</v>
      </c>
      <c r="G220" s="1">
        <v>-78.675600000000003</v>
      </c>
      <c r="H220" s="1" t="s">
        <v>1118</v>
      </c>
      <c r="I220" s="1" t="s">
        <v>1119</v>
      </c>
      <c r="J220" s="81">
        <v>26566</v>
      </c>
      <c r="K220" s="81" t="s">
        <v>1200</v>
      </c>
    </row>
    <row r="221" spans="1:11">
      <c r="A221" s="1">
        <v>1972</v>
      </c>
      <c r="B221" s="1" t="s">
        <v>1006</v>
      </c>
      <c r="C221" s="1">
        <v>12</v>
      </c>
      <c r="D221" s="1" t="s">
        <v>1031</v>
      </c>
      <c r="E221" s="1" t="s">
        <v>1032</v>
      </c>
      <c r="F221" s="1">
        <v>42.3369</v>
      </c>
      <c r="G221" s="1">
        <v>-76.927199999999999</v>
      </c>
      <c r="H221" s="1" t="s">
        <v>752</v>
      </c>
      <c r="I221" s="1" t="s">
        <v>1010</v>
      </c>
      <c r="J221" s="81">
        <v>26580</v>
      </c>
      <c r="K221" s="81" t="s">
        <v>1201</v>
      </c>
    </row>
    <row r="222" spans="1:11">
      <c r="A222" s="1">
        <v>1973</v>
      </c>
      <c r="B222" s="1" t="s">
        <v>921</v>
      </c>
      <c r="C222" s="1">
        <v>1</v>
      </c>
      <c r="D222" s="1" t="s">
        <v>922</v>
      </c>
      <c r="E222" s="1" t="s">
        <v>923</v>
      </c>
      <c r="F222" s="1">
        <v>-34.694299999999998</v>
      </c>
      <c r="G222" s="1">
        <v>-58.459299999999999</v>
      </c>
      <c r="H222" s="1" t="s">
        <v>253</v>
      </c>
      <c r="I222" s="1" t="s">
        <v>252</v>
      </c>
      <c r="J222" s="81">
        <v>26692</v>
      </c>
      <c r="K222" s="81" t="s">
        <v>1202</v>
      </c>
    </row>
    <row r="223" spans="1:11">
      <c r="A223" s="1">
        <v>1973</v>
      </c>
      <c r="B223" s="1" t="s">
        <v>1203</v>
      </c>
      <c r="C223" s="1">
        <v>2</v>
      </c>
      <c r="D223" s="1" t="s">
        <v>1204</v>
      </c>
      <c r="E223" s="1" t="s">
        <v>1205</v>
      </c>
      <c r="F223" s="1">
        <v>-23.703600000000002</v>
      </c>
      <c r="G223" s="1">
        <v>-46.6997</v>
      </c>
      <c r="H223" s="1" t="s">
        <v>1206</v>
      </c>
      <c r="I223" s="1" t="s">
        <v>1207</v>
      </c>
      <c r="J223" s="81">
        <v>26706</v>
      </c>
      <c r="K223" s="81" t="s">
        <v>1208</v>
      </c>
    </row>
    <row r="224" spans="1:11">
      <c r="A224" s="1">
        <v>1973</v>
      </c>
      <c r="B224" s="1" t="s">
        <v>1042</v>
      </c>
      <c r="C224" s="1">
        <v>3</v>
      </c>
      <c r="D224" s="1" t="s">
        <v>1103</v>
      </c>
      <c r="E224" s="1" t="s">
        <v>1104</v>
      </c>
      <c r="F224" s="1">
        <v>-25.9894</v>
      </c>
      <c r="G224" s="1">
        <v>28.076699999999999</v>
      </c>
      <c r="H224" s="1" t="s">
        <v>1105</v>
      </c>
      <c r="I224" s="1" t="s">
        <v>1046</v>
      </c>
      <c r="J224" s="81">
        <v>26726</v>
      </c>
      <c r="K224" s="81" t="s">
        <v>1209</v>
      </c>
    </row>
    <row r="225" spans="1:11">
      <c r="A225" s="1">
        <v>1973</v>
      </c>
      <c r="B225" s="1" t="s">
        <v>899</v>
      </c>
      <c r="C225" s="1">
        <v>4</v>
      </c>
      <c r="D225" s="1" t="s">
        <v>1143</v>
      </c>
      <c r="E225" s="1" t="s">
        <v>1144</v>
      </c>
      <c r="F225" s="1">
        <v>41.366399999999999</v>
      </c>
      <c r="G225" s="1">
        <v>2.1516700000000002</v>
      </c>
      <c r="H225" s="1" t="s">
        <v>902</v>
      </c>
      <c r="I225" s="1" t="s">
        <v>903</v>
      </c>
      <c r="J225" s="81">
        <v>26783</v>
      </c>
      <c r="K225" s="81" t="s">
        <v>1210</v>
      </c>
    </row>
    <row r="226" spans="1:11">
      <c r="A226" s="1">
        <v>1973</v>
      </c>
      <c r="B226" s="1" t="s">
        <v>872</v>
      </c>
      <c r="C226" s="1">
        <v>5</v>
      </c>
      <c r="D226" s="1" t="s">
        <v>1211</v>
      </c>
      <c r="E226" s="1" t="s">
        <v>1212</v>
      </c>
      <c r="F226" s="1">
        <v>50.989400000000003</v>
      </c>
      <c r="G226" s="1">
        <v>5.2569400000000002</v>
      </c>
      <c r="H226" s="1" t="s">
        <v>1213</v>
      </c>
      <c r="I226" s="1" t="s">
        <v>244</v>
      </c>
      <c r="J226" s="81">
        <v>26804</v>
      </c>
      <c r="K226" s="81" t="s">
        <v>1214</v>
      </c>
    </row>
    <row r="227" spans="1:11">
      <c r="A227" s="1">
        <v>1973</v>
      </c>
      <c r="B227" s="1" t="s">
        <v>856</v>
      </c>
      <c r="C227" s="1">
        <v>6</v>
      </c>
      <c r="D227" s="1" t="s">
        <v>857</v>
      </c>
      <c r="E227" s="1" t="s">
        <v>858</v>
      </c>
      <c r="F227" s="1">
        <v>43.734699999999997</v>
      </c>
      <c r="G227" s="1">
        <v>7.42056</v>
      </c>
      <c r="H227" s="1" t="s">
        <v>859</v>
      </c>
      <c r="I227" s="1" t="s">
        <v>860</v>
      </c>
      <c r="J227" s="81">
        <v>26818</v>
      </c>
      <c r="K227" s="81" t="s">
        <v>1215</v>
      </c>
    </row>
    <row r="228" spans="1:11">
      <c r="A228" s="1">
        <v>1973</v>
      </c>
      <c r="B228" s="1" t="s">
        <v>1216</v>
      </c>
      <c r="C228" s="1">
        <v>7</v>
      </c>
      <c r="D228" s="1" t="s">
        <v>1217</v>
      </c>
      <c r="E228" s="1" t="s">
        <v>1218</v>
      </c>
      <c r="F228" s="1">
        <v>57.265300000000003</v>
      </c>
      <c r="G228" s="1">
        <v>13.604200000000001</v>
      </c>
      <c r="H228" s="1" t="s">
        <v>1219</v>
      </c>
      <c r="I228" s="1" t="s">
        <v>1220</v>
      </c>
      <c r="J228" s="81">
        <v>26832</v>
      </c>
      <c r="K228" s="81" t="s">
        <v>1221</v>
      </c>
    </row>
    <row r="229" spans="1:11">
      <c r="A229" s="1">
        <v>1973</v>
      </c>
      <c r="B229" s="1" t="s">
        <v>877</v>
      </c>
      <c r="C229" s="1">
        <v>8</v>
      </c>
      <c r="D229" s="1" t="s">
        <v>1178</v>
      </c>
      <c r="E229" s="1" t="s">
        <v>1179</v>
      </c>
      <c r="F229" s="1">
        <v>43.250599999999999</v>
      </c>
      <c r="G229" s="1">
        <v>5.7916699999999999</v>
      </c>
      <c r="H229" s="1" t="s">
        <v>1180</v>
      </c>
      <c r="I229" s="1" t="s">
        <v>755</v>
      </c>
      <c r="J229" s="81">
        <v>26846</v>
      </c>
      <c r="K229" s="81" t="s">
        <v>1222</v>
      </c>
    </row>
    <row r="230" spans="1:11">
      <c r="A230" s="1">
        <v>1973</v>
      </c>
      <c r="B230" s="1" t="s">
        <v>850</v>
      </c>
      <c r="C230" s="1">
        <v>9</v>
      </c>
      <c r="D230" s="1" t="s">
        <v>851</v>
      </c>
      <c r="E230" s="1" t="s">
        <v>852</v>
      </c>
      <c r="F230" s="1">
        <v>52.078600000000002</v>
      </c>
      <c r="G230" s="1">
        <v>-1.01694</v>
      </c>
      <c r="H230" s="1" t="s">
        <v>853</v>
      </c>
      <c r="I230" s="1" t="s">
        <v>854</v>
      </c>
      <c r="J230" s="81">
        <v>26859</v>
      </c>
      <c r="K230" s="81" t="s">
        <v>1223</v>
      </c>
    </row>
    <row r="231" spans="1:11">
      <c r="A231" s="1">
        <v>1973</v>
      </c>
      <c r="B231" s="1" t="s">
        <v>914</v>
      </c>
      <c r="C231" s="1">
        <v>10</v>
      </c>
      <c r="D231" s="1" t="s">
        <v>915</v>
      </c>
      <c r="E231" s="1" t="s">
        <v>916</v>
      </c>
      <c r="F231" s="1">
        <v>52.388800000000003</v>
      </c>
      <c r="G231" s="1">
        <v>4.5409199999999998</v>
      </c>
      <c r="H231" s="1" t="s">
        <v>917</v>
      </c>
      <c r="I231" s="1" t="s">
        <v>918</v>
      </c>
      <c r="J231" s="81">
        <v>26874</v>
      </c>
      <c r="K231" s="81" t="s">
        <v>1224</v>
      </c>
    </row>
    <row r="232" spans="1:11">
      <c r="A232" s="1">
        <v>1973</v>
      </c>
      <c r="B232" s="1" t="s">
        <v>893</v>
      </c>
      <c r="C232" s="1">
        <v>11</v>
      </c>
      <c r="D232" s="1" t="s">
        <v>894</v>
      </c>
      <c r="E232" s="1" t="s">
        <v>895</v>
      </c>
      <c r="F232" s="1">
        <v>50.335599999999999</v>
      </c>
      <c r="G232" s="1">
        <v>6.9474999999999998</v>
      </c>
      <c r="H232" s="1" t="s">
        <v>896</v>
      </c>
      <c r="I232" s="1" t="s">
        <v>761</v>
      </c>
      <c r="J232" s="81">
        <v>26881</v>
      </c>
      <c r="K232" s="81" t="s">
        <v>1225</v>
      </c>
    </row>
    <row r="233" spans="1:11">
      <c r="A233" s="1">
        <v>1973</v>
      </c>
      <c r="B233" s="1" t="s">
        <v>1072</v>
      </c>
      <c r="C233" s="1">
        <v>12</v>
      </c>
      <c r="D233" s="1" t="s">
        <v>1166</v>
      </c>
      <c r="E233" s="1" t="s">
        <v>1167</v>
      </c>
      <c r="F233" s="1">
        <v>47.219700000000003</v>
      </c>
      <c r="G233" s="1">
        <v>14.764699999999999</v>
      </c>
      <c r="H233" s="1" t="s">
        <v>1168</v>
      </c>
      <c r="I233" s="1" t="s">
        <v>1076</v>
      </c>
      <c r="J233" s="81">
        <v>26895</v>
      </c>
      <c r="K233" s="81" t="s">
        <v>1226</v>
      </c>
    </row>
    <row r="234" spans="1:11">
      <c r="A234" s="1">
        <v>1973</v>
      </c>
      <c r="B234" s="1" t="s">
        <v>882</v>
      </c>
      <c r="C234" s="1">
        <v>13</v>
      </c>
      <c r="D234" s="1" t="s">
        <v>883</v>
      </c>
      <c r="E234" s="1" t="s">
        <v>884</v>
      </c>
      <c r="F234" s="1">
        <v>45.615600000000001</v>
      </c>
      <c r="G234" s="1">
        <v>9.28111</v>
      </c>
      <c r="H234" s="1" t="s">
        <v>885</v>
      </c>
      <c r="I234" s="1" t="s">
        <v>886</v>
      </c>
      <c r="J234" s="81">
        <v>26916</v>
      </c>
      <c r="K234" s="81" t="s">
        <v>1227</v>
      </c>
    </row>
    <row r="235" spans="1:11">
      <c r="A235" s="1">
        <v>1973</v>
      </c>
      <c r="B235" s="1" t="s">
        <v>1115</v>
      </c>
      <c r="C235" s="1">
        <v>14</v>
      </c>
      <c r="D235" s="1" t="s">
        <v>1116</v>
      </c>
      <c r="E235" s="1" t="s">
        <v>1117</v>
      </c>
      <c r="F235" s="1">
        <v>44.048099999999998</v>
      </c>
      <c r="G235" s="1">
        <v>-78.675600000000003</v>
      </c>
      <c r="H235" s="1" t="s">
        <v>1118</v>
      </c>
      <c r="I235" s="1" t="s">
        <v>1119</v>
      </c>
      <c r="J235" s="81">
        <v>26930</v>
      </c>
      <c r="K235" s="81" t="s">
        <v>1228</v>
      </c>
    </row>
    <row r="236" spans="1:11">
      <c r="A236" s="1">
        <v>1973</v>
      </c>
      <c r="B236" s="1" t="s">
        <v>1006</v>
      </c>
      <c r="C236" s="1">
        <v>15</v>
      </c>
      <c r="D236" s="1" t="s">
        <v>1031</v>
      </c>
      <c r="E236" s="1" t="s">
        <v>1032</v>
      </c>
      <c r="F236" s="1">
        <v>42.3369</v>
      </c>
      <c r="G236" s="1">
        <v>-76.927199999999999</v>
      </c>
      <c r="H236" s="1" t="s">
        <v>752</v>
      </c>
      <c r="I236" s="1" t="s">
        <v>1010</v>
      </c>
      <c r="J236" s="81">
        <v>26944</v>
      </c>
      <c r="K236" s="81" t="s">
        <v>1229</v>
      </c>
    </row>
    <row r="237" spans="1:11">
      <c r="A237" s="1">
        <v>1974</v>
      </c>
      <c r="B237" s="1" t="s">
        <v>921</v>
      </c>
      <c r="C237" s="1">
        <v>1</v>
      </c>
      <c r="D237" s="1" t="s">
        <v>922</v>
      </c>
      <c r="E237" s="1" t="s">
        <v>923</v>
      </c>
      <c r="F237" s="1">
        <v>-34.694299999999998</v>
      </c>
      <c r="G237" s="1">
        <v>-58.459299999999999</v>
      </c>
      <c r="H237" s="1" t="s">
        <v>253</v>
      </c>
      <c r="I237" s="1" t="s">
        <v>252</v>
      </c>
      <c r="J237" s="81">
        <v>27042</v>
      </c>
      <c r="K237" s="81" t="s">
        <v>1230</v>
      </c>
    </row>
    <row r="238" spans="1:11">
      <c r="A238" s="1">
        <v>1974</v>
      </c>
      <c r="B238" s="1" t="s">
        <v>1203</v>
      </c>
      <c r="C238" s="1">
        <v>2</v>
      </c>
      <c r="D238" s="1" t="s">
        <v>1204</v>
      </c>
      <c r="E238" s="1" t="s">
        <v>1205</v>
      </c>
      <c r="F238" s="1">
        <v>-23.703600000000002</v>
      </c>
      <c r="G238" s="1">
        <v>-46.6997</v>
      </c>
      <c r="H238" s="1" t="s">
        <v>1206</v>
      </c>
      <c r="I238" s="1" t="s">
        <v>1207</v>
      </c>
      <c r="J238" s="81">
        <v>27056</v>
      </c>
      <c r="K238" s="81" t="s">
        <v>1231</v>
      </c>
    </row>
    <row r="239" spans="1:11">
      <c r="A239" s="1">
        <v>1974</v>
      </c>
      <c r="B239" s="1" t="s">
        <v>1042</v>
      </c>
      <c r="C239" s="1">
        <v>3</v>
      </c>
      <c r="D239" s="1" t="s">
        <v>1103</v>
      </c>
      <c r="E239" s="1" t="s">
        <v>1104</v>
      </c>
      <c r="F239" s="1">
        <v>-25.9894</v>
      </c>
      <c r="G239" s="1">
        <v>28.076699999999999</v>
      </c>
      <c r="H239" s="1" t="s">
        <v>1105</v>
      </c>
      <c r="I239" s="1" t="s">
        <v>1046</v>
      </c>
      <c r="J239" s="81">
        <v>27118</v>
      </c>
      <c r="K239" s="81" t="s">
        <v>1232</v>
      </c>
    </row>
    <row r="240" spans="1:11">
      <c r="A240" s="1">
        <v>1974</v>
      </c>
      <c r="B240" s="1" t="s">
        <v>899</v>
      </c>
      <c r="C240" s="1">
        <v>4</v>
      </c>
      <c r="D240" s="1" t="s">
        <v>1125</v>
      </c>
      <c r="E240" s="1" t="s">
        <v>1126</v>
      </c>
      <c r="F240" s="1">
        <v>40.617100000000001</v>
      </c>
      <c r="G240" s="1">
        <v>-3.5855800000000002</v>
      </c>
      <c r="H240" s="1" t="s">
        <v>1127</v>
      </c>
      <c r="I240" s="1" t="s">
        <v>903</v>
      </c>
      <c r="J240" s="81">
        <v>27147</v>
      </c>
      <c r="K240" s="81" t="s">
        <v>1233</v>
      </c>
    </row>
    <row r="241" spans="1:11">
      <c r="A241" s="1">
        <v>1974</v>
      </c>
      <c r="B241" s="1" t="s">
        <v>872</v>
      </c>
      <c r="C241" s="1">
        <v>5</v>
      </c>
      <c r="D241" s="1" t="s">
        <v>1192</v>
      </c>
      <c r="E241" s="1" t="s">
        <v>1193</v>
      </c>
      <c r="F241" s="1">
        <v>50.621099999999998</v>
      </c>
      <c r="G241" s="1">
        <v>4.3269399999999996</v>
      </c>
      <c r="H241" s="1" t="s">
        <v>100</v>
      </c>
      <c r="I241" s="1" t="s">
        <v>244</v>
      </c>
      <c r="J241" s="81">
        <v>27161</v>
      </c>
      <c r="K241" s="81" t="s">
        <v>1234</v>
      </c>
    </row>
    <row r="242" spans="1:11">
      <c r="A242" s="1">
        <v>1974</v>
      </c>
      <c r="B242" s="1" t="s">
        <v>856</v>
      </c>
      <c r="C242" s="1">
        <v>6</v>
      </c>
      <c r="D242" s="1" t="s">
        <v>857</v>
      </c>
      <c r="E242" s="1" t="s">
        <v>858</v>
      </c>
      <c r="F242" s="1">
        <v>43.734699999999997</v>
      </c>
      <c r="G242" s="1">
        <v>7.42056</v>
      </c>
      <c r="H242" s="1" t="s">
        <v>859</v>
      </c>
      <c r="I242" s="1" t="s">
        <v>860</v>
      </c>
      <c r="J242" s="81">
        <v>27175</v>
      </c>
      <c r="K242" s="81" t="s">
        <v>1235</v>
      </c>
    </row>
    <row r="243" spans="1:11">
      <c r="A243" s="1">
        <v>1974</v>
      </c>
      <c r="B243" s="1" t="s">
        <v>1216</v>
      </c>
      <c r="C243" s="1">
        <v>7</v>
      </c>
      <c r="D243" s="1" t="s">
        <v>1217</v>
      </c>
      <c r="E243" s="1" t="s">
        <v>1218</v>
      </c>
      <c r="F243" s="1">
        <v>57.265300000000003</v>
      </c>
      <c r="G243" s="1">
        <v>13.604200000000001</v>
      </c>
      <c r="H243" s="1" t="s">
        <v>1219</v>
      </c>
      <c r="I243" s="1" t="s">
        <v>1220</v>
      </c>
      <c r="J243" s="81">
        <v>27189</v>
      </c>
      <c r="K243" s="81" t="s">
        <v>1236</v>
      </c>
    </row>
    <row r="244" spans="1:11">
      <c r="A244" s="1">
        <v>1974</v>
      </c>
      <c r="B244" s="1" t="s">
        <v>914</v>
      </c>
      <c r="C244" s="1">
        <v>8</v>
      </c>
      <c r="D244" s="1" t="s">
        <v>915</v>
      </c>
      <c r="E244" s="1" t="s">
        <v>916</v>
      </c>
      <c r="F244" s="1">
        <v>52.388800000000003</v>
      </c>
      <c r="G244" s="1">
        <v>4.5409199999999998</v>
      </c>
      <c r="H244" s="1" t="s">
        <v>917</v>
      </c>
      <c r="I244" s="1" t="s">
        <v>918</v>
      </c>
      <c r="J244" s="81">
        <v>27203</v>
      </c>
      <c r="K244" s="81" t="s">
        <v>1237</v>
      </c>
    </row>
    <row r="245" spans="1:11">
      <c r="A245" s="1">
        <v>1974</v>
      </c>
      <c r="B245" s="1" t="s">
        <v>877</v>
      </c>
      <c r="C245" s="1">
        <v>9</v>
      </c>
      <c r="D245" s="1" t="s">
        <v>1238</v>
      </c>
      <c r="E245" s="1" t="s">
        <v>1239</v>
      </c>
      <c r="F245" s="1">
        <v>47.362499999999997</v>
      </c>
      <c r="G245" s="1">
        <v>47.362499999999997</v>
      </c>
      <c r="H245" s="1" t="s">
        <v>1240</v>
      </c>
      <c r="I245" s="1" t="s">
        <v>755</v>
      </c>
      <c r="J245" s="81">
        <v>27217</v>
      </c>
      <c r="K245" s="81" t="s">
        <v>1241</v>
      </c>
    </row>
    <row r="246" spans="1:11">
      <c r="A246" s="1">
        <v>1974</v>
      </c>
      <c r="B246" s="1" t="s">
        <v>850</v>
      </c>
      <c r="C246" s="1">
        <v>10</v>
      </c>
      <c r="D246" s="1" t="s">
        <v>1067</v>
      </c>
      <c r="E246" s="1" t="s">
        <v>1068</v>
      </c>
      <c r="F246" s="1">
        <v>51.356900000000003</v>
      </c>
      <c r="G246" s="1">
        <v>0.26305600000000001</v>
      </c>
      <c r="H246" s="1" t="s">
        <v>1069</v>
      </c>
      <c r="I246" s="1" t="s">
        <v>854</v>
      </c>
      <c r="J246" s="81">
        <v>27230</v>
      </c>
      <c r="K246" s="81" t="s">
        <v>1242</v>
      </c>
    </row>
    <row r="247" spans="1:11">
      <c r="A247" s="1">
        <v>1974</v>
      </c>
      <c r="B247" s="1" t="s">
        <v>893</v>
      </c>
      <c r="C247" s="1">
        <v>11</v>
      </c>
      <c r="D247" s="1" t="s">
        <v>894</v>
      </c>
      <c r="E247" s="1" t="s">
        <v>895</v>
      </c>
      <c r="F247" s="1">
        <v>50.335599999999999</v>
      </c>
      <c r="G247" s="1">
        <v>6.9474999999999998</v>
      </c>
      <c r="H247" s="1" t="s">
        <v>896</v>
      </c>
      <c r="I247" s="1" t="s">
        <v>761</v>
      </c>
      <c r="J247" s="81">
        <v>27245</v>
      </c>
      <c r="K247" s="81" t="s">
        <v>1243</v>
      </c>
    </row>
    <row r="248" spans="1:11">
      <c r="A248" s="1">
        <v>1974</v>
      </c>
      <c r="B248" s="1" t="s">
        <v>1072</v>
      </c>
      <c r="C248" s="1">
        <v>12</v>
      </c>
      <c r="D248" s="1" t="s">
        <v>1166</v>
      </c>
      <c r="E248" s="1" t="s">
        <v>1167</v>
      </c>
      <c r="F248" s="1">
        <v>47.219700000000003</v>
      </c>
      <c r="G248" s="1">
        <v>14.764699999999999</v>
      </c>
      <c r="H248" s="1" t="s">
        <v>1168</v>
      </c>
      <c r="I248" s="1" t="s">
        <v>1076</v>
      </c>
      <c r="J248" s="81">
        <v>27259</v>
      </c>
      <c r="K248" s="81" t="s">
        <v>1244</v>
      </c>
    </row>
    <row r="249" spans="1:11">
      <c r="A249" s="1">
        <v>1974</v>
      </c>
      <c r="B249" s="1" t="s">
        <v>882</v>
      </c>
      <c r="C249" s="1">
        <v>13</v>
      </c>
      <c r="D249" s="1" t="s">
        <v>883</v>
      </c>
      <c r="E249" s="1" t="s">
        <v>884</v>
      </c>
      <c r="F249" s="1">
        <v>45.615600000000001</v>
      </c>
      <c r="G249" s="1">
        <v>9.28111</v>
      </c>
      <c r="H249" s="1" t="s">
        <v>885</v>
      </c>
      <c r="I249" s="1" t="s">
        <v>886</v>
      </c>
      <c r="J249" s="81">
        <v>27280</v>
      </c>
      <c r="K249" s="81" t="s">
        <v>1245</v>
      </c>
    </row>
    <row r="250" spans="1:11">
      <c r="A250" s="1">
        <v>1974</v>
      </c>
      <c r="B250" s="1" t="s">
        <v>1115</v>
      </c>
      <c r="C250" s="1">
        <v>14</v>
      </c>
      <c r="D250" s="1" t="s">
        <v>1116</v>
      </c>
      <c r="E250" s="1" t="s">
        <v>1117</v>
      </c>
      <c r="F250" s="1">
        <v>44.048099999999998</v>
      </c>
      <c r="G250" s="1">
        <v>-78.675600000000003</v>
      </c>
      <c r="H250" s="1" t="s">
        <v>1118</v>
      </c>
      <c r="I250" s="1" t="s">
        <v>1119</v>
      </c>
      <c r="J250" s="81">
        <v>27294</v>
      </c>
      <c r="K250" s="81" t="s">
        <v>1246</v>
      </c>
    </row>
    <row r="251" spans="1:11">
      <c r="A251" s="1">
        <v>1974</v>
      </c>
      <c r="B251" s="1" t="s">
        <v>1006</v>
      </c>
      <c r="C251" s="1">
        <v>15</v>
      </c>
      <c r="D251" s="1" t="s">
        <v>1031</v>
      </c>
      <c r="E251" s="1" t="s">
        <v>1032</v>
      </c>
      <c r="F251" s="1">
        <v>42.3369</v>
      </c>
      <c r="G251" s="1">
        <v>-76.927199999999999</v>
      </c>
      <c r="H251" s="1" t="s">
        <v>752</v>
      </c>
      <c r="I251" s="1" t="s">
        <v>1010</v>
      </c>
      <c r="J251" s="81">
        <v>27308</v>
      </c>
      <c r="K251" s="81" t="s">
        <v>1247</v>
      </c>
    </row>
    <row r="252" spans="1:11">
      <c r="A252" s="1">
        <v>1975</v>
      </c>
      <c r="B252" s="1" t="s">
        <v>921</v>
      </c>
      <c r="C252" s="1">
        <v>1</v>
      </c>
      <c r="D252" s="1" t="s">
        <v>922</v>
      </c>
      <c r="E252" s="1" t="s">
        <v>923</v>
      </c>
      <c r="F252" s="1">
        <v>-34.694299999999998</v>
      </c>
      <c r="G252" s="1">
        <v>-58.459299999999999</v>
      </c>
      <c r="H252" s="1" t="s">
        <v>253</v>
      </c>
      <c r="I252" s="1" t="s">
        <v>252</v>
      </c>
      <c r="J252" s="81">
        <v>27406</v>
      </c>
      <c r="K252" s="81" t="s">
        <v>1248</v>
      </c>
    </row>
    <row r="253" spans="1:11">
      <c r="A253" s="1">
        <v>1975</v>
      </c>
      <c r="B253" s="1" t="s">
        <v>1203</v>
      </c>
      <c r="C253" s="1">
        <v>2</v>
      </c>
      <c r="D253" s="1" t="s">
        <v>1204</v>
      </c>
      <c r="E253" s="1" t="s">
        <v>1205</v>
      </c>
      <c r="F253" s="1">
        <v>-23.703600000000002</v>
      </c>
      <c r="G253" s="1">
        <v>-46.6997</v>
      </c>
      <c r="H253" s="1" t="s">
        <v>1206</v>
      </c>
      <c r="I253" s="1" t="s">
        <v>1207</v>
      </c>
      <c r="J253" s="81">
        <v>27420</v>
      </c>
      <c r="K253" s="81" t="s">
        <v>1249</v>
      </c>
    </row>
    <row r="254" spans="1:11">
      <c r="A254" s="1">
        <v>1975</v>
      </c>
      <c r="B254" s="1" t="s">
        <v>1042</v>
      </c>
      <c r="C254" s="1">
        <v>3</v>
      </c>
      <c r="D254" s="1" t="s">
        <v>1103</v>
      </c>
      <c r="E254" s="1" t="s">
        <v>1104</v>
      </c>
      <c r="F254" s="1">
        <v>-25.9894</v>
      </c>
      <c r="G254" s="1">
        <v>28.076699999999999</v>
      </c>
      <c r="H254" s="1" t="s">
        <v>1105</v>
      </c>
      <c r="I254" s="1" t="s">
        <v>1046</v>
      </c>
      <c r="J254" s="81">
        <v>27454</v>
      </c>
      <c r="K254" s="81" t="s">
        <v>1250</v>
      </c>
    </row>
    <row r="255" spans="1:11">
      <c r="A255" s="1">
        <v>1975</v>
      </c>
      <c r="B255" s="1" t="s">
        <v>899</v>
      </c>
      <c r="C255" s="1">
        <v>4</v>
      </c>
      <c r="D255" s="1" t="s">
        <v>1143</v>
      </c>
      <c r="E255" s="1" t="s">
        <v>1144</v>
      </c>
      <c r="F255" s="1">
        <v>41.366399999999999</v>
      </c>
      <c r="G255" s="1">
        <v>2.1516700000000002</v>
      </c>
      <c r="H255" s="1" t="s">
        <v>902</v>
      </c>
      <c r="I255" s="1" t="s">
        <v>903</v>
      </c>
      <c r="J255" s="81">
        <v>27511</v>
      </c>
      <c r="K255" s="81" t="s">
        <v>1251</v>
      </c>
    </row>
    <row r="256" spans="1:11">
      <c r="A256" s="1">
        <v>1975</v>
      </c>
      <c r="B256" s="1" t="s">
        <v>856</v>
      </c>
      <c r="C256" s="1">
        <v>5</v>
      </c>
      <c r="D256" s="1" t="s">
        <v>857</v>
      </c>
      <c r="E256" s="1" t="s">
        <v>858</v>
      </c>
      <c r="F256" s="1">
        <v>43.734699999999997</v>
      </c>
      <c r="G256" s="1">
        <v>7.42056</v>
      </c>
      <c r="H256" s="1" t="s">
        <v>859</v>
      </c>
      <c r="I256" s="1" t="s">
        <v>860</v>
      </c>
      <c r="J256" s="81">
        <v>27525</v>
      </c>
      <c r="K256" s="81" t="s">
        <v>1252</v>
      </c>
    </row>
    <row r="257" spans="1:11">
      <c r="A257" s="1">
        <v>1975</v>
      </c>
      <c r="B257" s="1" t="s">
        <v>872</v>
      </c>
      <c r="C257" s="1">
        <v>6</v>
      </c>
      <c r="D257" s="1" t="s">
        <v>1211</v>
      </c>
      <c r="E257" s="1" t="s">
        <v>1212</v>
      </c>
      <c r="F257" s="1">
        <v>50.989400000000003</v>
      </c>
      <c r="G257" s="1">
        <v>5.2569400000000002</v>
      </c>
      <c r="H257" s="1" t="s">
        <v>1213</v>
      </c>
      <c r="I257" s="1" t="s">
        <v>244</v>
      </c>
      <c r="J257" s="81">
        <v>27539</v>
      </c>
      <c r="K257" s="81" t="s">
        <v>1253</v>
      </c>
    </row>
    <row r="258" spans="1:11">
      <c r="A258" s="1">
        <v>1975</v>
      </c>
      <c r="B258" s="1" t="s">
        <v>1216</v>
      </c>
      <c r="C258" s="1">
        <v>7</v>
      </c>
      <c r="D258" s="1" t="s">
        <v>1217</v>
      </c>
      <c r="E258" s="1" t="s">
        <v>1218</v>
      </c>
      <c r="F258" s="1">
        <v>57.265300000000003</v>
      </c>
      <c r="G258" s="1">
        <v>13.604200000000001</v>
      </c>
      <c r="H258" s="1" t="s">
        <v>1219</v>
      </c>
      <c r="I258" s="1" t="s">
        <v>1220</v>
      </c>
      <c r="J258" s="81">
        <v>27553</v>
      </c>
      <c r="K258" s="81" t="s">
        <v>1254</v>
      </c>
    </row>
    <row r="259" spans="1:11">
      <c r="A259" s="1">
        <v>1975</v>
      </c>
      <c r="B259" s="1" t="s">
        <v>914</v>
      </c>
      <c r="C259" s="1">
        <v>8</v>
      </c>
      <c r="D259" s="1" t="s">
        <v>915</v>
      </c>
      <c r="E259" s="1" t="s">
        <v>916</v>
      </c>
      <c r="F259" s="1">
        <v>52.388800000000003</v>
      </c>
      <c r="G259" s="1">
        <v>4.5409199999999998</v>
      </c>
      <c r="H259" s="1" t="s">
        <v>917</v>
      </c>
      <c r="I259" s="1" t="s">
        <v>918</v>
      </c>
      <c r="J259" s="81">
        <v>27567</v>
      </c>
      <c r="K259" s="81" t="s">
        <v>1255</v>
      </c>
    </row>
    <row r="260" spans="1:11">
      <c r="A260" s="1">
        <v>1975</v>
      </c>
      <c r="B260" s="1" t="s">
        <v>877</v>
      </c>
      <c r="C260" s="1">
        <v>9</v>
      </c>
      <c r="D260" s="1" t="s">
        <v>1178</v>
      </c>
      <c r="E260" s="1" t="s">
        <v>1179</v>
      </c>
      <c r="F260" s="1">
        <v>43.250599999999999</v>
      </c>
      <c r="G260" s="1">
        <v>5.7916699999999999</v>
      </c>
      <c r="H260" s="1" t="s">
        <v>1180</v>
      </c>
      <c r="I260" s="1" t="s">
        <v>755</v>
      </c>
      <c r="J260" s="81">
        <v>27581</v>
      </c>
      <c r="K260" s="81" t="s">
        <v>1256</v>
      </c>
    </row>
    <row r="261" spans="1:11">
      <c r="A261" s="1">
        <v>1975</v>
      </c>
      <c r="B261" s="1" t="s">
        <v>850</v>
      </c>
      <c r="C261" s="1">
        <v>10</v>
      </c>
      <c r="D261" s="1" t="s">
        <v>851</v>
      </c>
      <c r="E261" s="1" t="s">
        <v>852</v>
      </c>
      <c r="F261" s="1">
        <v>52.078600000000002</v>
      </c>
      <c r="G261" s="1">
        <v>-1.01694</v>
      </c>
      <c r="H261" s="1" t="s">
        <v>853</v>
      </c>
      <c r="I261" s="1" t="s">
        <v>854</v>
      </c>
      <c r="J261" s="81">
        <v>27594</v>
      </c>
      <c r="K261" s="81" t="s">
        <v>1257</v>
      </c>
    </row>
    <row r="262" spans="1:11">
      <c r="A262" s="1">
        <v>1975</v>
      </c>
      <c r="B262" s="1" t="s">
        <v>893</v>
      </c>
      <c r="C262" s="1">
        <v>11</v>
      </c>
      <c r="D262" s="1" t="s">
        <v>894</v>
      </c>
      <c r="E262" s="1" t="s">
        <v>895</v>
      </c>
      <c r="F262" s="1">
        <v>50.335599999999999</v>
      </c>
      <c r="G262" s="1">
        <v>6.9474999999999998</v>
      </c>
      <c r="H262" s="1" t="s">
        <v>896</v>
      </c>
      <c r="I262" s="1" t="s">
        <v>761</v>
      </c>
      <c r="J262" s="81">
        <v>27609</v>
      </c>
      <c r="K262" s="81" t="s">
        <v>1258</v>
      </c>
    </row>
    <row r="263" spans="1:11">
      <c r="A263" s="1">
        <v>1975</v>
      </c>
      <c r="B263" s="1" t="s">
        <v>1072</v>
      </c>
      <c r="C263" s="1">
        <v>12</v>
      </c>
      <c r="D263" s="1" t="s">
        <v>1166</v>
      </c>
      <c r="E263" s="1" t="s">
        <v>1167</v>
      </c>
      <c r="F263" s="1">
        <v>47.219700000000003</v>
      </c>
      <c r="G263" s="1">
        <v>14.764699999999999</v>
      </c>
      <c r="H263" s="1" t="s">
        <v>1168</v>
      </c>
      <c r="I263" s="1" t="s">
        <v>1076</v>
      </c>
      <c r="J263" s="81">
        <v>27623</v>
      </c>
      <c r="K263" s="81" t="s">
        <v>1259</v>
      </c>
    </row>
    <row r="264" spans="1:11">
      <c r="A264" s="1">
        <v>1975</v>
      </c>
      <c r="B264" s="1" t="s">
        <v>882</v>
      </c>
      <c r="C264" s="1">
        <v>13</v>
      </c>
      <c r="D264" s="1" t="s">
        <v>883</v>
      </c>
      <c r="E264" s="1" t="s">
        <v>884</v>
      </c>
      <c r="F264" s="1">
        <v>45.615600000000001</v>
      </c>
      <c r="G264" s="1">
        <v>9.28111</v>
      </c>
      <c r="H264" s="1" t="s">
        <v>885</v>
      </c>
      <c r="I264" s="1" t="s">
        <v>886</v>
      </c>
      <c r="J264" s="81">
        <v>27644</v>
      </c>
      <c r="K264" s="81" t="s">
        <v>1260</v>
      </c>
    </row>
    <row r="265" spans="1:11">
      <c r="A265" s="1">
        <v>1975</v>
      </c>
      <c r="B265" s="1" t="s">
        <v>1006</v>
      </c>
      <c r="C265" s="1">
        <v>14</v>
      </c>
      <c r="D265" s="1" t="s">
        <v>1031</v>
      </c>
      <c r="E265" s="1" t="s">
        <v>1032</v>
      </c>
      <c r="F265" s="1">
        <v>42.3369</v>
      </c>
      <c r="G265" s="1">
        <v>-76.927199999999999</v>
      </c>
      <c r="H265" s="1" t="s">
        <v>752</v>
      </c>
      <c r="I265" s="1" t="s">
        <v>1010</v>
      </c>
      <c r="J265" s="81">
        <v>27672</v>
      </c>
      <c r="K265" s="81" t="s">
        <v>1261</v>
      </c>
    </row>
    <row r="266" spans="1:11">
      <c r="A266" s="1">
        <v>1976</v>
      </c>
      <c r="B266" s="1" t="s">
        <v>1203</v>
      </c>
      <c r="C266" s="1">
        <v>1</v>
      </c>
      <c r="D266" s="1" t="s">
        <v>1204</v>
      </c>
      <c r="E266" s="1" t="s">
        <v>1205</v>
      </c>
      <c r="F266" s="1">
        <v>-23.703600000000002</v>
      </c>
      <c r="G266" s="1">
        <v>-46.6997</v>
      </c>
      <c r="H266" s="1" t="s">
        <v>1206</v>
      </c>
      <c r="I266" s="1" t="s">
        <v>1207</v>
      </c>
      <c r="J266" s="81">
        <v>27784</v>
      </c>
      <c r="K266" s="81" t="s">
        <v>1262</v>
      </c>
    </row>
    <row r="267" spans="1:11">
      <c r="A267" s="1">
        <v>1976</v>
      </c>
      <c r="B267" s="1" t="s">
        <v>1042</v>
      </c>
      <c r="C267" s="1">
        <v>2</v>
      </c>
      <c r="D267" s="1" t="s">
        <v>1103</v>
      </c>
      <c r="E267" s="1" t="s">
        <v>1104</v>
      </c>
      <c r="F267" s="1">
        <v>-25.9894</v>
      </c>
      <c r="G267" s="1">
        <v>28.076699999999999</v>
      </c>
      <c r="H267" s="1" t="s">
        <v>1105</v>
      </c>
      <c r="I267" s="1" t="s">
        <v>1046</v>
      </c>
      <c r="J267" s="81">
        <v>27825</v>
      </c>
      <c r="K267" s="81" t="s">
        <v>1263</v>
      </c>
    </row>
    <row r="268" spans="1:11">
      <c r="A268" s="1">
        <v>1976</v>
      </c>
      <c r="B268" s="1" t="s">
        <v>1264</v>
      </c>
      <c r="C268" s="1">
        <v>3</v>
      </c>
      <c r="D268" s="1" t="s">
        <v>1265</v>
      </c>
      <c r="E268" s="1" t="s">
        <v>1266</v>
      </c>
      <c r="F268" s="1">
        <v>33.804200000000002</v>
      </c>
      <c r="G268" s="1">
        <v>-118.158</v>
      </c>
      <c r="H268" s="1" t="s">
        <v>77</v>
      </c>
      <c r="I268" s="1" t="s">
        <v>1010</v>
      </c>
      <c r="J268" s="81">
        <v>27847</v>
      </c>
      <c r="K268" s="81" t="s">
        <v>1267</v>
      </c>
    </row>
    <row r="269" spans="1:11">
      <c r="A269" s="1">
        <v>1976</v>
      </c>
      <c r="B269" s="1" t="s">
        <v>899</v>
      </c>
      <c r="C269" s="1">
        <v>4</v>
      </c>
      <c r="D269" s="1" t="s">
        <v>1125</v>
      </c>
      <c r="E269" s="1" t="s">
        <v>1126</v>
      </c>
      <c r="F269" s="1">
        <v>40.617100000000001</v>
      </c>
      <c r="G269" s="1">
        <v>-3.5855800000000002</v>
      </c>
      <c r="H269" s="1" t="s">
        <v>1127</v>
      </c>
      <c r="I269" s="1" t="s">
        <v>903</v>
      </c>
      <c r="J269" s="81">
        <v>27882</v>
      </c>
      <c r="K269" s="81" t="s">
        <v>1268</v>
      </c>
    </row>
    <row r="270" spans="1:11">
      <c r="A270" s="1">
        <v>1976</v>
      </c>
      <c r="B270" s="1" t="s">
        <v>872</v>
      </c>
      <c r="C270" s="1">
        <v>5</v>
      </c>
      <c r="D270" s="1" t="s">
        <v>1211</v>
      </c>
      <c r="E270" s="1" t="s">
        <v>1212</v>
      </c>
      <c r="F270" s="1">
        <v>50.989400000000003</v>
      </c>
      <c r="G270" s="1">
        <v>5.2569400000000002</v>
      </c>
      <c r="H270" s="1" t="s">
        <v>1213</v>
      </c>
      <c r="I270" s="1" t="s">
        <v>244</v>
      </c>
      <c r="J270" s="81">
        <v>27896</v>
      </c>
      <c r="K270" s="81" t="s">
        <v>1269</v>
      </c>
    </row>
    <row r="271" spans="1:11">
      <c r="A271" s="1">
        <v>1976</v>
      </c>
      <c r="B271" s="1" t="s">
        <v>856</v>
      </c>
      <c r="C271" s="1">
        <v>6</v>
      </c>
      <c r="D271" s="1" t="s">
        <v>857</v>
      </c>
      <c r="E271" s="1" t="s">
        <v>858</v>
      </c>
      <c r="F271" s="1">
        <v>43.734699999999997</v>
      </c>
      <c r="G271" s="1">
        <v>7.42056</v>
      </c>
      <c r="H271" s="1" t="s">
        <v>859</v>
      </c>
      <c r="I271" s="1" t="s">
        <v>860</v>
      </c>
      <c r="J271" s="81">
        <v>27910</v>
      </c>
      <c r="K271" s="81" t="s">
        <v>1270</v>
      </c>
    </row>
    <row r="272" spans="1:11">
      <c r="A272" s="1">
        <v>1976</v>
      </c>
      <c r="B272" s="1" t="s">
        <v>1216</v>
      </c>
      <c r="C272" s="1">
        <v>7</v>
      </c>
      <c r="D272" s="1" t="s">
        <v>1217</v>
      </c>
      <c r="E272" s="1" t="s">
        <v>1218</v>
      </c>
      <c r="F272" s="1">
        <v>57.265300000000003</v>
      </c>
      <c r="G272" s="1">
        <v>13.604200000000001</v>
      </c>
      <c r="H272" s="1" t="s">
        <v>1219</v>
      </c>
      <c r="I272" s="1" t="s">
        <v>1220</v>
      </c>
      <c r="J272" s="81">
        <v>27924</v>
      </c>
      <c r="K272" s="81" t="s">
        <v>1271</v>
      </c>
    </row>
    <row r="273" spans="1:11">
      <c r="A273" s="1">
        <v>1976</v>
      </c>
      <c r="B273" s="1" t="s">
        <v>877</v>
      </c>
      <c r="C273" s="1">
        <v>8</v>
      </c>
      <c r="D273" s="1" t="s">
        <v>1178</v>
      </c>
      <c r="E273" s="1" t="s">
        <v>1179</v>
      </c>
      <c r="F273" s="1">
        <v>43.250599999999999</v>
      </c>
      <c r="G273" s="1">
        <v>5.7916699999999999</v>
      </c>
      <c r="H273" s="1" t="s">
        <v>1180</v>
      </c>
      <c r="I273" s="1" t="s">
        <v>755</v>
      </c>
      <c r="J273" s="81">
        <v>27945</v>
      </c>
      <c r="K273" s="81" t="s">
        <v>1272</v>
      </c>
    </row>
    <row r="274" spans="1:11">
      <c r="A274" s="1">
        <v>1976</v>
      </c>
      <c r="B274" s="1" t="s">
        <v>850</v>
      </c>
      <c r="C274" s="1">
        <v>9</v>
      </c>
      <c r="D274" s="1" t="s">
        <v>1067</v>
      </c>
      <c r="E274" s="1" t="s">
        <v>1068</v>
      </c>
      <c r="F274" s="1">
        <v>51.356900000000003</v>
      </c>
      <c r="G274" s="1">
        <v>0.26305600000000001</v>
      </c>
      <c r="H274" s="1" t="s">
        <v>1069</v>
      </c>
      <c r="I274" s="1" t="s">
        <v>854</v>
      </c>
      <c r="J274" s="81">
        <v>27959</v>
      </c>
      <c r="K274" s="81" t="s">
        <v>1273</v>
      </c>
    </row>
    <row r="275" spans="1:11">
      <c r="A275" s="1">
        <v>1976</v>
      </c>
      <c r="B275" s="1" t="s">
        <v>893</v>
      </c>
      <c r="C275" s="1">
        <v>10</v>
      </c>
      <c r="D275" s="1" t="s">
        <v>894</v>
      </c>
      <c r="E275" s="1" t="s">
        <v>895</v>
      </c>
      <c r="F275" s="1">
        <v>50.335599999999999</v>
      </c>
      <c r="G275" s="1">
        <v>6.9474999999999998</v>
      </c>
      <c r="H275" s="1" t="s">
        <v>896</v>
      </c>
      <c r="I275" s="1" t="s">
        <v>761</v>
      </c>
      <c r="J275" s="81">
        <v>27973</v>
      </c>
      <c r="K275" s="81" t="s">
        <v>1274</v>
      </c>
    </row>
    <row r="276" spans="1:11">
      <c r="A276" s="1">
        <v>1976</v>
      </c>
      <c r="B276" s="1" t="s">
        <v>1072</v>
      </c>
      <c r="C276" s="1">
        <v>11</v>
      </c>
      <c r="D276" s="1" t="s">
        <v>1166</v>
      </c>
      <c r="E276" s="1" t="s">
        <v>1167</v>
      </c>
      <c r="F276" s="1">
        <v>47.219700000000003</v>
      </c>
      <c r="G276" s="1">
        <v>14.764699999999999</v>
      </c>
      <c r="H276" s="1" t="s">
        <v>1168</v>
      </c>
      <c r="I276" s="1" t="s">
        <v>1076</v>
      </c>
      <c r="J276" s="81">
        <v>27987</v>
      </c>
      <c r="K276" s="81" t="s">
        <v>1275</v>
      </c>
    </row>
    <row r="277" spans="1:11">
      <c r="A277" s="1">
        <v>1976</v>
      </c>
      <c r="B277" s="1" t="s">
        <v>914</v>
      </c>
      <c r="C277" s="1">
        <v>12</v>
      </c>
      <c r="D277" s="1" t="s">
        <v>915</v>
      </c>
      <c r="E277" s="1" t="s">
        <v>916</v>
      </c>
      <c r="F277" s="1">
        <v>52.388800000000003</v>
      </c>
      <c r="G277" s="1">
        <v>4.5409199999999998</v>
      </c>
      <c r="H277" s="1" t="s">
        <v>917</v>
      </c>
      <c r="I277" s="1" t="s">
        <v>918</v>
      </c>
      <c r="J277" s="81">
        <v>28001</v>
      </c>
      <c r="K277" s="81" t="s">
        <v>1276</v>
      </c>
    </row>
    <row r="278" spans="1:11">
      <c r="A278" s="1">
        <v>1976</v>
      </c>
      <c r="B278" s="1" t="s">
        <v>882</v>
      </c>
      <c r="C278" s="1">
        <v>13</v>
      </c>
      <c r="D278" s="1" t="s">
        <v>883</v>
      </c>
      <c r="E278" s="1" t="s">
        <v>884</v>
      </c>
      <c r="F278" s="1">
        <v>45.615600000000001</v>
      </c>
      <c r="G278" s="1">
        <v>9.28111</v>
      </c>
      <c r="H278" s="1" t="s">
        <v>885</v>
      </c>
      <c r="I278" s="1" t="s">
        <v>886</v>
      </c>
      <c r="J278" s="81">
        <v>28015</v>
      </c>
      <c r="K278" s="81" t="s">
        <v>1277</v>
      </c>
    </row>
    <row r="279" spans="1:11">
      <c r="A279" s="1">
        <v>1976</v>
      </c>
      <c r="B279" s="1" t="s">
        <v>1115</v>
      </c>
      <c r="C279" s="1">
        <v>14</v>
      </c>
      <c r="D279" s="1" t="s">
        <v>1116</v>
      </c>
      <c r="E279" s="1" t="s">
        <v>1117</v>
      </c>
      <c r="F279" s="1">
        <v>44.048099999999998</v>
      </c>
      <c r="G279" s="1">
        <v>-78.675600000000003</v>
      </c>
      <c r="H279" s="1" t="s">
        <v>1118</v>
      </c>
      <c r="I279" s="1" t="s">
        <v>1119</v>
      </c>
      <c r="J279" s="81">
        <v>28036</v>
      </c>
      <c r="K279" s="81" t="s">
        <v>1278</v>
      </c>
    </row>
    <row r="280" spans="1:11">
      <c r="A280" s="1">
        <v>1976</v>
      </c>
      <c r="B280" s="1" t="s">
        <v>1006</v>
      </c>
      <c r="C280" s="1">
        <v>15</v>
      </c>
      <c r="D280" s="1" t="s">
        <v>1031</v>
      </c>
      <c r="E280" s="1" t="s">
        <v>1032</v>
      </c>
      <c r="F280" s="1">
        <v>42.3369</v>
      </c>
      <c r="G280" s="1">
        <v>-76.927199999999999</v>
      </c>
      <c r="H280" s="1" t="s">
        <v>752</v>
      </c>
      <c r="I280" s="1" t="s">
        <v>1010</v>
      </c>
      <c r="J280" s="81">
        <v>28043</v>
      </c>
      <c r="K280" s="81" t="s">
        <v>1279</v>
      </c>
    </row>
    <row r="281" spans="1:11">
      <c r="A281" s="1">
        <v>1976</v>
      </c>
      <c r="B281" s="1" t="s">
        <v>1280</v>
      </c>
      <c r="C281" s="1">
        <v>16</v>
      </c>
      <c r="D281" s="1" t="s">
        <v>1281</v>
      </c>
      <c r="E281" s="1" t="s">
        <v>1282</v>
      </c>
      <c r="F281" s="1">
        <v>35.371699999999997</v>
      </c>
      <c r="G281" s="1">
        <v>138.92699999999999</v>
      </c>
      <c r="H281" s="1" t="s">
        <v>1283</v>
      </c>
      <c r="I281" s="1" t="s">
        <v>375</v>
      </c>
      <c r="J281" s="81">
        <v>28057</v>
      </c>
      <c r="K281" s="81" t="s">
        <v>1284</v>
      </c>
    </row>
    <row r="282" spans="1:11">
      <c r="A282" s="1">
        <v>1977</v>
      </c>
      <c r="B282" s="1" t="s">
        <v>921</v>
      </c>
      <c r="C282" s="1">
        <v>1</v>
      </c>
      <c r="D282" s="1" t="s">
        <v>922</v>
      </c>
      <c r="E282" s="1" t="s">
        <v>923</v>
      </c>
      <c r="F282" s="1">
        <v>-34.694299999999998</v>
      </c>
      <c r="G282" s="1">
        <v>-58.459299999999999</v>
      </c>
      <c r="H282" s="1" t="s">
        <v>253</v>
      </c>
      <c r="I282" s="1" t="s">
        <v>252</v>
      </c>
      <c r="J282" s="81">
        <v>28134</v>
      </c>
      <c r="K282" s="81" t="s">
        <v>1285</v>
      </c>
    </row>
    <row r="283" spans="1:11">
      <c r="A283" s="1">
        <v>1977</v>
      </c>
      <c r="B283" s="1" t="s">
        <v>1203</v>
      </c>
      <c r="C283" s="1">
        <v>2</v>
      </c>
      <c r="D283" s="1" t="s">
        <v>1204</v>
      </c>
      <c r="E283" s="1" t="s">
        <v>1205</v>
      </c>
      <c r="F283" s="1">
        <v>-23.703600000000002</v>
      </c>
      <c r="G283" s="1">
        <v>-46.6997</v>
      </c>
      <c r="H283" s="1" t="s">
        <v>1206</v>
      </c>
      <c r="I283" s="1" t="s">
        <v>1207</v>
      </c>
      <c r="J283" s="81">
        <v>28148</v>
      </c>
      <c r="K283" s="81" t="s">
        <v>1286</v>
      </c>
    </row>
    <row r="284" spans="1:11">
      <c r="A284" s="1">
        <v>1977</v>
      </c>
      <c r="B284" s="1" t="s">
        <v>1042</v>
      </c>
      <c r="C284" s="1">
        <v>3</v>
      </c>
      <c r="D284" s="1" t="s">
        <v>1103</v>
      </c>
      <c r="E284" s="1" t="s">
        <v>1104</v>
      </c>
      <c r="F284" s="1">
        <v>-25.9894</v>
      </c>
      <c r="G284" s="1">
        <v>28.076699999999999</v>
      </c>
      <c r="H284" s="1" t="s">
        <v>1105</v>
      </c>
      <c r="I284" s="1" t="s">
        <v>1046</v>
      </c>
      <c r="J284" s="81">
        <v>28189</v>
      </c>
      <c r="K284" s="81" t="s">
        <v>1287</v>
      </c>
    </row>
    <row r="285" spans="1:11">
      <c r="A285" s="1">
        <v>1977</v>
      </c>
      <c r="B285" s="1" t="s">
        <v>1264</v>
      </c>
      <c r="C285" s="1">
        <v>4</v>
      </c>
      <c r="D285" s="1" t="s">
        <v>1265</v>
      </c>
      <c r="E285" s="1" t="s">
        <v>1266</v>
      </c>
      <c r="F285" s="1">
        <v>33.804200000000002</v>
      </c>
      <c r="G285" s="1">
        <v>-118.158</v>
      </c>
      <c r="H285" s="1" t="s">
        <v>77</v>
      </c>
      <c r="I285" s="1" t="s">
        <v>1010</v>
      </c>
      <c r="J285" s="81">
        <v>28218</v>
      </c>
      <c r="K285" s="81" t="s">
        <v>1288</v>
      </c>
    </row>
    <row r="286" spans="1:11">
      <c r="A286" s="1">
        <v>1977</v>
      </c>
      <c r="B286" s="1" t="s">
        <v>899</v>
      </c>
      <c r="C286" s="1">
        <v>5</v>
      </c>
      <c r="D286" s="1" t="s">
        <v>1125</v>
      </c>
      <c r="E286" s="1" t="s">
        <v>1126</v>
      </c>
      <c r="F286" s="1">
        <v>40.617100000000001</v>
      </c>
      <c r="G286" s="1">
        <v>-3.5855800000000002</v>
      </c>
      <c r="H286" s="1" t="s">
        <v>1127</v>
      </c>
      <c r="I286" s="1" t="s">
        <v>903</v>
      </c>
      <c r="J286" s="81">
        <v>28253</v>
      </c>
      <c r="K286" s="81" t="s">
        <v>1289</v>
      </c>
    </row>
    <row r="287" spans="1:11">
      <c r="A287" s="1">
        <v>1977</v>
      </c>
      <c r="B287" s="1" t="s">
        <v>856</v>
      </c>
      <c r="C287" s="1">
        <v>6</v>
      </c>
      <c r="D287" s="1" t="s">
        <v>857</v>
      </c>
      <c r="E287" s="1" t="s">
        <v>858</v>
      </c>
      <c r="F287" s="1">
        <v>43.734699999999997</v>
      </c>
      <c r="G287" s="1">
        <v>7.42056</v>
      </c>
      <c r="H287" s="1" t="s">
        <v>859</v>
      </c>
      <c r="I287" s="1" t="s">
        <v>860</v>
      </c>
      <c r="J287" s="81">
        <v>28267</v>
      </c>
      <c r="K287" s="81" t="s">
        <v>1290</v>
      </c>
    </row>
    <row r="288" spans="1:11">
      <c r="A288" s="1">
        <v>1977</v>
      </c>
      <c r="B288" s="1" t="s">
        <v>872</v>
      </c>
      <c r="C288" s="1">
        <v>7</v>
      </c>
      <c r="D288" s="1" t="s">
        <v>1211</v>
      </c>
      <c r="E288" s="1" t="s">
        <v>1212</v>
      </c>
      <c r="F288" s="1">
        <v>50.989400000000003</v>
      </c>
      <c r="G288" s="1">
        <v>5.2569400000000002</v>
      </c>
      <c r="H288" s="1" t="s">
        <v>1213</v>
      </c>
      <c r="I288" s="1" t="s">
        <v>244</v>
      </c>
      <c r="J288" s="81">
        <v>28281</v>
      </c>
      <c r="K288" s="81" t="s">
        <v>1291</v>
      </c>
    </row>
    <row r="289" spans="1:11">
      <c r="A289" s="1">
        <v>1977</v>
      </c>
      <c r="B289" s="1" t="s">
        <v>1216</v>
      </c>
      <c r="C289" s="1">
        <v>8</v>
      </c>
      <c r="D289" s="1" t="s">
        <v>1217</v>
      </c>
      <c r="E289" s="1" t="s">
        <v>1218</v>
      </c>
      <c r="F289" s="1">
        <v>57.265300000000003</v>
      </c>
      <c r="G289" s="1">
        <v>13.604200000000001</v>
      </c>
      <c r="H289" s="1" t="s">
        <v>1219</v>
      </c>
      <c r="I289" s="1" t="s">
        <v>1220</v>
      </c>
      <c r="J289" s="81">
        <v>28295</v>
      </c>
      <c r="K289" s="81" t="s">
        <v>1292</v>
      </c>
    </row>
    <row r="290" spans="1:11">
      <c r="A290" s="1">
        <v>1977</v>
      </c>
      <c r="B290" s="1" t="s">
        <v>877</v>
      </c>
      <c r="C290" s="1">
        <v>9</v>
      </c>
      <c r="D290" s="1" t="s">
        <v>1238</v>
      </c>
      <c r="E290" s="1" t="s">
        <v>1239</v>
      </c>
      <c r="F290" s="1">
        <v>47.362499999999997</v>
      </c>
      <c r="G290" s="1">
        <v>47.362499999999997</v>
      </c>
      <c r="H290" s="1" t="s">
        <v>1240</v>
      </c>
      <c r="I290" s="1" t="s">
        <v>755</v>
      </c>
      <c r="J290" s="81">
        <v>28309</v>
      </c>
      <c r="K290" s="81" t="s">
        <v>1293</v>
      </c>
    </row>
    <row r="291" spans="1:11">
      <c r="A291" s="1">
        <v>1977</v>
      </c>
      <c r="B291" s="1" t="s">
        <v>850</v>
      </c>
      <c r="C291" s="1">
        <v>10</v>
      </c>
      <c r="D291" s="1" t="s">
        <v>851</v>
      </c>
      <c r="E291" s="1" t="s">
        <v>852</v>
      </c>
      <c r="F291" s="1">
        <v>52.078600000000002</v>
      </c>
      <c r="G291" s="1">
        <v>-1.01694</v>
      </c>
      <c r="H291" s="1" t="s">
        <v>853</v>
      </c>
      <c r="I291" s="1" t="s">
        <v>854</v>
      </c>
      <c r="J291" s="81">
        <v>28322</v>
      </c>
      <c r="K291" s="81" t="s">
        <v>1294</v>
      </c>
    </row>
    <row r="292" spans="1:11">
      <c r="A292" s="1">
        <v>1977</v>
      </c>
      <c r="B292" s="1" t="s">
        <v>893</v>
      </c>
      <c r="C292" s="1">
        <v>11</v>
      </c>
      <c r="D292" s="1" t="s">
        <v>1162</v>
      </c>
      <c r="E292" s="1" t="s">
        <v>1163</v>
      </c>
      <c r="F292" s="1">
        <v>49.327800000000003</v>
      </c>
      <c r="G292" s="1">
        <v>8.5658300000000001</v>
      </c>
      <c r="H292" s="1" t="s">
        <v>1164</v>
      </c>
      <c r="I292" s="1" t="s">
        <v>761</v>
      </c>
      <c r="J292" s="81">
        <v>28337</v>
      </c>
      <c r="K292" s="81" t="s">
        <v>1295</v>
      </c>
    </row>
    <row r="293" spans="1:11">
      <c r="A293" s="1">
        <v>1977</v>
      </c>
      <c r="B293" s="1" t="s">
        <v>1072</v>
      </c>
      <c r="C293" s="1">
        <v>12</v>
      </c>
      <c r="D293" s="1" t="s">
        <v>1166</v>
      </c>
      <c r="E293" s="1" t="s">
        <v>1167</v>
      </c>
      <c r="F293" s="1">
        <v>47.219700000000003</v>
      </c>
      <c r="G293" s="1">
        <v>14.764699999999999</v>
      </c>
      <c r="H293" s="1" t="s">
        <v>1168</v>
      </c>
      <c r="I293" s="1" t="s">
        <v>1076</v>
      </c>
      <c r="J293" s="81">
        <v>28351</v>
      </c>
      <c r="K293" s="81" t="s">
        <v>1296</v>
      </c>
    </row>
    <row r="294" spans="1:11">
      <c r="A294" s="1">
        <v>1977</v>
      </c>
      <c r="B294" s="1" t="s">
        <v>914</v>
      </c>
      <c r="C294" s="1">
        <v>13</v>
      </c>
      <c r="D294" s="1" t="s">
        <v>915</v>
      </c>
      <c r="E294" s="1" t="s">
        <v>916</v>
      </c>
      <c r="F294" s="1">
        <v>52.388800000000003</v>
      </c>
      <c r="G294" s="1">
        <v>4.5409199999999998</v>
      </c>
      <c r="H294" s="1" t="s">
        <v>917</v>
      </c>
      <c r="I294" s="1" t="s">
        <v>918</v>
      </c>
      <c r="J294" s="81">
        <v>28365</v>
      </c>
      <c r="K294" s="81" t="s">
        <v>1297</v>
      </c>
    </row>
    <row r="295" spans="1:11">
      <c r="A295" s="1">
        <v>1977</v>
      </c>
      <c r="B295" s="1" t="s">
        <v>882</v>
      </c>
      <c r="C295" s="1">
        <v>14</v>
      </c>
      <c r="D295" s="1" t="s">
        <v>883</v>
      </c>
      <c r="E295" s="1" t="s">
        <v>884</v>
      </c>
      <c r="F295" s="1">
        <v>45.615600000000001</v>
      </c>
      <c r="G295" s="1">
        <v>9.28111</v>
      </c>
      <c r="H295" s="1" t="s">
        <v>885</v>
      </c>
      <c r="I295" s="1" t="s">
        <v>886</v>
      </c>
      <c r="J295" s="81">
        <v>28379</v>
      </c>
      <c r="K295" s="81" t="s">
        <v>1298</v>
      </c>
    </row>
    <row r="296" spans="1:11">
      <c r="A296" s="1">
        <v>1977</v>
      </c>
      <c r="B296" s="1" t="s">
        <v>1006</v>
      </c>
      <c r="C296" s="1">
        <v>15</v>
      </c>
      <c r="D296" s="1" t="s">
        <v>1031</v>
      </c>
      <c r="E296" s="1" t="s">
        <v>1032</v>
      </c>
      <c r="F296" s="1">
        <v>42.3369</v>
      </c>
      <c r="G296" s="1">
        <v>-76.927199999999999</v>
      </c>
      <c r="H296" s="1" t="s">
        <v>752</v>
      </c>
      <c r="I296" s="1" t="s">
        <v>1010</v>
      </c>
      <c r="J296" s="81">
        <v>28400</v>
      </c>
      <c r="K296" s="81" t="s">
        <v>1299</v>
      </c>
    </row>
    <row r="297" spans="1:11">
      <c r="A297" s="1">
        <v>1977</v>
      </c>
      <c r="B297" s="1" t="s">
        <v>1115</v>
      </c>
      <c r="C297" s="1">
        <v>16</v>
      </c>
      <c r="D297" s="1" t="s">
        <v>1116</v>
      </c>
      <c r="E297" s="1" t="s">
        <v>1117</v>
      </c>
      <c r="F297" s="1">
        <v>44.048099999999998</v>
      </c>
      <c r="G297" s="1">
        <v>-78.675600000000003</v>
      </c>
      <c r="H297" s="1" t="s">
        <v>1118</v>
      </c>
      <c r="I297" s="1" t="s">
        <v>1119</v>
      </c>
      <c r="J297" s="81">
        <v>28407</v>
      </c>
      <c r="K297" s="81" t="s">
        <v>1300</v>
      </c>
    </row>
    <row r="298" spans="1:11">
      <c r="A298" s="1">
        <v>1977</v>
      </c>
      <c r="B298" s="1" t="s">
        <v>1280</v>
      </c>
      <c r="C298" s="1">
        <v>17</v>
      </c>
      <c r="D298" s="1" t="s">
        <v>1281</v>
      </c>
      <c r="E298" s="1" t="s">
        <v>1282</v>
      </c>
      <c r="F298" s="1">
        <v>35.371699999999997</v>
      </c>
      <c r="G298" s="1">
        <v>138.92699999999999</v>
      </c>
      <c r="H298" s="1" t="s">
        <v>1283</v>
      </c>
      <c r="I298" s="1" t="s">
        <v>375</v>
      </c>
      <c r="J298" s="81">
        <v>28421</v>
      </c>
      <c r="K298" s="81" t="s">
        <v>1301</v>
      </c>
    </row>
    <row r="299" spans="1:11">
      <c r="A299" s="1">
        <v>1978</v>
      </c>
      <c r="B299" s="1" t="s">
        <v>921</v>
      </c>
      <c r="C299" s="1">
        <v>1</v>
      </c>
      <c r="D299" s="1" t="s">
        <v>922</v>
      </c>
      <c r="E299" s="1" t="s">
        <v>923</v>
      </c>
      <c r="F299" s="1">
        <v>-34.694299999999998</v>
      </c>
      <c r="G299" s="1">
        <v>-58.459299999999999</v>
      </c>
      <c r="H299" s="1" t="s">
        <v>253</v>
      </c>
      <c r="I299" s="1" t="s">
        <v>252</v>
      </c>
      <c r="J299" s="81">
        <v>28505</v>
      </c>
      <c r="K299" s="81" t="s">
        <v>1302</v>
      </c>
    </row>
    <row r="300" spans="1:11">
      <c r="A300" s="1">
        <v>1978</v>
      </c>
      <c r="B300" s="1" t="s">
        <v>1203</v>
      </c>
      <c r="C300" s="1">
        <v>2</v>
      </c>
      <c r="D300" s="1" t="s">
        <v>1303</v>
      </c>
      <c r="E300" s="1" t="s">
        <v>1304</v>
      </c>
      <c r="F300" s="1">
        <v>-22.9756</v>
      </c>
      <c r="G300" s="1">
        <v>-43.395000000000003</v>
      </c>
      <c r="H300" s="1" t="s">
        <v>1305</v>
      </c>
      <c r="I300" s="1" t="s">
        <v>1207</v>
      </c>
      <c r="J300" s="81">
        <v>28519</v>
      </c>
      <c r="K300" s="81" t="s">
        <v>1306</v>
      </c>
    </row>
    <row r="301" spans="1:11">
      <c r="A301" s="1">
        <v>1978</v>
      </c>
      <c r="B301" s="1" t="s">
        <v>1042</v>
      </c>
      <c r="C301" s="1">
        <v>3</v>
      </c>
      <c r="D301" s="1" t="s">
        <v>1103</v>
      </c>
      <c r="E301" s="1" t="s">
        <v>1104</v>
      </c>
      <c r="F301" s="1">
        <v>-25.9894</v>
      </c>
      <c r="G301" s="1">
        <v>28.076699999999999</v>
      </c>
      <c r="H301" s="1" t="s">
        <v>1105</v>
      </c>
      <c r="I301" s="1" t="s">
        <v>1046</v>
      </c>
      <c r="J301" s="81">
        <v>28553</v>
      </c>
      <c r="K301" s="81" t="s">
        <v>1307</v>
      </c>
    </row>
    <row r="302" spans="1:11">
      <c r="A302" s="1">
        <v>1978</v>
      </c>
      <c r="B302" s="1" t="s">
        <v>1264</v>
      </c>
      <c r="C302" s="1">
        <v>4</v>
      </c>
      <c r="D302" s="1" t="s">
        <v>1265</v>
      </c>
      <c r="E302" s="1" t="s">
        <v>1266</v>
      </c>
      <c r="F302" s="1">
        <v>33.804200000000002</v>
      </c>
      <c r="G302" s="1">
        <v>-118.158</v>
      </c>
      <c r="H302" s="1" t="s">
        <v>77</v>
      </c>
      <c r="I302" s="1" t="s">
        <v>1010</v>
      </c>
      <c r="J302" s="81">
        <v>28582</v>
      </c>
      <c r="K302" s="81" t="s">
        <v>1308</v>
      </c>
    </row>
    <row r="303" spans="1:11">
      <c r="A303" s="1">
        <v>1978</v>
      </c>
      <c r="B303" s="1" t="s">
        <v>856</v>
      </c>
      <c r="C303" s="1">
        <v>5</v>
      </c>
      <c r="D303" s="1" t="s">
        <v>857</v>
      </c>
      <c r="E303" s="1" t="s">
        <v>858</v>
      </c>
      <c r="F303" s="1">
        <v>43.734699999999997</v>
      </c>
      <c r="G303" s="1">
        <v>7.42056</v>
      </c>
      <c r="H303" s="1" t="s">
        <v>859</v>
      </c>
      <c r="I303" s="1" t="s">
        <v>860</v>
      </c>
      <c r="J303" s="81">
        <v>28617</v>
      </c>
      <c r="K303" s="81" t="s">
        <v>1309</v>
      </c>
    </row>
    <row r="304" spans="1:11">
      <c r="A304" s="1">
        <v>1978</v>
      </c>
      <c r="B304" s="1" t="s">
        <v>872</v>
      </c>
      <c r="C304" s="1">
        <v>6</v>
      </c>
      <c r="D304" s="1" t="s">
        <v>1211</v>
      </c>
      <c r="E304" s="1" t="s">
        <v>1212</v>
      </c>
      <c r="F304" s="1">
        <v>50.989400000000003</v>
      </c>
      <c r="G304" s="1">
        <v>5.2569400000000002</v>
      </c>
      <c r="H304" s="1" t="s">
        <v>1213</v>
      </c>
      <c r="I304" s="1" t="s">
        <v>244</v>
      </c>
      <c r="J304" s="81">
        <v>28631</v>
      </c>
      <c r="K304" s="81" t="s">
        <v>1310</v>
      </c>
    </row>
    <row r="305" spans="1:11">
      <c r="A305" s="1">
        <v>1978</v>
      </c>
      <c r="B305" s="1" t="s">
        <v>899</v>
      </c>
      <c r="C305" s="1">
        <v>7</v>
      </c>
      <c r="D305" s="1" t="s">
        <v>1125</v>
      </c>
      <c r="E305" s="1" t="s">
        <v>1126</v>
      </c>
      <c r="F305" s="1">
        <v>40.617100000000001</v>
      </c>
      <c r="G305" s="1">
        <v>-3.5855800000000002</v>
      </c>
      <c r="H305" s="1" t="s">
        <v>1127</v>
      </c>
      <c r="I305" s="1" t="s">
        <v>903</v>
      </c>
      <c r="J305" s="81">
        <v>28645</v>
      </c>
      <c r="K305" s="81" t="s">
        <v>1311</v>
      </c>
    </row>
    <row r="306" spans="1:11">
      <c r="A306" s="1">
        <v>1978</v>
      </c>
      <c r="B306" s="1" t="s">
        <v>1216</v>
      </c>
      <c r="C306" s="1">
        <v>8</v>
      </c>
      <c r="D306" s="1" t="s">
        <v>1217</v>
      </c>
      <c r="E306" s="1" t="s">
        <v>1218</v>
      </c>
      <c r="F306" s="1">
        <v>57.265300000000003</v>
      </c>
      <c r="G306" s="1">
        <v>13.604200000000001</v>
      </c>
      <c r="H306" s="1" t="s">
        <v>1219</v>
      </c>
      <c r="I306" s="1" t="s">
        <v>1220</v>
      </c>
      <c r="J306" s="81">
        <v>28658</v>
      </c>
      <c r="K306" s="81" t="s">
        <v>1312</v>
      </c>
    </row>
    <row r="307" spans="1:11">
      <c r="A307" s="1">
        <v>1978</v>
      </c>
      <c r="B307" s="1" t="s">
        <v>877</v>
      </c>
      <c r="C307" s="1">
        <v>9</v>
      </c>
      <c r="D307" s="1" t="s">
        <v>1178</v>
      </c>
      <c r="E307" s="1" t="s">
        <v>1179</v>
      </c>
      <c r="F307" s="1">
        <v>43.250599999999999</v>
      </c>
      <c r="G307" s="1">
        <v>5.7916699999999999</v>
      </c>
      <c r="H307" s="1" t="s">
        <v>1180</v>
      </c>
      <c r="I307" s="1" t="s">
        <v>755</v>
      </c>
      <c r="J307" s="81">
        <v>28673</v>
      </c>
      <c r="K307" s="81" t="s">
        <v>1313</v>
      </c>
    </row>
    <row r="308" spans="1:11">
      <c r="A308" s="1">
        <v>1978</v>
      </c>
      <c r="B308" s="1" t="s">
        <v>850</v>
      </c>
      <c r="C308" s="1">
        <v>10</v>
      </c>
      <c r="D308" s="1" t="s">
        <v>1067</v>
      </c>
      <c r="E308" s="1" t="s">
        <v>1068</v>
      </c>
      <c r="F308" s="1">
        <v>51.356900000000003</v>
      </c>
      <c r="G308" s="1">
        <v>0.26305600000000001</v>
      </c>
      <c r="H308" s="1" t="s">
        <v>1069</v>
      </c>
      <c r="I308" s="1" t="s">
        <v>854</v>
      </c>
      <c r="J308" s="81">
        <v>28687</v>
      </c>
      <c r="K308" s="81" t="s">
        <v>1314</v>
      </c>
    </row>
    <row r="309" spans="1:11">
      <c r="A309" s="1">
        <v>1978</v>
      </c>
      <c r="B309" s="1" t="s">
        <v>893</v>
      </c>
      <c r="C309" s="1">
        <v>11</v>
      </c>
      <c r="D309" s="1" t="s">
        <v>1162</v>
      </c>
      <c r="E309" s="1" t="s">
        <v>1163</v>
      </c>
      <c r="F309" s="1">
        <v>49.327800000000003</v>
      </c>
      <c r="G309" s="1">
        <v>8.5658300000000001</v>
      </c>
      <c r="H309" s="1" t="s">
        <v>1164</v>
      </c>
      <c r="I309" s="1" t="s">
        <v>761</v>
      </c>
      <c r="J309" s="81">
        <v>28701</v>
      </c>
      <c r="K309" s="81" t="s">
        <v>1315</v>
      </c>
    </row>
    <row r="310" spans="1:11">
      <c r="A310" s="1">
        <v>1978</v>
      </c>
      <c r="B310" s="1" t="s">
        <v>1072</v>
      </c>
      <c r="C310" s="1">
        <v>12</v>
      </c>
      <c r="D310" s="1" t="s">
        <v>1166</v>
      </c>
      <c r="E310" s="1" t="s">
        <v>1167</v>
      </c>
      <c r="F310" s="1">
        <v>47.219700000000003</v>
      </c>
      <c r="G310" s="1">
        <v>14.764699999999999</v>
      </c>
      <c r="H310" s="1" t="s">
        <v>1168</v>
      </c>
      <c r="I310" s="1" t="s">
        <v>1076</v>
      </c>
      <c r="J310" s="81">
        <v>28715</v>
      </c>
      <c r="K310" s="81" t="s">
        <v>1316</v>
      </c>
    </row>
    <row r="311" spans="1:11">
      <c r="A311" s="1">
        <v>1978</v>
      </c>
      <c r="B311" s="1" t="s">
        <v>914</v>
      </c>
      <c r="C311" s="1">
        <v>13</v>
      </c>
      <c r="D311" s="1" t="s">
        <v>915</v>
      </c>
      <c r="E311" s="1" t="s">
        <v>916</v>
      </c>
      <c r="F311" s="1">
        <v>52.388800000000003</v>
      </c>
      <c r="G311" s="1">
        <v>4.5409199999999998</v>
      </c>
      <c r="H311" s="1" t="s">
        <v>917</v>
      </c>
      <c r="I311" s="1" t="s">
        <v>918</v>
      </c>
      <c r="J311" s="81">
        <v>28729</v>
      </c>
      <c r="K311" s="81" t="s">
        <v>1317</v>
      </c>
    </row>
    <row r="312" spans="1:11">
      <c r="A312" s="1">
        <v>1978</v>
      </c>
      <c r="B312" s="1" t="s">
        <v>882</v>
      </c>
      <c r="C312" s="1">
        <v>14</v>
      </c>
      <c r="D312" s="1" t="s">
        <v>883</v>
      </c>
      <c r="E312" s="1" t="s">
        <v>884</v>
      </c>
      <c r="F312" s="1">
        <v>45.615600000000001</v>
      </c>
      <c r="G312" s="1">
        <v>9.28111</v>
      </c>
      <c r="H312" s="1" t="s">
        <v>885</v>
      </c>
      <c r="I312" s="1" t="s">
        <v>886</v>
      </c>
      <c r="J312" s="81">
        <v>28743</v>
      </c>
      <c r="K312" s="81" t="s">
        <v>1318</v>
      </c>
    </row>
    <row r="313" spans="1:11">
      <c r="A313" s="1">
        <v>1978</v>
      </c>
      <c r="B313" s="1" t="s">
        <v>1006</v>
      </c>
      <c r="C313" s="1">
        <v>15</v>
      </c>
      <c r="D313" s="1" t="s">
        <v>1031</v>
      </c>
      <c r="E313" s="1" t="s">
        <v>1032</v>
      </c>
      <c r="F313" s="1">
        <v>42.3369</v>
      </c>
      <c r="G313" s="1">
        <v>-76.927199999999999</v>
      </c>
      <c r="H313" s="1" t="s">
        <v>752</v>
      </c>
      <c r="I313" s="1" t="s">
        <v>1010</v>
      </c>
      <c r="J313" s="81">
        <v>28764</v>
      </c>
      <c r="K313" s="81" t="s">
        <v>1319</v>
      </c>
    </row>
    <row r="314" spans="1:11">
      <c r="A314" s="1">
        <v>1978</v>
      </c>
      <c r="B314" s="1" t="s">
        <v>1115</v>
      </c>
      <c r="C314" s="1">
        <v>16</v>
      </c>
      <c r="D314" s="1" t="s">
        <v>1320</v>
      </c>
      <c r="E314" s="1" t="s">
        <v>1321</v>
      </c>
      <c r="F314" s="1">
        <v>45.5</v>
      </c>
      <c r="G314" s="1">
        <v>-73.522800000000004</v>
      </c>
      <c r="H314" s="1" t="s">
        <v>1322</v>
      </c>
      <c r="I314" s="1" t="s">
        <v>1119</v>
      </c>
      <c r="J314" s="81">
        <v>28771</v>
      </c>
      <c r="K314" s="81" t="s">
        <v>1323</v>
      </c>
    </row>
    <row r="315" spans="1:11">
      <c r="A315" s="1">
        <v>1979</v>
      </c>
      <c r="B315" s="1" t="s">
        <v>921</v>
      </c>
      <c r="C315" s="1">
        <v>1</v>
      </c>
      <c r="D315" s="1" t="s">
        <v>922</v>
      </c>
      <c r="E315" s="1" t="s">
        <v>923</v>
      </c>
      <c r="F315" s="1">
        <v>-34.694299999999998</v>
      </c>
      <c r="G315" s="1">
        <v>-58.459299999999999</v>
      </c>
      <c r="H315" s="1" t="s">
        <v>253</v>
      </c>
      <c r="I315" s="1" t="s">
        <v>252</v>
      </c>
      <c r="J315" s="81">
        <v>28876</v>
      </c>
      <c r="K315" s="81" t="s">
        <v>1324</v>
      </c>
    </row>
    <row r="316" spans="1:11">
      <c r="A316" s="1">
        <v>1979</v>
      </c>
      <c r="B316" s="1" t="s">
        <v>1203</v>
      </c>
      <c r="C316" s="1">
        <v>2</v>
      </c>
      <c r="D316" s="1" t="s">
        <v>1204</v>
      </c>
      <c r="E316" s="1" t="s">
        <v>1205</v>
      </c>
      <c r="F316" s="1">
        <v>-23.703600000000002</v>
      </c>
      <c r="G316" s="1">
        <v>-46.6997</v>
      </c>
      <c r="H316" s="1" t="s">
        <v>1206</v>
      </c>
      <c r="I316" s="1" t="s">
        <v>1207</v>
      </c>
      <c r="J316" s="81">
        <v>28890</v>
      </c>
      <c r="K316" s="81" t="s">
        <v>1325</v>
      </c>
    </row>
    <row r="317" spans="1:11">
      <c r="A317" s="1">
        <v>1979</v>
      </c>
      <c r="B317" s="1" t="s">
        <v>1042</v>
      </c>
      <c r="C317" s="1">
        <v>3</v>
      </c>
      <c r="D317" s="1" t="s">
        <v>1103</v>
      </c>
      <c r="E317" s="1" t="s">
        <v>1104</v>
      </c>
      <c r="F317" s="1">
        <v>-25.9894</v>
      </c>
      <c r="G317" s="1">
        <v>28.076699999999999</v>
      </c>
      <c r="H317" s="1" t="s">
        <v>1105</v>
      </c>
      <c r="I317" s="1" t="s">
        <v>1046</v>
      </c>
      <c r="J317" s="81">
        <v>28917</v>
      </c>
      <c r="K317" s="81" t="s">
        <v>1326</v>
      </c>
    </row>
    <row r="318" spans="1:11">
      <c r="A318" s="1">
        <v>1979</v>
      </c>
      <c r="B318" s="1" t="s">
        <v>1264</v>
      </c>
      <c r="C318" s="1">
        <v>4</v>
      </c>
      <c r="D318" s="1" t="s">
        <v>1265</v>
      </c>
      <c r="E318" s="1" t="s">
        <v>1266</v>
      </c>
      <c r="F318" s="1">
        <v>33.804200000000002</v>
      </c>
      <c r="G318" s="1">
        <v>-118.158</v>
      </c>
      <c r="H318" s="1" t="s">
        <v>77</v>
      </c>
      <c r="I318" s="1" t="s">
        <v>1010</v>
      </c>
      <c r="J318" s="81">
        <v>28953</v>
      </c>
      <c r="K318" s="81" t="s">
        <v>1327</v>
      </c>
    </row>
    <row r="319" spans="1:11">
      <c r="A319" s="1">
        <v>1979</v>
      </c>
      <c r="B319" s="1" t="s">
        <v>899</v>
      </c>
      <c r="C319" s="1">
        <v>5</v>
      </c>
      <c r="D319" s="1" t="s">
        <v>1125</v>
      </c>
      <c r="E319" s="1" t="s">
        <v>1126</v>
      </c>
      <c r="F319" s="1">
        <v>40.617100000000001</v>
      </c>
      <c r="G319" s="1">
        <v>-3.5855800000000002</v>
      </c>
      <c r="H319" s="1" t="s">
        <v>1127</v>
      </c>
      <c r="I319" s="1" t="s">
        <v>903</v>
      </c>
      <c r="J319" s="81">
        <v>28974</v>
      </c>
      <c r="K319" s="81" t="s">
        <v>1328</v>
      </c>
    </row>
    <row r="320" spans="1:11">
      <c r="A320" s="1">
        <v>1979</v>
      </c>
      <c r="B320" s="1" t="s">
        <v>872</v>
      </c>
      <c r="C320" s="1">
        <v>6</v>
      </c>
      <c r="D320" s="1" t="s">
        <v>1211</v>
      </c>
      <c r="E320" s="1" t="s">
        <v>1212</v>
      </c>
      <c r="F320" s="1">
        <v>50.989400000000003</v>
      </c>
      <c r="G320" s="1">
        <v>5.2569400000000002</v>
      </c>
      <c r="H320" s="1" t="s">
        <v>1213</v>
      </c>
      <c r="I320" s="1" t="s">
        <v>244</v>
      </c>
      <c r="J320" s="81">
        <v>28988</v>
      </c>
      <c r="K320" s="81" t="s">
        <v>1329</v>
      </c>
    </row>
    <row r="321" spans="1:11">
      <c r="A321" s="1">
        <v>1979</v>
      </c>
      <c r="B321" s="1" t="s">
        <v>856</v>
      </c>
      <c r="C321" s="1">
        <v>7</v>
      </c>
      <c r="D321" s="1" t="s">
        <v>857</v>
      </c>
      <c r="E321" s="1" t="s">
        <v>858</v>
      </c>
      <c r="F321" s="1">
        <v>43.734699999999997</v>
      </c>
      <c r="G321" s="1">
        <v>7.42056</v>
      </c>
      <c r="H321" s="1" t="s">
        <v>859</v>
      </c>
      <c r="I321" s="1" t="s">
        <v>860</v>
      </c>
      <c r="J321" s="81">
        <v>29002</v>
      </c>
      <c r="K321" s="81" t="s">
        <v>1330</v>
      </c>
    </row>
    <row r="322" spans="1:11">
      <c r="A322" s="1">
        <v>1979</v>
      </c>
      <c r="B322" s="1" t="s">
        <v>877</v>
      </c>
      <c r="C322" s="1">
        <v>8</v>
      </c>
      <c r="D322" s="1" t="s">
        <v>1238</v>
      </c>
      <c r="E322" s="1" t="s">
        <v>1239</v>
      </c>
      <c r="F322" s="1">
        <v>47.362499999999997</v>
      </c>
      <c r="G322" s="1">
        <v>47.362499999999997</v>
      </c>
      <c r="H322" s="1" t="s">
        <v>1240</v>
      </c>
      <c r="I322" s="1" t="s">
        <v>755</v>
      </c>
      <c r="J322" s="81">
        <v>29037</v>
      </c>
      <c r="K322" s="81" t="s">
        <v>1331</v>
      </c>
    </row>
    <row r="323" spans="1:11">
      <c r="A323" s="1">
        <v>1979</v>
      </c>
      <c r="B323" s="1" t="s">
        <v>850</v>
      </c>
      <c r="C323" s="1">
        <v>9</v>
      </c>
      <c r="D323" s="1" t="s">
        <v>851</v>
      </c>
      <c r="E323" s="1" t="s">
        <v>852</v>
      </c>
      <c r="F323" s="1">
        <v>52.078600000000002</v>
      </c>
      <c r="G323" s="1">
        <v>-1.01694</v>
      </c>
      <c r="H323" s="1" t="s">
        <v>853</v>
      </c>
      <c r="I323" s="1" t="s">
        <v>854</v>
      </c>
      <c r="J323" s="81">
        <v>29050</v>
      </c>
      <c r="K323" s="81" t="s">
        <v>1332</v>
      </c>
    </row>
    <row r="324" spans="1:11">
      <c r="A324" s="1">
        <v>1979</v>
      </c>
      <c r="B324" s="1" t="s">
        <v>893</v>
      </c>
      <c r="C324" s="1">
        <v>10</v>
      </c>
      <c r="D324" s="1" t="s">
        <v>1162</v>
      </c>
      <c r="E324" s="1" t="s">
        <v>1163</v>
      </c>
      <c r="F324" s="1">
        <v>49.327800000000003</v>
      </c>
      <c r="G324" s="1">
        <v>8.5658300000000001</v>
      </c>
      <c r="H324" s="1" t="s">
        <v>1164</v>
      </c>
      <c r="I324" s="1" t="s">
        <v>761</v>
      </c>
      <c r="J324" s="81">
        <v>29065</v>
      </c>
      <c r="K324" s="81" t="s">
        <v>1333</v>
      </c>
    </row>
    <row r="325" spans="1:11">
      <c r="A325" s="1">
        <v>1979</v>
      </c>
      <c r="B325" s="1" t="s">
        <v>1072</v>
      </c>
      <c r="C325" s="1">
        <v>11</v>
      </c>
      <c r="D325" s="1" t="s">
        <v>1166</v>
      </c>
      <c r="E325" s="1" t="s">
        <v>1167</v>
      </c>
      <c r="F325" s="1">
        <v>47.219700000000003</v>
      </c>
      <c r="G325" s="1">
        <v>14.764699999999999</v>
      </c>
      <c r="H325" s="1" t="s">
        <v>1168</v>
      </c>
      <c r="I325" s="1" t="s">
        <v>1076</v>
      </c>
      <c r="J325" s="81">
        <v>29079</v>
      </c>
      <c r="K325" s="81" t="s">
        <v>1334</v>
      </c>
    </row>
    <row r="326" spans="1:11">
      <c r="A326" s="1">
        <v>1979</v>
      </c>
      <c r="B326" s="1" t="s">
        <v>914</v>
      </c>
      <c r="C326" s="1">
        <v>12</v>
      </c>
      <c r="D326" s="1" t="s">
        <v>915</v>
      </c>
      <c r="E326" s="1" t="s">
        <v>916</v>
      </c>
      <c r="F326" s="1">
        <v>52.388800000000003</v>
      </c>
      <c r="G326" s="1">
        <v>4.5409199999999998</v>
      </c>
      <c r="H326" s="1" t="s">
        <v>917</v>
      </c>
      <c r="I326" s="1" t="s">
        <v>918</v>
      </c>
      <c r="J326" s="81">
        <v>29093</v>
      </c>
      <c r="K326" s="81" t="s">
        <v>1335</v>
      </c>
    </row>
    <row r="327" spans="1:11">
      <c r="A327" s="1">
        <v>1979</v>
      </c>
      <c r="B327" s="1" t="s">
        <v>882</v>
      </c>
      <c r="C327" s="1">
        <v>13</v>
      </c>
      <c r="D327" s="1" t="s">
        <v>883</v>
      </c>
      <c r="E327" s="1" t="s">
        <v>884</v>
      </c>
      <c r="F327" s="1">
        <v>45.615600000000001</v>
      </c>
      <c r="G327" s="1">
        <v>9.28111</v>
      </c>
      <c r="H327" s="1" t="s">
        <v>885</v>
      </c>
      <c r="I327" s="1" t="s">
        <v>886</v>
      </c>
      <c r="J327" s="81">
        <v>29107</v>
      </c>
      <c r="K327" s="81" t="s">
        <v>1336</v>
      </c>
    </row>
    <row r="328" spans="1:11">
      <c r="A328" s="1">
        <v>1979</v>
      </c>
      <c r="B328" s="1" t="s">
        <v>1115</v>
      </c>
      <c r="C328" s="1">
        <v>14</v>
      </c>
      <c r="D328" s="1" t="s">
        <v>1320</v>
      </c>
      <c r="E328" s="1" t="s">
        <v>1321</v>
      </c>
      <c r="F328" s="1">
        <v>45.5</v>
      </c>
      <c r="G328" s="1">
        <v>-73.522800000000004</v>
      </c>
      <c r="H328" s="1" t="s">
        <v>1322</v>
      </c>
      <c r="I328" s="1" t="s">
        <v>1119</v>
      </c>
      <c r="J328" s="81">
        <v>29128</v>
      </c>
      <c r="K328" s="81" t="s">
        <v>1337</v>
      </c>
    </row>
    <row r="329" spans="1:11">
      <c r="A329" s="1">
        <v>1979</v>
      </c>
      <c r="B329" s="1" t="s">
        <v>1006</v>
      </c>
      <c r="C329" s="1">
        <v>15</v>
      </c>
      <c r="D329" s="1" t="s">
        <v>1031</v>
      </c>
      <c r="E329" s="1" t="s">
        <v>1032</v>
      </c>
      <c r="F329" s="1">
        <v>42.3369</v>
      </c>
      <c r="G329" s="1">
        <v>-76.927199999999999</v>
      </c>
      <c r="H329" s="1" t="s">
        <v>752</v>
      </c>
      <c r="I329" s="1" t="s">
        <v>1010</v>
      </c>
      <c r="J329" s="81">
        <v>29135</v>
      </c>
      <c r="K329" s="81" t="s">
        <v>1338</v>
      </c>
    </row>
    <row r="330" spans="1:11">
      <c r="A330" s="1">
        <v>1980</v>
      </c>
      <c r="B330" s="1" t="s">
        <v>921</v>
      </c>
      <c r="C330" s="1">
        <v>1</v>
      </c>
      <c r="D330" s="1" t="s">
        <v>922</v>
      </c>
      <c r="E330" s="1" t="s">
        <v>923</v>
      </c>
      <c r="F330" s="1">
        <v>-34.694299999999998</v>
      </c>
      <c r="G330" s="1">
        <v>-58.459299999999999</v>
      </c>
      <c r="H330" s="1" t="s">
        <v>253</v>
      </c>
      <c r="I330" s="1" t="s">
        <v>252</v>
      </c>
      <c r="J330" s="81">
        <v>29233</v>
      </c>
      <c r="K330" s="81" t="s">
        <v>1339</v>
      </c>
    </row>
    <row r="331" spans="1:11">
      <c r="A331" s="1">
        <v>1980</v>
      </c>
      <c r="B331" s="1" t="s">
        <v>1203</v>
      </c>
      <c r="C331" s="1">
        <v>2</v>
      </c>
      <c r="D331" s="1" t="s">
        <v>1204</v>
      </c>
      <c r="E331" s="1" t="s">
        <v>1205</v>
      </c>
      <c r="F331" s="1">
        <v>-23.703600000000002</v>
      </c>
      <c r="G331" s="1">
        <v>-46.6997</v>
      </c>
      <c r="H331" s="1" t="s">
        <v>1206</v>
      </c>
      <c r="I331" s="1" t="s">
        <v>1207</v>
      </c>
      <c r="J331" s="81">
        <v>29247</v>
      </c>
      <c r="K331" s="81" t="s">
        <v>1340</v>
      </c>
    </row>
    <row r="332" spans="1:11">
      <c r="A332" s="1">
        <v>1980</v>
      </c>
      <c r="B332" s="1" t="s">
        <v>1042</v>
      </c>
      <c r="C332" s="1">
        <v>3</v>
      </c>
      <c r="D332" s="1" t="s">
        <v>1103</v>
      </c>
      <c r="E332" s="1" t="s">
        <v>1104</v>
      </c>
      <c r="F332" s="1">
        <v>-25.9894</v>
      </c>
      <c r="G332" s="1">
        <v>28.076699999999999</v>
      </c>
      <c r="H332" s="1" t="s">
        <v>1105</v>
      </c>
      <c r="I332" s="1" t="s">
        <v>1046</v>
      </c>
      <c r="J332" s="81">
        <v>29281</v>
      </c>
      <c r="K332" s="81" t="s">
        <v>1341</v>
      </c>
    </row>
    <row r="333" spans="1:11">
      <c r="A333" s="1">
        <v>1980</v>
      </c>
      <c r="B333" s="1" t="s">
        <v>1264</v>
      </c>
      <c r="C333" s="1">
        <v>4</v>
      </c>
      <c r="D333" s="1" t="s">
        <v>1265</v>
      </c>
      <c r="E333" s="1" t="s">
        <v>1266</v>
      </c>
      <c r="F333" s="1">
        <v>33.804200000000002</v>
      </c>
      <c r="G333" s="1">
        <v>-118.158</v>
      </c>
      <c r="H333" s="1" t="s">
        <v>77</v>
      </c>
      <c r="I333" s="1" t="s">
        <v>1010</v>
      </c>
      <c r="J333" s="81">
        <v>29310</v>
      </c>
      <c r="K333" s="81" t="s">
        <v>1342</v>
      </c>
    </row>
    <row r="334" spans="1:11">
      <c r="A334" s="1">
        <v>1980</v>
      </c>
      <c r="B334" s="1" t="s">
        <v>872</v>
      </c>
      <c r="C334" s="1">
        <v>5</v>
      </c>
      <c r="D334" s="1" t="s">
        <v>1211</v>
      </c>
      <c r="E334" s="1" t="s">
        <v>1212</v>
      </c>
      <c r="F334" s="1">
        <v>50.989400000000003</v>
      </c>
      <c r="G334" s="1">
        <v>5.2569400000000002</v>
      </c>
      <c r="H334" s="1" t="s">
        <v>1213</v>
      </c>
      <c r="I334" s="1" t="s">
        <v>244</v>
      </c>
      <c r="J334" s="81">
        <v>29345</v>
      </c>
      <c r="K334" s="81" t="s">
        <v>1343</v>
      </c>
    </row>
    <row r="335" spans="1:11">
      <c r="A335" s="1">
        <v>1980</v>
      </c>
      <c r="B335" s="1" t="s">
        <v>856</v>
      </c>
      <c r="C335" s="1">
        <v>6</v>
      </c>
      <c r="D335" s="1" t="s">
        <v>857</v>
      </c>
      <c r="E335" s="1" t="s">
        <v>858</v>
      </c>
      <c r="F335" s="1">
        <v>43.734699999999997</v>
      </c>
      <c r="G335" s="1">
        <v>7.42056</v>
      </c>
      <c r="H335" s="1" t="s">
        <v>859</v>
      </c>
      <c r="I335" s="1" t="s">
        <v>860</v>
      </c>
      <c r="J335" s="81">
        <v>29359</v>
      </c>
      <c r="K335" s="81" t="s">
        <v>1344</v>
      </c>
    </row>
    <row r="336" spans="1:11">
      <c r="A336" s="1">
        <v>1980</v>
      </c>
      <c r="B336" s="1" t="s">
        <v>877</v>
      </c>
      <c r="C336" s="1">
        <v>7</v>
      </c>
      <c r="D336" s="1" t="s">
        <v>1178</v>
      </c>
      <c r="E336" s="1" t="s">
        <v>1179</v>
      </c>
      <c r="F336" s="1">
        <v>43.250599999999999</v>
      </c>
      <c r="G336" s="1">
        <v>5.7916699999999999</v>
      </c>
      <c r="H336" s="1" t="s">
        <v>1180</v>
      </c>
      <c r="I336" s="1" t="s">
        <v>755</v>
      </c>
      <c r="J336" s="81">
        <v>29401</v>
      </c>
      <c r="K336" s="81" t="s">
        <v>1345</v>
      </c>
    </row>
    <row r="337" spans="1:11">
      <c r="A337" s="1">
        <v>1980</v>
      </c>
      <c r="B337" s="1" t="s">
        <v>850</v>
      </c>
      <c r="C337" s="1">
        <v>8</v>
      </c>
      <c r="D337" s="1" t="s">
        <v>1067</v>
      </c>
      <c r="E337" s="1" t="s">
        <v>1068</v>
      </c>
      <c r="F337" s="1">
        <v>51.356900000000003</v>
      </c>
      <c r="G337" s="1">
        <v>0.26305600000000001</v>
      </c>
      <c r="H337" s="1" t="s">
        <v>1069</v>
      </c>
      <c r="I337" s="1" t="s">
        <v>854</v>
      </c>
      <c r="J337" s="81">
        <v>29415</v>
      </c>
      <c r="K337" s="81" t="s">
        <v>1346</v>
      </c>
    </row>
    <row r="338" spans="1:11">
      <c r="A338" s="1">
        <v>1980</v>
      </c>
      <c r="B338" s="1" t="s">
        <v>893</v>
      </c>
      <c r="C338" s="1">
        <v>9</v>
      </c>
      <c r="D338" s="1" t="s">
        <v>1162</v>
      </c>
      <c r="E338" s="1" t="s">
        <v>1163</v>
      </c>
      <c r="F338" s="1">
        <v>49.327800000000003</v>
      </c>
      <c r="G338" s="1">
        <v>8.5658300000000001</v>
      </c>
      <c r="H338" s="1" t="s">
        <v>1164</v>
      </c>
      <c r="I338" s="1" t="s">
        <v>761</v>
      </c>
      <c r="J338" s="81">
        <v>29443</v>
      </c>
      <c r="K338" s="81" t="s">
        <v>1347</v>
      </c>
    </row>
    <row r="339" spans="1:11">
      <c r="A339" s="1">
        <v>1980</v>
      </c>
      <c r="B339" s="1" t="s">
        <v>1072</v>
      </c>
      <c r="C339" s="1">
        <v>10</v>
      </c>
      <c r="D339" s="1" t="s">
        <v>1166</v>
      </c>
      <c r="E339" s="1" t="s">
        <v>1167</v>
      </c>
      <c r="F339" s="1">
        <v>47.219700000000003</v>
      </c>
      <c r="G339" s="1">
        <v>14.764699999999999</v>
      </c>
      <c r="H339" s="1" t="s">
        <v>1168</v>
      </c>
      <c r="I339" s="1" t="s">
        <v>1076</v>
      </c>
      <c r="J339" s="81">
        <v>29450</v>
      </c>
      <c r="K339" s="81" t="s">
        <v>1348</v>
      </c>
    </row>
    <row r="340" spans="1:11">
      <c r="A340" s="1">
        <v>1980</v>
      </c>
      <c r="B340" s="1" t="s">
        <v>914</v>
      </c>
      <c r="C340" s="1">
        <v>11</v>
      </c>
      <c r="D340" s="1" t="s">
        <v>915</v>
      </c>
      <c r="E340" s="1" t="s">
        <v>916</v>
      </c>
      <c r="F340" s="1">
        <v>52.388800000000003</v>
      </c>
      <c r="G340" s="1">
        <v>4.5409199999999998</v>
      </c>
      <c r="H340" s="1" t="s">
        <v>917</v>
      </c>
      <c r="I340" s="1" t="s">
        <v>918</v>
      </c>
      <c r="J340" s="81">
        <v>29464</v>
      </c>
      <c r="K340" s="81" t="s">
        <v>1349</v>
      </c>
    </row>
    <row r="341" spans="1:11">
      <c r="A341" s="1">
        <v>1980</v>
      </c>
      <c r="B341" s="1" t="s">
        <v>882</v>
      </c>
      <c r="C341" s="1">
        <v>12</v>
      </c>
      <c r="D341" s="1" t="s">
        <v>1350</v>
      </c>
      <c r="E341" s="1" t="s">
        <v>1351</v>
      </c>
      <c r="F341" s="1">
        <v>44.343899999999998</v>
      </c>
      <c r="G341" s="1">
        <v>11.716699999999999</v>
      </c>
      <c r="H341" s="1" t="s">
        <v>1352</v>
      </c>
      <c r="I341" s="1" t="s">
        <v>886</v>
      </c>
      <c r="J341" s="81">
        <v>29478</v>
      </c>
      <c r="K341" s="81" t="s">
        <v>1353</v>
      </c>
    </row>
    <row r="342" spans="1:11">
      <c r="A342" s="1">
        <v>1980</v>
      </c>
      <c r="B342" s="1" t="s">
        <v>1115</v>
      </c>
      <c r="C342" s="1">
        <v>13</v>
      </c>
      <c r="D342" s="1" t="s">
        <v>1320</v>
      </c>
      <c r="E342" s="1" t="s">
        <v>1321</v>
      </c>
      <c r="F342" s="1">
        <v>45.5</v>
      </c>
      <c r="G342" s="1">
        <v>-73.522800000000004</v>
      </c>
      <c r="H342" s="1" t="s">
        <v>1322</v>
      </c>
      <c r="I342" s="1" t="s">
        <v>1119</v>
      </c>
      <c r="J342" s="81">
        <v>29492</v>
      </c>
      <c r="K342" s="81" t="s">
        <v>1354</v>
      </c>
    </row>
    <row r="343" spans="1:11">
      <c r="A343" s="1">
        <v>1980</v>
      </c>
      <c r="B343" s="1" t="s">
        <v>1006</v>
      </c>
      <c r="C343" s="1">
        <v>14</v>
      </c>
      <c r="D343" s="1" t="s">
        <v>1031</v>
      </c>
      <c r="E343" s="1" t="s">
        <v>1032</v>
      </c>
      <c r="F343" s="1">
        <v>42.3369</v>
      </c>
      <c r="G343" s="1">
        <v>-76.927199999999999</v>
      </c>
      <c r="H343" s="1" t="s">
        <v>752</v>
      </c>
      <c r="I343" s="1" t="s">
        <v>1010</v>
      </c>
      <c r="J343" s="81">
        <v>29499</v>
      </c>
      <c r="K343" s="81" t="s">
        <v>1355</v>
      </c>
    </row>
    <row r="344" spans="1:11">
      <c r="A344" s="1">
        <v>1981</v>
      </c>
      <c r="B344" s="1" t="s">
        <v>1264</v>
      </c>
      <c r="C344" s="1">
        <v>1</v>
      </c>
      <c r="D344" s="1" t="s">
        <v>1265</v>
      </c>
      <c r="E344" s="1" t="s">
        <v>1266</v>
      </c>
      <c r="F344" s="1">
        <v>33.804200000000002</v>
      </c>
      <c r="G344" s="1">
        <v>-118.158</v>
      </c>
      <c r="H344" s="1" t="s">
        <v>77</v>
      </c>
      <c r="I344" s="1" t="s">
        <v>1010</v>
      </c>
      <c r="J344" s="81">
        <v>29660</v>
      </c>
      <c r="K344" s="81" t="s">
        <v>1356</v>
      </c>
    </row>
    <row r="345" spans="1:11">
      <c r="A345" s="1">
        <v>1981</v>
      </c>
      <c r="B345" s="1" t="s">
        <v>1203</v>
      </c>
      <c r="C345" s="1">
        <v>2</v>
      </c>
      <c r="D345" s="1" t="s">
        <v>1303</v>
      </c>
      <c r="E345" s="1" t="s">
        <v>1304</v>
      </c>
      <c r="F345" s="1">
        <v>-22.9756</v>
      </c>
      <c r="G345" s="1">
        <v>-43.395000000000003</v>
      </c>
      <c r="H345" s="1" t="s">
        <v>1305</v>
      </c>
      <c r="I345" s="1" t="s">
        <v>1207</v>
      </c>
      <c r="J345" s="81">
        <v>29674</v>
      </c>
      <c r="K345" s="81" t="s">
        <v>1357</v>
      </c>
    </row>
    <row r="346" spans="1:11">
      <c r="A346" s="1">
        <v>1981</v>
      </c>
      <c r="B346" s="1" t="s">
        <v>921</v>
      </c>
      <c r="C346" s="1">
        <v>3</v>
      </c>
      <c r="D346" s="1" t="s">
        <v>922</v>
      </c>
      <c r="E346" s="1" t="s">
        <v>923</v>
      </c>
      <c r="F346" s="1">
        <v>-34.694299999999998</v>
      </c>
      <c r="G346" s="1">
        <v>-58.459299999999999</v>
      </c>
      <c r="H346" s="1" t="s">
        <v>253</v>
      </c>
      <c r="I346" s="1" t="s">
        <v>252</v>
      </c>
      <c r="J346" s="81">
        <v>29688</v>
      </c>
      <c r="K346" s="81" t="s">
        <v>1358</v>
      </c>
    </row>
    <row r="347" spans="1:11">
      <c r="A347" s="1">
        <v>1981</v>
      </c>
      <c r="B347" s="1" t="s">
        <v>1359</v>
      </c>
      <c r="C347" s="1">
        <v>4</v>
      </c>
      <c r="D347" s="1" t="s">
        <v>1350</v>
      </c>
      <c r="E347" s="1" t="s">
        <v>1351</v>
      </c>
      <c r="F347" s="1">
        <v>44.343899999999998</v>
      </c>
      <c r="G347" s="1">
        <v>11.716699999999999</v>
      </c>
      <c r="H347" s="1" t="s">
        <v>1352</v>
      </c>
      <c r="I347" s="1" t="s">
        <v>886</v>
      </c>
      <c r="J347" s="81">
        <v>29709</v>
      </c>
      <c r="K347" s="81" t="s">
        <v>1360</v>
      </c>
    </row>
    <row r="348" spans="1:11">
      <c r="A348" s="1">
        <v>1981</v>
      </c>
      <c r="B348" s="1" t="s">
        <v>872</v>
      </c>
      <c r="C348" s="1">
        <v>5</v>
      </c>
      <c r="D348" s="1" t="s">
        <v>1211</v>
      </c>
      <c r="E348" s="1" t="s">
        <v>1212</v>
      </c>
      <c r="F348" s="1">
        <v>50.989400000000003</v>
      </c>
      <c r="G348" s="1">
        <v>5.2569400000000002</v>
      </c>
      <c r="H348" s="1" t="s">
        <v>1213</v>
      </c>
      <c r="I348" s="1" t="s">
        <v>244</v>
      </c>
      <c r="J348" s="81">
        <v>29723</v>
      </c>
      <c r="K348" s="81" t="s">
        <v>1361</v>
      </c>
    </row>
    <row r="349" spans="1:11">
      <c r="A349" s="1">
        <v>1981</v>
      </c>
      <c r="B349" s="1" t="s">
        <v>856</v>
      </c>
      <c r="C349" s="1">
        <v>6</v>
      </c>
      <c r="D349" s="1" t="s">
        <v>857</v>
      </c>
      <c r="E349" s="1" t="s">
        <v>858</v>
      </c>
      <c r="F349" s="1">
        <v>43.734699999999997</v>
      </c>
      <c r="G349" s="1">
        <v>7.42056</v>
      </c>
      <c r="H349" s="1" t="s">
        <v>859</v>
      </c>
      <c r="I349" s="1" t="s">
        <v>860</v>
      </c>
      <c r="J349" s="81">
        <v>29737</v>
      </c>
      <c r="K349" s="81" t="s">
        <v>1362</v>
      </c>
    </row>
    <row r="350" spans="1:11">
      <c r="A350" s="1">
        <v>1981</v>
      </c>
      <c r="B350" s="1" t="s">
        <v>899</v>
      </c>
      <c r="C350" s="1">
        <v>7</v>
      </c>
      <c r="D350" s="1" t="s">
        <v>1125</v>
      </c>
      <c r="E350" s="1" t="s">
        <v>1126</v>
      </c>
      <c r="F350" s="1">
        <v>40.617100000000001</v>
      </c>
      <c r="G350" s="1">
        <v>-3.5855800000000002</v>
      </c>
      <c r="H350" s="1" t="s">
        <v>1127</v>
      </c>
      <c r="I350" s="1" t="s">
        <v>903</v>
      </c>
      <c r="J350" s="81">
        <v>29758</v>
      </c>
      <c r="K350" s="81" t="s">
        <v>1363</v>
      </c>
    </row>
    <row r="351" spans="1:11">
      <c r="A351" s="1">
        <v>1981</v>
      </c>
      <c r="B351" s="1" t="s">
        <v>877</v>
      </c>
      <c r="C351" s="1">
        <v>8</v>
      </c>
      <c r="D351" s="1" t="s">
        <v>1238</v>
      </c>
      <c r="E351" s="1" t="s">
        <v>1239</v>
      </c>
      <c r="F351" s="1">
        <v>47.362499999999997</v>
      </c>
      <c r="G351" s="1">
        <v>47.362499999999997</v>
      </c>
      <c r="H351" s="1" t="s">
        <v>1240</v>
      </c>
      <c r="I351" s="1" t="s">
        <v>755</v>
      </c>
      <c r="J351" s="81">
        <v>29772</v>
      </c>
      <c r="K351" s="81" t="s">
        <v>1364</v>
      </c>
    </row>
    <row r="352" spans="1:11">
      <c r="A352" s="1">
        <v>1981</v>
      </c>
      <c r="B352" s="1" t="s">
        <v>850</v>
      </c>
      <c r="C352" s="1">
        <v>9</v>
      </c>
      <c r="D352" s="1" t="s">
        <v>851</v>
      </c>
      <c r="E352" s="1" t="s">
        <v>852</v>
      </c>
      <c r="F352" s="1">
        <v>52.078600000000002</v>
      </c>
      <c r="G352" s="1">
        <v>-1.01694</v>
      </c>
      <c r="H352" s="1" t="s">
        <v>853</v>
      </c>
      <c r="I352" s="1" t="s">
        <v>854</v>
      </c>
      <c r="J352" s="81">
        <v>29785</v>
      </c>
      <c r="K352" s="81" t="s">
        <v>1365</v>
      </c>
    </row>
    <row r="353" spans="1:11">
      <c r="A353" s="1">
        <v>1981</v>
      </c>
      <c r="B353" s="1" t="s">
        <v>893</v>
      </c>
      <c r="C353" s="1">
        <v>10</v>
      </c>
      <c r="D353" s="1" t="s">
        <v>1162</v>
      </c>
      <c r="E353" s="1" t="s">
        <v>1163</v>
      </c>
      <c r="F353" s="1">
        <v>49.327800000000003</v>
      </c>
      <c r="G353" s="1">
        <v>8.5658300000000001</v>
      </c>
      <c r="H353" s="1" t="s">
        <v>1164</v>
      </c>
      <c r="I353" s="1" t="s">
        <v>761</v>
      </c>
      <c r="J353" s="81">
        <v>29800</v>
      </c>
      <c r="K353" s="81" t="s">
        <v>1366</v>
      </c>
    </row>
    <row r="354" spans="1:11">
      <c r="A354" s="1">
        <v>1981</v>
      </c>
      <c r="B354" s="1" t="s">
        <v>1072</v>
      </c>
      <c r="C354" s="1">
        <v>11</v>
      </c>
      <c r="D354" s="1" t="s">
        <v>1166</v>
      </c>
      <c r="E354" s="1" t="s">
        <v>1167</v>
      </c>
      <c r="F354" s="1">
        <v>47.219700000000003</v>
      </c>
      <c r="G354" s="1">
        <v>14.764699999999999</v>
      </c>
      <c r="H354" s="1" t="s">
        <v>1168</v>
      </c>
      <c r="I354" s="1" t="s">
        <v>1076</v>
      </c>
      <c r="J354" s="81">
        <v>29814</v>
      </c>
      <c r="K354" s="81" t="s">
        <v>1367</v>
      </c>
    </row>
    <row r="355" spans="1:11">
      <c r="A355" s="1">
        <v>1981</v>
      </c>
      <c r="B355" s="1" t="s">
        <v>914</v>
      </c>
      <c r="C355" s="1">
        <v>12</v>
      </c>
      <c r="D355" s="1" t="s">
        <v>915</v>
      </c>
      <c r="E355" s="1" t="s">
        <v>916</v>
      </c>
      <c r="F355" s="1">
        <v>52.388800000000003</v>
      </c>
      <c r="G355" s="1">
        <v>4.5409199999999998</v>
      </c>
      <c r="H355" s="1" t="s">
        <v>917</v>
      </c>
      <c r="I355" s="1" t="s">
        <v>918</v>
      </c>
      <c r="J355" s="81">
        <v>29828</v>
      </c>
      <c r="K355" s="81" t="s">
        <v>1368</v>
      </c>
    </row>
    <row r="356" spans="1:11">
      <c r="A356" s="1">
        <v>1981</v>
      </c>
      <c r="B356" s="1" t="s">
        <v>882</v>
      </c>
      <c r="C356" s="1">
        <v>13</v>
      </c>
      <c r="D356" s="1" t="s">
        <v>883</v>
      </c>
      <c r="E356" s="1" t="s">
        <v>884</v>
      </c>
      <c r="F356" s="1">
        <v>45.615600000000001</v>
      </c>
      <c r="G356" s="1">
        <v>9.28111</v>
      </c>
      <c r="H356" s="1" t="s">
        <v>885</v>
      </c>
      <c r="I356" s="1" t="s">
        <v>886</v>
      </c>
      <c r="J356" s="81">
        <v>29842</v>
      </c>
      <c r="K356" s="81" t="s">
        <v>1369</v>
      </c>
    </row>
    <row r="357" spans="1:11">
      <c r="A357" s="1">
        <v>1981</v>
      </c>
      <c r="B357" s="1" t="s">
        <v>1115</v>
      </c>
      <c r="C357" s="1">
        <v>14</v>
      </c>
      <c r="D357" s="1" t="s">
        <v>1320</v>
      </c>
      <c r="E357" s="1" t="s">
        <v>1321</v>
      </c>
      <c r="F357" s="1">
        <v>45.5</v>
      </c>
      <c r="G357" s="1">
        <v>-73.522800000000004</v>
      </c>
      <c r="H357" s="1" t="s">
        <v>1322</v>
      </c>
      <c r="I357" s="1" t="s">
        <v>1119</v>
      </c>
      <c r="J357" s="81">
        <v>29856</v>
      </c>
      <c r="K357" s="81" t="s">
        <v>1370</v>
      </c>
    </row>
    <row r="358" spans="1:11">
      <c r="A358" s="1">
        <v>1981</v>
      </c>
      <c r="B358" s="1" t="s">
        <v>1371</v>
      </c>
      <c r="C358" s="1">
        <v>15</v>
      </c>
      <c r="D358" s="1" t="s">
        <v>1372</v>
      </c>
      <c r="E358" s="1" t="s">
        <v>1373</v>
      </c>
      <c r="F358" s="1">
        <v>36.176000000000002</v>
      </c>
      <c r="G358" s="1">
        <v>-115.137</v>
      </c>
      <c r="H358" s="1" t="s">
        <v>1374</v>
      </c>
      <c r="I358" s="1" t="s">
        <v>1010</v>
      </c>
      <c r="J358" s="81">
        <v>29876</v>
      </c>
      <c r="K358" s="81" t="s">
        <v>1375</v>
      </c>
    </row>
    <row r="359" spans="1:11">
      <c r="A359" s="1">
        <v>1982</v>
      </c>
      <c r="B359" s="1" t="s">
        <v>1042</v>
      </c>
      <c r="C359" s="1">
        <v>1</v>
      </c>
      <c r="D359" s="1" t="s">
        <v>1103</v>
      </c>
      <c r="E359" s="1" t="s">
        <v>1104</v>
      </c>
      <c r="F359" s="1">
        <v>-25.9894</v>
      </c>
      <c r="G359" s="1">
        <v>28.076699999999999</v>
      </c>
      <c r="H359" s="1" t="s">
        <v>1105</v>
      </c>
      <c r="I359" s="1" t="s">
        <v>1046</v>
      </c>
      <c r="J359" s="81">
        <v>29974</v>
      </c>
      <c r="K359" s="81" t="s">
        <v>1376</v>
      </c>
    </row>
    <row r="360" spans="1:11">
      <c r="A360" s="1">
        <v>1982</v>
      </c>
      <c r="B360" s="1" t="s">
        <v>1203</v>
      </c>
      <c r="C360" s="1">
        <v>2</v>
      </c>
      <c r="D360" s="1" t="s">
        <v>1303</v>
      </c>
      <c r="E360" s="1" t="s">
        <v>1304</v>
      </c>
      <c r="F360" s="1">
        <v>-22.9756</v>
      </c>
      <c r="G360" s="1">
        <v>-43.395000000000003</v>
      </c>
      <c r="H360" s="1" t="s">
        <v>1305</v>
      </c>
      <c r="I360" s="1" t="s">
        <v>1207</v>
      </c>
      <c r="J360" s="81">
        <v>30031</v>
      </c>
      <c r="K360" s="81" t="s">
        <v>1377</v>
      </c>
    </row>
    <row r="361" spans="1:11">
      <c r="A361" s="1">
        <v>1982</v>
      </c>
      <c r="B361" s="1" t="s">
        <v>1264</v>
      </c>
      <c r="C361" s="1">
        <v>3</v>
      </c>
      <c r="D361" s="1" t="s">
        <v>1265</v>
      </c>
      <c r="E361" s="1" t="s">
        <v>1266</v>
      </c>
      <c r="F361" s="1">
        <v>33.804200000000002</v>
      </c>
      <c r="G361" s="1">
        <v>-118.158</v>
      </c>
      <c r="H361" s="1" t="s">
        <v>77</v>
      </c>
      <c r="I361" s="1" t="s">
        <v>1010</v>
      </c>
      <c r="J361" s="81">
        <v>30045</v>
      </c>
      <c r="K361" s="81" t="s">
        <v>1378</v>
      </c>
    </row>
    <row r="362" spans="1:11">
      <c r="A362" s="1">
        <v>1982</v>
      </c>
      <c r="B362" s="1" t="s">
        <v>1359</v>
      </c>
      <c r="C362" s="1">
        <v>4</v>
      </c>
      <c r="D362" s="1" t="s">
        <v>1350</v>
      </c>
      <c r="E362" s="1" t="s">
        <v>1351</v>
      </c>
      <c r="F362" s="1">
        <v>44.343899999999998</v>
      </c>
      <c r="G362" s="1">
        <v>11.716699999999999</v>
      </c>
      <c r="H362" s="1" t="s">
        <v>1352</v>
      </c>
      <c r="I362" s="1" t="s">
        <v>886</v>
      </c>
      <c r="J362" s="81">
        <v>30066</v>
      </c>
      <c r="K362" s="81" t="s">
        <v>1379</v>
      </c>
    </row>
    <row r="363" spans="1:11">
      <c r="A363" s="1">
        <v>1982</v>
      </c>
      <c r="B363" s="1" t="s">
        <v>872</v>
      </c>
      <c r="C363" s="1">
        <v>5</v>
      </c>
      <c r="D363" s="1" t="s">
        <v>1211</v>
      </c>
      <c r="E363" s="1" t="s">
        <v>1212</v>
      </c>
      <c r="F363" s="1">
        <v>50.989400000000003</v>
      </c>
      <c r="G363" s="1">
        <v>5.2569400000000002</v>
      </c>
      <c r="H363" s="1" t="s">
        <v>1213</v>
      </c>
      <c r="I363" s="1" t="s">
        <v>244</v>
      </c>
      <c r="J363" s="81">
        <v>30080</v>
      </c>
      <c r="K363" s="81" t="s">
        <v>1380</v>
      </c>
    </row>
    <row r="364" spans="1:11">
      <c r="A364" s="1">
        <v>1982</v>
      </c>
      <c r="B364" s="1" t="s">
        <v>856</v>
      </c>
      <c r="C364" s="1">
        <v>6</v>
      </c>
      <c r="D364" s="1" t="s">
        <v>857</v>
      </c>
      <c r="E364" s="1" t="s">
        <v>858</v>
      </c>
      <c r="F364" s="1">
        <v>43.734699999999997</v>
      </c>
      <c r="G364" s="1">
        <v>7.42056</v>
      </c>
      <c r="H364" s="1" t="s">
        <v>859</v>
      </c>
      <c r="I364" s="1" t="s">
        <v>860</v>
      </c>
      <c r="J364" s="81">
        <v>30094</v>
      </c>
      <c r="K364" s="81" t="s">
        <v>1381</v>
      </c>
    </row>
    <row r="365" spans="1:11">
      <c r="A365" s="1">
        <v>1982</v>
      </c>
      <c r="B365" s="1" t="s">
        <v>1382</v>
      </c>
      <c r="C365" s="1">
        <v>7</v>
      </c>
      <c r="D365" s="1" t="s">
        <v>1383</v>
      </c>
      <c r="E365" s="1" t="s">
        <v>1384</v>
      </c>
      <c r="F365" s="1">
        <v>42.329799999999999</v>
      </c>
      <c r="G365" s="1">
        <v>-83.040099999999995</v>
      </c>
      <c r="H365" s="1" t="s">
        <v>1385</v>
      </c>
      <c r="I365" s="1" t="s">
        <v>1010</v>
      </c>
      <c r="J365" s="81">
        <v>30108</v>
      </c>
      <c r="K365" s="81" t="s">
        <v>1386</v>
      </c>
    </row>
    <row r="366" spans="1:11">
      <c r="A366" s="1">
        <v>1982</v>
      </c>
      <c r="B366" s="1" t="s">
        <v>1115</v>
      </c>
      <c r="C366" s="1">
        <v>8</v>
      </c>
      <c r="D366" s="1" t="s">
        <v>1320</v>
      </c>
      <c r="E366" s="1" t="s">
        <v>1321</v>
      </c>
      <c r="F366" s="1">
        <v>45.5</v>
      </c>
      <c r="G366" s="1">
        <v>-73.522800000000004</v>
      </c>
      <c r="H366" s="1" t="s">
        <v>1322</v>
      </c>
      <c r="I366" s="1" t="s">
        <v>1119</v>
      </c>
      <c r="J366" s="81">
        <v>30115</v>
      </c>
      <c r="K366" s="81" t="s">
        <v>1387</v>
      </c>
    </row>
    <row r="367" spans="1:11">
      <c r="A367" s="1">
        <v>1982</v>
      </c>
      <c r="B367" s="1" t="s">
        <v>914</v>
      </c>
      <c r="C367" s="1">
        <v>9</v>
      </c>
      <c r="D367" s="1" t="s">
        <v>915</v>
      </c>
      <c r="E367" s="1" t="s">
        <v>916</v>
      </c>
      <c r="F367" s="1">
        <v>52.388800000000003</v>
      </c>
      <c r="G367" s="1">
        <v>4.5409199999999998</v>
      </c>
      <c r="H367" s="1" t="s">
        <v>917</v>
      </c>
      <c r="I367" s="1" t="s">
        <v>918</v>
      </c>
      <c r="J367" s="81">
        <v>30135</v>
      </c>
      <c r="K367" s="81" t="s">
        <v>1388</v>
      </c>
    </row>
    <row r="368" spans="1:11">
      <c r="A368" s="1">
        <v>1982</v>
      </c>
      <c r="B368" s="1" t="s">
        <v>850</v>
      </c>
      <c r="C368" s="1">
        <v>10</v>
      </c>
      <c r="D368" s="1" t="s">
        <v>1067</v>
      </c>
      <c r="E368" s="1" t="s">
        <v>1068</v>
      </c>
      <c r="F368" s="1">
        <v>51.356900000000003</v>
      </c>
      <c r="G368" s="1">
        <v>0.26305600000000001</v>
      </c>
      <c r="H368" s="1" t="s">
        <v>1069</v>
      </c>
      <c r="I368" s="1" t="s">
        <v>854</v>
      </c>
      <c r="J368" s="81">
        <v>30150</v>
      </c>
      <c r="K368" s="81" t="s">
        <v>1389</v>
      </c>
    </row>
    <row r="369" spans="1:11">
      <c r="A369" s="1">
        <v>1982</v>
      </c>
      <c r="B369" s="1" t="s">
        <v>877</v>
      </c>
      <c r="C369" s="1">
        <v>11</v>
      </c>
      <c r="D369" s="1" t="s">
        <v>1178</v>
      </c>
      <c r="E369" s="1" t="s">
        <v>1179</v>
      </c>
      <c r="F369" s="1">
        <v>43.250599999999999</v>
      </c>
      <c r="G369" s="1">
        <v>5.7916699999999999</v>
      </c>
      <c r="H369" s="1" t="s">
        <v>1180</v>
      </c>
      <c r="I369" s="1" t="s">
        <v>755</v>
      </c>
      <c r="J369" s="81">
        <v>30157</v>
      </c>
      <c r="K369" s="81" t="s">
        <v>1390</v>
      </c>
    </row>
    <row r="370" spans="1:11">
      <c r="A370" s="1">
        <v>1982</v>
      </c>
      <c r="B370" s="1" t="s">
        <v>893</v>
      </c>
      <c r="C370" s="1">
        <v>12</v>
      </c>
      <c r="D370" s="1" t="s">
        <v>1162</v>
      </c>
      <c r="E370" s="1" t="s">
        <v>1163</v>
      </c>
      <c r="F370" s="1">
        <v>49.327800000000003</v>
      </c>
      <c r="G370" s="1">
        <v>8.5658300000000001</v>
      </c>
      <c r="H370" s="1" t="s">
        <v>1164</v>
      </c>
      <c r="I370" s="1" t="s">
        <v>761</v>
      </c>
      <c r="J370" s="81">
        <v>30171</v>
      </c>
      <c r="K370" s="81" t="s">
        <v>1391</v>
      </c>
    </row>
    <row r="371" spans="1:11">
      <c r="A371" s="1">
        <v>1982</v>
      </c>
      <c r="B371" s="1" t="s">
        <v>1072</v>
      </c>
      <c r="C371" s="1">
        <v>13</v>
      </c>
      <c r="D371" s="1" t="s">
        <v>1166</v>
      </c>
      <c r="E371" s="1" t="s">
        <v>1167</v>
      </c>
      <c r="F371" s="1">
        <v>47.219700000000003</v>
      </c>
      <c r="G371" s="1">
        <v>14.764699999999999</v>
      </c>
      <c r="H371" s="1" t="s">
        <v>1168</v>
      </c>
      <c r="I371" s="1" t="s">
        <v>1076</v>
      </c>
      <c r="J371" s="81">
        <v>30178</v>
      </c>
      <c r="K371" s="81" t="s">
        <v>1392</v>
      </c>
    </row>
    <row r="372" spans="1:11">
      <c r="A372" s="1">
        <v>1982</v>
      </c>
      <c r="B372" s="1" t="s">
        <v>867</v>
      </c>
      <c r="C372" s="1">
        <v>14</v>
      </c>
      <c r="D372" s="1" t="s">
        <v>1238</v>
      </c>
      <c r="E372" s="1" t="s">
        <v>1239</v>
      </c>
      <c r="F372" s="1">
        <v>47.362499999999997</v>
      </c>
      <c r="G372" s="1">
        <v>47.362499999999997</v>
      </c>
      <c r="H372" s="1" t="s">
        <v>1240</v>
      </c>
      <c r="I372" s="1" t="s">
        <v>755</v>
      </c>
      <c r="J372" s="81">
        <v>30192</v>
      </c>
      <c r="K372" s="81" t="s">
        <v>1393</v>
      </c>
    </row>
    <row r="373" spans="1:11">
      <c r="A373" s="1">
        <v>1982</v>
      </c>
      <c r="B373" s="1" t="s">
        <v>882</v>
      </c>
      <c r="C373" s="1">
        <v>15</v>
      </c>
      <c r="D373" s="1" t="s">
        <v>883</v>
      </c>
      <c r="E373" s="1" t="s">
        <v>884</v>
      </c>
      <c r="F373" s="1">
        <v>45.615600000000001</v>
      </c>
      <c r="G373" s="1">
        <v>9.28111</v>
      </c>
      <c r="H373" s="1" t="s">
        <v>885</v>
      </c>
      <c r="I373" s="1" t="s">
        <v>886</v>
      </c>
      <c r="J373" s="81">
        <v>30206</v>
      </c>
      <c r="K373" s="81" t="s">
        <v>1394</v>
      </c>
    </row>
    <row r="374" spans="1:11">
      <c r="A374" s="1">
        <v>1982</v>
      </c>
      <c r="B374" s="1" t="s">
        <v>1371</v>
      </c>
      <c r="C374" s="1">
        <v>16</v>
      </c>
      <c r="D374" s="1" t="s">
        <v>1372</v>
      </c>
      <c r="E374" s="1" t="s">
        <v>1373</v>
      </c>
      <c r="F374" s="1">
        <v>36.176000000000002</v>
      </c>
      <c r="G374" s="1">
        <v>-115.137</v>
      </c>
      <c r="H374" s="1" t="s">
        <v>1374</v>
      </c>
      <c r="I374" s="1" t="s">
        <v>1010</v>
      </c>
      <c r="J374" s="81">
        <v>30219</v>
      </c>
      <c r="K374" s="81" t="s">
        <v>1395</v>
      </c>
    </row>
    <row r="375" spans="1:11">
      <c r="A375" s="1">
        <v>1983</v>
      </c>
      <c r="B375" s="1" t="s">
        <v>1203</v>
      </c>
      <c r="C375" s="1">
        <v>1</v>
      </c>
      <c r="D375" s="1" t="s">
        <v>1303</v>
      </c>
      <c r="E375" s="1" t="s">
        <v>1304</v>
      </c>
      <c r="F375" s="1">
        <v>-22.9756</v>
      </c>
      <c r="G375" s="1">
        <v>-43.395000000000003</v>
      </c>
      <c r="H375" s="1" t="s">
        <v>1305</v>
      </c>
      <c r="I375" s="1" t="s">
        <v>1207</v>
      </c>
      <c r="J375" s="81">
        <v>30388</v>
      </c>
      <c r="K375" s="81" t="s">
        <v>1396</v>
      </c>
    </row>
    <row r="376" spans="1:11">
      <c r="A376" s="1">
        <v>1983</v>
      </c>
      <c r="B376" s="1" t="s">
        <v>1264</v>
      </c>
      <c r="C376" s="1">
        <v>2</v>
      </c>
      <c r="D376" s="1" t="s">
        <v>1265</v>
      </c>
      <c r="E376" s="1" t="s">
        <v>1266</v>
      </c>
      <c r="F376" s="1">
        <v>33.804200000000002</v>
      </c>
      <c r="G376" s="1">
        <v>-118.158</v>
      </c>
      <c r="H376" s="1" t="s">
        <v>77</v>
      </c>
      <c r="I376" s="1" t="s">
        <v>1010</v>
      </c>
      <c r="J376" s="81">
        <v>30402</v>
      </c>
      <c r="K376" s="81" t="s">
        <v>1397</v>
      </c>
    </row>
    <row r="377" spans="1:11">
      <c r="A377" s="1">
        <v>1983</v>
      </c>
      <c r="B377" s="1" t="s">
        <v>877</v>
      </c>
      <c r="C377" s="1">
        <v>3</v>
      </c>
      <c r="D377" s="1" t="s">
        <v>1178</v>
      </c>
      <c r="E377" s="1" t="s">
        <v>1179</v>
      </c>
      <c r="F377" s="1">
        <v>43.250599999999999</v>
      </c>
      <c r="G377" s="1">
        <v>5.7916699999999999</v>
      </c>
      <c r="H377" s="1" t="s">
        <v>1180</v>
      </c>
      <c r="I377" s="1" t="s">
        <v>755</v>
      </c>
      <c r="J377" s="81">
        <v>30423</v>
      </c>
      <c r="K377" s="81" t="s">
        <v>1398</v>
      </c>
    </row>
    <row r="378" spans="1:11">
      <c r="A378" s="1">
        <v>1983</v>
      </c>
      <c r="B378" s="1" t="s">
        <v>1359</v>
      </c>
      <c r="C378" s="1">
        <v>4</v>
      </c>
      <c r="D378" s="1" t="s">
        <v>1350</v>
      </c>
      <c r="E378" s="1" t="s">
        <v>1351</v>
      </c>
      <c r="F378" s="1">
        <v>44.343899999999998</v>
      </c>
      <c r="G378" s="1">
        <v>11.716699999999999</v>
      </c>
      <c r="H378" s="1" t="s">
        <v>1352</v>
      </c>
      <c r="I378" s="1" t="s">
        <v>886</v>
      </c>
      <c r="J378" s="81">
        <v>30437</v>
      </c>
      <c r="K378" s="81" t="s">
        <v>1399</v>
      </c>
    </row>
    <row r="379" spans="1:11">
      <c r="A379" s="1">
        <v>1983</v>
      </c>
      <c r="B379" s="1" t="s">
        <v>856</v>
      </c>
      <c r="C379" s="1">
        <v>5</v>
      </c>
      <c r="D379" s="1" t="s">
        <v>857</v>
      </c>
      <c r="E379" s="1" t="s">
        <v>858</v>
      </c>
      <c r="F379" s="1">
        <v>43.734699999999997</v>
      </c>
      <c r="G379" s="1">
        <v>7.42056</v>
      </c>
      <c r="H379" s="1" t="s">
        <v>859</v>
      </c>
      <c r="I379" s="1" t="s">
        <v>860</v>
      </c>
      <c r="J379" s="81">
        <v>30451</v>
      </c>
      <c r="K379" s="81" t="s">
        <v>1400</v>
      </c>
    </row>
    <row r="380" spans="1:11">
      <c r="A380" s="1">
        <v>1983</v>
      </c>
      <c r="B380" s="1" t="s">
        <v>872</v>
      </c>
      <c r="C380" s="1">
        <v>6</v>
      </c>
      <c r="D380" s="1" t="s">
        <v>873</v>
      </c>
      <c r="E380" s="1" t="s">
        <v>874</v>
      </c>
      <c r="F380" s="1">
        <v>50.437199999999997</v>
      </c>
      <c r="G380" s="1">
        <v>5.9713900000000004</v>
      </c>
      <c r="H380" s="1" t="s">
        <v>875</v>
      </c>
      <c r="I380" s="1" t="s">
        <v>244</v>
      </c>
      <c r="J380" s="81">
        <v>30458</v>
      </c>
      <c r="K380" s="81" t="s">
        <v>1401</v>
      </c>
    </row>
    <row r="381" spans="1:11">
      <c r="A381" s="1">
        <v>1983</v>
      </c>
      <c r="B381" s="1" t="s">
        <v>1382</v>
      </c>
      <c r="C381" s="1">
        <v>7</v>
      </c>
      <c r="D381" s="1" t="s">
        <v>1383</v>
      </c>
      <c r="E381" s="1" t="s">
        <v>1384</v>
      </c>
      <c r="F381" s="1">
        <v>42.329799999999999</v>
      </c>
      <c r="G381" s="1">
        <v>-83.040099999999995</v>
      </c>
      <c r="H381" s="1" t="s">
        <v>1385</v>
      </c>
      <c r="I381" s="1" t="s">
        <v>1010</v>
      </c>
      <c r="J381" s="81">
        <v>30472</v>
      </c>
      <c r="K381" s="81" t="s">
        <v>1402</v>
      </c>
    </row>
    <row r="382" spans="1:11">
      <c r="A382" s="1">
        <v>1983</v>
      </c>
      <c r="B382" s="1" t="s">
        <v>1115</v>
      </c>
      <c r="C382" s="1">
        <v>8</v>
      </c>
      <c r="D382" s="1" t="s">
        <v>1320</v>
      </c>
      <c r="E382" s="1" t="s">
        <v>1321</v>
      </c>
      <c r="F382" s="1">
        <v>45.5</v>
      </c>
      <c r="G382" s="1">
        <v>-73.522800000000004</v>
      </c>
      <c r="H382" s="1" t="s">
        <v>1322</v>
      </c>
      <c r="I382" s="1" t="s">
        <v>1119</v>
      </c>
      <c r="J382" s="81">
        <v>30479</v>
      </c>
      <c r="K382" s="81" t="s">
        <v>1403</v>
      </c>
    </row>
    <row r="383" spans="1:11">
      <c r="A383" s="1">
        <v>1983</v>
      </c>
      <c r="B383" s="1" t="s">
        <v>850</v>
      </c>
      <c r="C383" s="1">
        <v>9</v>
      </c>
      <c r="D383" s="1" t="s">
        <v>851</v>
      </c>
      <c r="E383" s="1" t="s">
        <v>852</v>
      </c>
      <c r="F383" s="1">
        <v>52.078600000000002</v>
      </c>
      <c r="G383" s="1">
        <v>-1.01694</v>
      </c>
      <c r="H383" s="1" t="s">
        <v>853</v>
      </c>
      <c r="I383" s="1" t="s">
        <v>854</v>
      </c>
      <c r="J383" s="81">
        <v>30513</v>
      </c>
      <c r="K383" s="81" t="s">
        <v>1404</v>
      </c>
    </row>
    <row r="384" spans="1:11">
      <c r="A384" s="1">
        <v>1983</v>
      </c>
      <c r="B384" s="1" t="s">
        <v>893</v>
      </c>
      <c r="C384" s="1">
        <v>10</v>
      </c>
      <c r="D384" s="1" t="s">
        <v>1162</v>
      </c>
      <c r="E384" s="1" t="s">
        <v>1163</v>
      </c>
      <c r="F384" s="1">
        <v>49.327800000000003</v>
      </c>
      <c r="G384" s="1">
        <v>8.5658300000000001</v>
      </c>
      <c r="H384" s="1" t="s">
        <v>1164</v>
      </c>
      <c r="I384" s="1" t="s">
        <v>761</v>
      </c>
      <c r="J384" s="81">
        <v>30535</v>
      </c>
      <c r="K384" s="81" t="s">
        <v>1405</v>
      </c>
    </row>
    <row r="385" spans="1:11">
      <c r="A385" s="1">
        <v>1983</v>
      </c>
      <c r="B385" s="1" t="s">
        <v>1072</v>
      </c>
      <c r="C385" s="1">
        <v>11</v>
      </c>
      <c r="D385" s="1" t="s">
        <v>1166</v>
      </c>
      <c r="E385" s="1" t="s">
        <v>1167</v>
      </c>
      <c r="F385" s="1">
        <v>47.219700000000003</v>
      </c>
      <c r="G385" s="1">
        <v>14.764699999999999</v>
      </c>
      <c r="H385" s="1" t="s">
        <v>1168</v>
      </c>
      <c r="I385" s="1" t="s">
        <v>1076</v>
      </c>
      <c r="J385" s="81">
        <v>30542</v>
      </c>
      <c r="K385" s="81" t="s">
        <v>1406</v>
      </c>
    </row>
    <row r="386" spans="1:11">
      <c r="A386" s="1">
        <v>1983</v>
      </c>
      <c r="B386" s="1" t="s">
        <v>914</v>
      </c>
      <c r="C386" s="1">
        <v>12</v>
      </c>
      <c r="D386" s="1" t="s">
        <v>915</v>
      </c>
      <c r="E386" s="1" t="s">
        <v>916</v>
      </c>
      <c r="F386" s="1">
        <v>52.388800000000003</v>
      </c>
      <c r="G386" s="1">
        <v>4.5409199999999998</v>
      </c>
      <c r="H386" s="1" t="s">
        <v>917</v>
      </c>
      <c r="I386" s="1" t="s">
        <v>918</v>
      </c>
      <c r="J386" s="81">
        <v>30556</v>
      </c>
      <c r="K386" s="81" t="s">
        <v>1407</v>
      </c>
    </row>
    <row r="387" spans="1:11">
      <c r="A387" s="1">
        <v>1983</v>
      </c>
      <c r="B387" s="1" t="s">
        <v>882</v>
      </c>
      <c r="C387" s="1">
        <v>13</v>
      </c>
      <c r="D387" s="1" t="s">
        <v>883</v>
      </c>
      <c r="E387" s="1" t="s">
        <v>884</v>
      </c>
      <c r="F387" s="1">
        <v>45.615600000000001</v>
      </c>
      <c r="G387" s="1">
        <v>9.28111</v>
      </c>
      <c r="H387" s="1" t="s">
        <v>885</v>
      </c>
      <c r="I387" s="1" t="s">
        <v>886</v>
      </c>
      <c r="J387" s="81">
        <v>30570</v>
      </c>
      <c r="K387" s="81" t="s">
        <v>1408</v>
      </c>
    </row>
    <row r="388" spans="1:11">
      <c r="A388" s="1">
        <v>1983</v>
      </c>
      <c r="B388" s="1" t="s">
        <v>1409</v>
      </c>
      <c r="C388" s="1">
        <v>14</v>
      </c>
      <c r="D388" s="1" t="s">
        <v>1067</v>
      </c>
      <c r="E388" s="1" t="s">
        <v>1068</v>
      </c>
      <c r="F388" s="1">
        <v>51.356900000000003</v>
      </c>
      <c r="G388" s="1">
        <v>0.26305600000000001</v>
      </c>
      <c r="H388" s="1" t="s">
        <v>1069</v>
      </c>
      <c r="I388" s="1" t="s">
        <v>854</v>
      </c>
      <c r="J388" s="81">
        <v>30584</v>
      </c>
      <c r="K388" s="81" t="s">
        <v>1410</v>
      </c>
    </row>
    <row r="389" spans="1:11">
      <c r="A389" s="1">
        <v>1983</v>
      </c>
      <c r="B389" s="1" t="s">
        <v>1042</v>
      </c>
      <c r="C389" s="1">
        <v>15</v>
      </c>
      <c r="D389" s="1" t="s">
        <v>1103</v>
      </c>
      <c r="E389" s="1" t="s">
        <v>1104</v>
      </c>
      <c r="F389" s="1">
        <v>-25.9894</v>
      </c>
      <c r="G389" s="1">
        <v>28.076699999999999</v>
      </c>
      <c r="H389" s="1" t="s">
        <v>1105</v>
      </c>
      <c r="I389" s="1" t="s">
        <v>1046</v>
      </c>
      <c r="J389" s="81">
        <v>30604</v>
      </c>
      <c r="K389" s="81" t="s">
        <v>1411</v>
      </c>
    </row>
    <row r="390" spans="1:11">
      <c r="A390" s="1">
        <v>1984</v>
      </c>
      <c r="B390" s="1" t="s">
        <v>1203</v>
      </c>
      <c r="C390" s="1">
        <v>1</v>
      </c>
      <c r="D390" s="1" t="s">
        <v>1303</v>
      </c>
      <c r="E390" s="1" t="s">
        <v>1304</v>
      </c>
      <c r="F390" s="1">
        <v>-22.9756</v>
      </c>
      <c r="G390" s="1">
        <v>-43.395000000000003</v>
      </c>
      <c r="H390" s="1" t="s">
        <v>1305</v>
      </c>
      <c r="I390" s="1" t="s">
        <v>1207</v>
      </c>
      <c r="J390" s="81">
        <v>30766</v>
      </c>
      <c r="K390" s="81" t="s">
        <v>1412</v>
      </c>
    </row>
    <row r="391" spans="1:11">
      <c r="A391" s="1">
        <v>1984</v>
      </c>
      <c r="B391" s="1" t="s">
        <v>1042</v>
      </c>
      <c r="C391" s="1">
        <v>2</v>
      </c>
      <c r="D391" s="1" t="s">
        <v>1103</v>
      </c>
      <c r="E391" s="1" t="s">
        <v>1104</v>
      </c>
      <c r="F391" s="1">
        <v>-25.9894</v>
      </c>
      <c r="G391" s="1">
        <v>28.076699999999999</v>
      </c>
      <c r="H391" s="1" t="s">
        <v>1105</v>
      </c>
      <c r="I391" s="1" t="s">
        <v>1046</v>
      </c>
      <c r="J391" s="81">
        <v>30779</v>
      </c>
      <c r="K391" s="81" t="s">
        <v>1413</v>
      </c>
    </row>
    <row r="392" spans="1:11">
      <c r="A392" s="1">
        <v>1984</v>
      </c>
      <c r="B392" s="1" t="s">
        <v>872</v>
      </c>
      <c r="C392" s="1">
        <v>3</v>
      </c>
      <c r="D392" s="1" t="s">
        <v>1211</v>
      </c>
      <c r="E392" s="1" t="s">
        <v>1212</v>
      </c>
      <c r="F392" s="1">
        <v>50.989400000000003</v>
      </c>
      <c r="G392" s="1">
        <v>5.2569400000000002</v>
      </c>
      <c r="H392" s="1" t="s">
        <v>1213</v>
      </c>
      <c r="I392" s="1" t="s">
        <v>244</v>
      </c>
      <c r="J392" s="81">
        <v>30801</v>
      </c>
      <c r="K392" s="81" t="s">
        <v>1414</v>
      </c>
    </row>
    <row r="393" spans="1:11">
      <c r="A393" s="1">
        <v>1984</v>
      </c>
      <c r="B393" s="1" t="s">
        <v>1359</v>
      </c>
      <c r="C393" s="1">
        <v>4</v>
      </c>
      <c r="D393" s="1" t="s">
        <v>1350</v>
      </c>
      <c r="E393" s="1" t="s">
        <v>1351</v>
      </c>
      <c r="F393" s="1">
        <v>44.343899999999998</v>
      </c>
      <c r="G393" s="1">
        <v>11.716699999999999</v>
      </c>
      <c r="H393" s="1" t="s">
        <v>1352</v>
      </c>
      <c r="I393" s="1" t="s">
        <v>886</v>
      </c>
      <c r="J393" s="81">
        <v>30808</v>
      </c>
      <c r="K393" s="81" t="s">
        <v>1415</v>
      </c>
    </row>
    <row r="394" spans="1:11">
      <c r="A394" s="1">
        <v>1984</v>
      </c>
      <c r="B394" s="1" t="s">
        <v>877</v>
      </c>
      <c r="C394" s="1">
        <v>5</v>
      </c>
      <c r="D394" s="1" t="s">
        <v>1238</v>
      </c>
      <c r="E394" s="1" t="s">
        <v>1239</v>
      </c>
      <c r="F394" s="1">
        <v>47.362499999999997</v>
      </c>
      <c r="G394" s="1">
        <v>47.362499999999997</v>
      </c>
      <c r="H394" s="1" t="s">
        <v>1240</v>
      </c>
      <c r="I394" s="1" t="s">
        <v>755</v>
      </c>
      <c r="J394" s="81">
        <v>30822</v>
      </c>
      <c r="K394" s="81" t="s">
        <v>1416</v>
      </c>
    </row>
    <row r="395" spans="1:11">
      <c r="A395" s="1">
        <v>1984</v>
      </c>
      <c r="B395" s="1" t="s">
        <v>856</v>
      </c>
      <c r="C395" s="1">
        <v>6</v>
      </c>
      <c r="D395" s="1" t="s">
        <v>857</v>
      </c>
      <c r="E395" s="1" t="s">
        <v>858</v>
      </c>
      <c r="F395" s="1">
        <v>43.734699999999997</v>
      </c>
      <c r="G395" s="1">
        <v>7.42056</v>
      </c>
      <c r="H395" s="1" t="s">
        <v>859</v>
      </c>
      <c r="I395" s="1" t="s">
        <v>860</v>
      </c>
      <c r="J395" s="81">
        <v>30836</v>
      </c>
      <c r="K395" s="81" t="s">
        <v>1417</v>
      </c>
    </row>
    <row r="396" spans="1:11">
      <c r="A396" s="1">
        <v>1984</v>
      </c>
      <c r="B396" s="1" t="s">
        <v>1115</v>
      </c>
      <c r="C396" s="1">
        <v>7</v>
      </c>
      <c r="D396" s="1" t="s">
        <v>1320</v>
      </c>
      <c r="E396" s="1" t="s">
        <v>1321</v>
      </c>
      <c r="F396" s="1">
        <v>45.5</v>
      </c>
      <c r="G396" s="1">
        <v>-73.522800000000004</v>
      </c>
      <c r="H396" s="1" t="s">
        <v>1322</v>
      </c>
      <c r="I396" s="1" t="s">
        <v>1119</v>
      </c>
      <c r="J396" s="81">
        <v>30850</v>
      </c>
      <c r="K396" s="81" t="s">
        <v>1418</v>
      </c>
    </row>
    <row r="397" spans="1:11">
      <c r="A397" s="1">
        <v>1984</v>
      </c>
      <c r="B397" s="1" t="s">
        <v>1382</v>
      </c>
      <c r="C397" s="1">
        <v>8</v>
      </c>
      <c r="D397" s="1" t="s">
        <v>1383</v>
      </c>
      <c r="E397" s="1" t="s">
        <v>1384</v>
      </c>
      <c r="F397" s="1">
        <v>42.329799999999999</v>
      </c>
      <c r="G397" s="1">
        <v>-83.040099999999995</v>
      </c>
      <c r="H397" s="1" t="s">
        <v>1385</v>
      </c>
      <c r="I397" s="1" t="s">
        <v>1010</v>
      </c>
      <c r="J397" s="81">
        <v>30857</v>
      </c>
      <c r="K397" s="81" t="s">
        <v>1419</v>
      </c>
    </row>
    <row r="398" spans="1:11">
      <c r="A398" s="1">
        <v>1984</v>
      </c>
      <c r="B398" s="1" t="s">
        <v>1420</v>
      </c>
      <c r="C398" s="1">
        <v>9</v>
      </c>
      <c r="D398" s="1" t="s">
        <v>1421</v>
      </c>
      <c r="E398" s="1" t="s">
        <v>1422</v>
      </c>
      <c r="F398" s="1">
        <v>32.7774</v>
      </c>
      <c r="G398" s="1">
        <v>-96.758700000000005</v>
      </c>
      <c r="H398" s="1" t="s">
        <v>1423</v>
      </c>
      <c r="I398" s="1" t="s">
        <v>1010</v>
      </c>
      <c r="J398" s="81">
        <v>30871</v>
      </c>
      <c r="K398" s="81" t="s">
        <v>1424</v>
      </c>
    </row>
    <row r="399" spans="1:11">
      <c r="A399" s="1">
        <v>1984</v>
      </c>
      <c r="B399" s="1" t="s">
        <v>850</v>
      </c>
      <c r="C399" s="1">
        <v>10</v>
      </c>
      <c r="D399" s="1" t="s">
        <v>1067</v>
      </c>
      <c r="E399" s="1" t="s">
        <v>1068</v>
      </c>
      <c r="F399" s="1">
        <v>51.356900000000003</v>
      </c>
      <c r="G399" s="1">
        <v>0.26305600000000001</v>
      </c>
      <c r="H399" s="1" t="s">
        <v>1069</v>
      </c>
      <c r="I399" s="1" t="s">
        <v>854</v>
      </c>
      <c r="J399" s="81">
        <v>30885</v>
      </c>
      <c r="K399" s="81" t="s">
        <v>1425</v>
      </c>
    </row>
    <row r="400" spans="1:11">
      <c r="A400" s="1">
        <v>1984</v>
      </c>
      <c r="B400" s="1" t="s">
        <v>893</v>
      </c>
      <c r="C400" s="1">
        <v>11</v>
      </c>
      <c r="D400" s="1" t="s">
        <v>1162</v>
      </c>
      <c r="E400" s="1" t="s">
        <v>1163</v>
      </c>
      <c r="F400" s="1">
        <v>49.327800000000003</v>
      </c>
      <c r="G400" s="1">
        <v>8.5658300000000001</v>
      </c>
      <c r="H400" s="1" t="s">
        <v>1164</v>
      </c>
      <c r="I400" s="1" t="s">
        <v>761</v>
      </c>
      <c r="J400" s="81">
        <v>30899</v>
      </c>
      <c r="K400" s="81" t="s">
        <v>1426</v>
      </c>
    </row>
    <row r="401" spans="1:11">
      <c r="A401" s="1">
        <v>1984</v>
      </c>
      <c r="B401" s="1" t="s">
        <v>1072</v>
      </c>
      <c r="C401" s="1">
        <v>12</v>
      </c>
      <c r="D401" s="1" t="s">
        <v>1166</v>
      </c>
      <c r="E401" s="1" t="s">
        <v>1167</v>
      </c>
      <c r="F401" s="1">
        <v>47.219700000000003</v>
      </c>
      <c r="G401" s="1">
        <v>14.764699999999999</v>
      </c>
      <c r="H401" s="1" t="s">
        <v>1168</v>
      </c>
      <c r="I401" s="1" t="s">
        <v>1076</v>
      </c>
      <c r="J401" s="81">
        <v>30913</v>
      </c>
      <c r="K401" s="81" t="s">
        <v>1427</v>
      </c>
    </row>
    <row r="402" spans="1:11">
      <c r="A402" s="1">
        <v>1984</v>
      </c>
      <c r="B402" s="1" t="s">
        <v>914</v>
      </c>
      <c r="C402" s="1">
        <v>13</v>
      </c>
      <c r="D402" s="1" t="s">
        <v>915</v>
      </c>
      <c r="E402" s="1" t="s">
        <v>916</v>
      </c>
      <c r="F402" s="1">
        <v>52.388800000000003</v>
      </c>
      <c r="G402" s="1">
        <v>4.5409199999999998</v>
      </c>
      <c r="H402" s="1" t="s">
        <v>917</v>
      </c>
      <c r="I402" s="1" t="s">
        <v>918</v>
      </c>
      <c r="J402" s="81">
        <v>30920</v>
      </c>
      <c r="K402" s="81" t="s">
        <v>1428</v>
      </c>
    </row>
    <row r="403" spans="1:11">
      <c r="A403" s="1">
        <v>1984</v>
      </c>
      <c r="B403" s="1" t="s">
        <v>882</v>
      </c>
      <c r="C403" s="1">
        <v>14</v>
      </c>
      <c r="D403" s="1" t="s">
        <v>883</v>
      </c>
      <c r="E403" s="1" t="s">
        <v>884</v>
      </c>
      <c r="F403" s="1">
        <v>45.615600000000001</v>
      </c>
      <c r="G403" s="1">
        <v>9.28111</v>
      </c>
      <c r="H403" s="1" t="s">
        <v>885</v>
      </c>
      <c r="I403" s="1" t="s">
        <v>886</v>
      </c>
      <c r="J403" s="81">
        <v>30934</v>
      </c>
      <c r="K403" s="81" t="s">
        <v>1429</v>
      </c>
    </row>
    <row r="404" spans="1:11">
      <c r="A404" s="1">
        <v>1984</v>
      </c>
      <c r="B404" s="1" t="s">
        <v>1409</v>
      </c>
      <c r="C404" s="1">
        <v>15</v>
      </c>
      <c r="D404" s="1" t="s">
        <v>894</v>
      </c>
      <c r="E404" s="1" t="s">
        <v>895</v>
      </c>
      <c r="F404" s="1">
        <v>50.335599999999999</v>
      </c>
      <c r="G404" s="1">
        <v>6.9474999999999998</v>
      </c>
      <c r="H404" s="1" t="s">
        <v>896</v>
      </c>
      <c r="I404" s="1" t="s">
        <v>761</v>
      </c>
      <c r="J404" s="81">
        <v>30962</v>
      </c>
      <c r="K404" s="81" t="s">
        <v>1430</v>
      </c>
    </row>
    <row r="405" spans="1:11">
      <c r="A405" s="1">
        <v>1984</v>
      </c>
      <c r="B405" s="1" t="s">
        <v>980</v>
      </c>
      <c r="C405" s="1">
        <v>16</v>
      </c>
      <c r="D405" s="1" t="s">
        <v>1431</v>
      </c>
      <c r="E405" s="1" t="s">
        <v>1432</v>
      </c>
      <c r="F405" s="1">
        <v>38.750599999999999</v>
      </c>
      <c r="G405" s="1">
        <v>-9.3941700000000008</v>
      </c>
      <c r="H405" s="1" t="s">
        <v>1433</v>
      </c>
      <c r="I405" s="1" t="s">
        <v>984</v>
      </c>
      <c r="J405" s="81">
        <v>30976</v>
      </c>
      <c r="K405" s="81" t="s">
        <v>1434</v>
      </c>
    </row>
    <row r="406" spans="1:11">
      <c r="A406" s="1">
        <v>1985</v>
      </c>
      <c r="B406" s="1" t="s">
        <v>1203</v>
      </c>
      <c r="C406" s="1">
        <v>1</v>
      </c>
      <c r="D406" s="1" t="s">
        <v>1303</v>
      </c>
      <c r="E406" s="1" t="s">
        <v>1304</v>
      </c>
      <c r="F406" s="1">
        <v>-22.9756</v>
      </c>
      <c r="G406" s="1">
        <v>-43.395000000000003</v>
      </c>
      <c r="H406" s="1" t="s">
        <v>1305</v>
      </c>
      <c r="I406" s="1" t="s">
        <v>1207</v>
      </c>
      <c r="J406" s="81">
        <v>31144</v>
      </c>
      <c r="K406" s="81" t="s">
        <v>1435</v>
      </c>
    </row>
    <row r="407" spans="1:11">
      <c r="A407" s="1">
        <v>1985</v>
      </c>
      <c r="B407" s="1" t="s">
        <v>980</v>
      </c>
      <c r="C407" s="1">
        <v>2</v>
      </c>
      <c r="D407" s="1" t="s">
        <v>1431</v>
      </c>
      <c r="E407" s="1" t="s">
        <v>1432</v>
      </c>
      <c r="F407" s="1">
        <v>38.750599999999999</v>
      </c>
      <c r="G407" s="1">
        <v>-9.3941700000000008</v>
      </c>
      <c r="H407" s="1" t="s">
        <v>1433</v>
      </c>
      <c r="I407" s="1" t="s">
        <v>984</v>
      </c>
      <c r="J407" s="81">
        <v>31158</v>
      </c>
      <c r="K407" s="81" t="s">
        <v>1436</v>
      </c>
    </row>
    <row r="408" spans="1:11">
      <c r="A408" s="1">
        <v>1985</v>
      </c>
      <c r="B408" s="1" t="s">
        <v>1359</v>
      </c>
      <c r="C408" s="1">
        <v>3</v>
      </c>
      <c r="D408" s="1" t="s">
        <v>1350</v>
      </c>
      <c r="E408" s="1" t="s">
        <v>1351</v>
      </c>
      <c r="F408" s="1">
        <v>44.343899999999998</v>
      </c>
      <c r="G408" s="1">
        <v>11.716699999999999</v>
      </c>
      <c r="H408" s="1" t="s">
        <v>1352</v>
      </c>
      <c r="I408" s="1" t="s">
        <v>886</v>
      </c>
      <c r="J408" s="81">
        <v>31172</v>
      </c>
      <c r="K408" s="81" t="s">
        <v>1437</v>
      </c>
    </row>
    <row r="409" spans="1:11">
      <c r="A409" s="1">
        <v>1985</v>
      </c>
      <c r="B409" s="1" t="s">
        <v>856</v>
      </c>
      <c r="C409" s="1">
        <v>4</v>
      </c>
      <c r="D409" s="1" t="s">
        <v>857</v>
      </c>
      <c r="E409" s="1" t="s">
        <v>858</v>
      </c>
      <c r="F409" s="1">
        <v>43.734699999999997</v>
      </c>
      <c r="G409" s="1">
        <v>7.42056</v>
      </c>
      <c r="H409" s="1" t="s">
        <v>859</v>
      </c>
      <c r="I409" s="1" t="s">
        <v>860</v>
      </c>
      <c r="J409" s="81">
        <v>31186</v>
      </c>
      <c r="K409" s="81" t="s">
        <v>1438</v>
      </c>
    </row>
    <row r="410" spans="1:11">
      <c r="A410" s="1">
        <v>1985</v>
      </c>
      <c r="B410" s="1" t="s">
        <v>1115</v>
      </c>
      <c r="C410" s="1">
        <v>5</v>
      </c>
      <c r="D410" s="1" t="s">
        <v>1320</v>
      </c>
      <c r="E410" s="1" t="s">
        <v>1321</v>
      </c>
      <c r="F410" s="1">
        <v>45.5</v>
      </c>
      <c r="G410" s="1">
        <v>-73.522800000000004</v>
      </c>
      <c r="H410" s="1" t="s">
        <v>1322</v>
      </c>
      <c r="I410" s="1" t="s">
        <v>1119</v>
      </c>
      <c r="J410" s="81">
        <v>31214</v>
      </c>
      <c r="K410" s="81" t="s">
        <v>1439</v>
      </c>
    </row>
    <row r="411" spans="1:11">
      <c r="A411" s="1">
        <v>1985</v>
      </c>
      <c r="B411" s="1" t="s">
        <v>1382</v>
      </c>
      <c r="C411" s="1">
        <v>6</v>
      </c>
      <c r="D411" s="1" t="s">
        <v>1383</v>
      </c>
      <c r="E411" s="1" t="s">
        <v>1384</v>
      </c>
      <c r="F411" s="1">
        <v>42.329799999999999</v>
      </c>
      <c r="G411" s="1">
        <v>-83.040099999999995</v>
      </c>
      <c r="H411" s="1" t="s">
        <v>1385</v>
      </c>
      <c r="I411" s="1" t="s">
        <v>1010</v>
      </c>
      <c r="J411" s="81">
        <v>31221</v>
      </c>
      <c r="K411" s="81" t="s">
        <v>1440</v>
      </c>
    </row>
    <row r="412" spans="1:11">
      <c r="A412" s="1">
        <v>1985</v>
      </c>
      <c r="B412" s="1" t="s">
        <v>877</v>
      </c>
      <c r="C412" s="1">
        <v>7</v>
      </c>
      <c r="D412" s="1" t="s">
        <v>1178</v>
      </c>
      <c r="E412" s="1" t="s">
        <v>1179</v>
      </c>
      <c r="F412" s="1">
        <v>43.250599999999999</v>
      </c>
      <c r="G412" s="1">
        <v>5.7916699999999999</v>
      </c>
      <c r="H412" s="1" t="s">
        <v>1180</v>
      </c>
      <c r="I412" s="1" t="s">
        <v>755</v>
      </c>
      <c r="J412" s="81">
        <v>31235</v>
      </c>
      <c r="K412" s="81" t="s">
        <v>1441</v>
      </c>
    </row>
    <row r="413" spans="1:11">
      <c r="A413" s="1">
        <v>1985</v>
      </c>
      <c r="B413" s="1" t="s">
        <v>850</v>
      </c>
      <c r="C413" s="1">
        <v>8</v>
      </c>
      <c r="D413" s="1" t="s">
        <v>851</v>
      </c>
      <c r="E413" s="1" t="s">
        <v>852</v>
      </c>
      <c r="F413" s="1">
        <v>52.078600000000002</v>
      </c>
      <c r="G413" s="1">
        <v>-1.01694</v>
      </c>
      <c r="H413" s="1" t="s">
        <v>853</v>
      </c>
      <c r="I413" s="1" t="s">
        <v>854</v>
      </c>
      <c r="J413" s="81">
        <v>31249</v>
      </c>
      <c r="K413" s="81" t="s">
        <v>1442</v>
      </c>
    </row>
    <row r="414" spans="1:11">
      <c r="A414" s="1">
        <v>1985</v>
      </c>
      <c r="B414" s="1" t="s">
        <v>893</v>
      </c>
      <c r="C414" s="1">
        <v>9</v>
      </c>
      <c r="D414" s="1" t="s">
        <v>894</v>
      </c>
      <c r="E414" s="1" t="s">
        <v>895</v>
      </c>
      <c r="F414" s="1">
        <v>50.335599999999999</v>
      </c>
      <c r="G414" s="1">
        <v>6.9474999999999998</v>
      </c>
      <c r="H414" s="1" t="s">
        <v>896</v>
      </c>
      <c r="I414" s="1" t="s">
        <v>761</v>
      </c>
      <c r="J414" s="81">
        <v>31263</v>
      </c>
      <c r="K414" s="81" t="s">
        <v>1443</v>
      </c>
    </row>
    <row r="415" spans="1:11">
      <c r="A415" s="1">
        <v>1985</v>
      </c>
      <c r="B415" s="1" t="s">
        <v>1072</v>
      </c>
      <c r="C415" s="1">
        <v>10</v>
      </c>
      <c r="D415" s="1" t="s">
        <v>1166</v>
      </c>
      <c r="E415" s="1" t="s">
        <v>1167</v>
      </c>
      <c r="F415" s="1">
        <v>47.219700000000003</v>
      </c>
      <c r="G415" s="1">
        <v>14.764699999999999</v>
      </c>
      <c r="H415" s="1" t="s">
        <v>1168</v>
      </c>
      <c r="I415" s="1" t="s">
        <v>1076</v>
      </c>
      <c r="J415" s="81">
        <v>31277</v>
      </c>
      <c r="K415" s="81" t="s">
        <v>1444</v>
      </c>
    </row>
    <row r="416" spans="1:11">
      <c r="A416" s="1">
        <v>1985</v>
      </c>
      <c r="B416" s="1" t="s">
        <v>914</v>
      </c>
      <c r="C416" s="1">
        <v>11</v>
      </c>
      <c r="D416" s="1" t="s">
        <v>915</v>
      </c>
      <c r="E416" s="1" t="s">
        <v>916</v>
      </c>
      <c r="F416" s="1">
        <v>52.388800000000003</v>
      </c>
      <c r="G416" s="1">
        <v>4.5409199999999998</v>
      </c>
      <c r="H416" s="1" t="s">
        <v>917</v>
      </c>
      <c r="I416" s="1" t="s">
        <v>918</v>
      </c>
      <c r="J416" s="81">
        <v>31284</v>
      </c>
      <c r="K416" s="81" t="s">
        <v>1445</v>
      </c>
    </row>
    <row r="417" spans="1:11">
      <c r="A417" s="1">
        <v>1985</v>
      </c>
      <c r="B417" s="1" t="s">
        <v>882</v>
      </c>
      <c r="C417" s="1">
        <v>12</v>
      </c>
      <c r="D417" s="1" t="s">
        <v>883</v>
      </c>
      <c r="E417" s="1" t="s">
        <v>884</v>
      </c>
      <c r="F417" s="1">
        <v>45.615600000000001</v>
      </c>
      <c r="G417" s="1">
        <v>9.28111</v>
      </c>
      <c r="H417" s="1" t="s">
        <v>885</v>
      </c>
      <c r="I417" s="1" t="s">
        <v>886</v>
      </c>
      <c r="J417" s="81">
        <v>31298</v>
      </c>
      <c r="K417" s="81" t="s">
        <v>1446</v>
      </c>
    </row>
    <row r="418" spans="1:11">
      <c r="A418" s="1">
        <v>1985</v>
      </c>
      <c r="B418" s="1" t="s">
        <v>872</v>
      </c>
      <c r="C418" s="1">
        <v>13</v>
      </c>
      <c r="D418" s="1" t="s">
        <v>873</v>
      </c>
      <c r="E418" s="1" t="s">
        <v>874</v>
      </c>
      <c r="F418" s="1">
        <v>50.437199999999997</v>
      </c>
      <c r="G418" s="1">
        <v>5.9713900000000004</v>
      </c>
      <c r="H418" s="1" t="s">
        <v>875</v>
      </c>
      <c r="I418" s="1" t="s">
        <v>244</v>
      </c>
      <c r="J418" s="81">
        <v>31305</v>
      </c>
      <c r="K418" s="81" t="s">
        <v>1447</v>
      </c>
    </row>
    <row r="419" spans="1:11">
      <c r="A419" s="1">
        <v>1985</v>
      </c>
      <c r="B419" s="1" t="s">
        <v>1409</v>
      </c>
      <c r="C419" s="1">
        <v>14</v>
      </c>
      <c r="D419" s="1" t="s">
        <v>1067</v>
      </c>
      <c r="E419" s="1" t="s">
        <v>1068</v>
      </c>
      <c r="F419" s="1">
        <v>51.356900000000003</v>
      </c>
      <c r="G419" s="1">
        <v>0.26305600000000001</v>
      </c>
      <c r="H419" s="1" t="s">
        <v>1069</v>
      </c>
      <c r="I419" s="1" t="s">
        <v>854</v>
      </c>
      <c r="J419" s="81">
        <v>31326</v>
      </c>
      <c r="K419" s="81" t="s">
        <v>1448</v>
      </c>
    </row>
    <row r="420" spans="1:11">
      <c r="A420" s="1">
        <v>1985</v>
      </c>
      <c r="B420" s="1" t="s">
        <v>1042</v>
      </c>
      <c r="C420" s="1">
        <v>15</v>
      </c>
      <c r="D420" s="1" t="s">
        <v>1103</v>
      </c>
      <c r="E420" s="1" t="s">
        <v>1104</v>
      </c>
      <c r="F420" s="1">
        <v>-25.9894</v>
      </c>
      <c r="G420" s="1">
        <v>28.076699999999999</v>
      </c>
      <c r="H420" s="1" t="s">
        <v>1105</v>
      </c>
      <c r="I420" s="1" t="s">
        <v>1046</v>
      </c>
      <c r="J420" s="81">
        <v>31339</v>
      </c>
      <c r="K420" s="81" t="s">
        <v>1449</v>
      </c>
    </row>
    <row r="421" spans="1:11">
      <c r="A421" s="1">
        <v>1985</v>
      </c>
      <c r="B421" s="1" t="s">
        <v>1450</v>
      </c>
      <c r="C421" s="1">
        <v>16</v>
      </c>
      <c r="D421" s="1" t="s">
        <v>1451</v>
      </c>
      <c r="E421" s="1" t="s">
        <v>1452</v>
      </c>
      <c r="F421" s="1">
        <v>-34.927199999999999</v>
      </c>
      <c r="G421" s="1">
        <v>138.61699999999999</v>
      </c>
      <c r="H421" s="1" t="s">
        <v>1453</v>
      </c>
      <c r="I421" s="1" t="s">
        <v>1454</v>
      </c>
      <c r="J421" s="81">
        <v>31354</v>
      </c>
      <c r="K421" s="81" t="s">
        <v>1455</v>
      </c>
    </row>
    <row r="422" spans="1:11">
      <c r="A422" s="1">
        <v>1986</v>
      </c>
      <c r="B422" s="1" t="s">
        <v>1203</v>
      </c>
      <c r="C422" s="1">
        <v>1</v>
      </c>
      <c r="D422" s="1" t="s">
        <v>1303</v>
      </c>
      <c r="E422" s="1" t="s">
        <v>1304</v>
      </c>
      <c r="F422" s="1">
        <v>-22.9756</v>
      </c>
      <c r="G422" s="1">
        <v>-43.395000000000003</v>
      </c>
      <c r="H422" s="1" t="s">
        <v>1305</v>
      </c>
      <c r="I422" s="1" t="s">
        <v>1207</v>
      </c>
      <c r="J422" s="81">
        <v>31494</v>
      </c>
      <c r="K422" s="81" t="s">
        <v>1456</v>
      </c>
    </row>
    <row r="423" spans="1:11">
      <c r="A423" s="1">
        <v>1986</v>
      </c>
      <c r="B423" s="1" t="s">
        <v>899</v>
      </c>
      <c r="C423" s="1">
        <v>2</v>
      </c>
      <c r="D423" s="1" t="s">
        <v>1457</v>
      </c>
      <c r="E423" s="1" t="s">
        <v>1458</v>
      </c>
      <c r="F423" s="1">
        <v>36.708300000000001</v>
      </c>
      <c r="G423" s="1">
        <v>-6.0341699999999996</v>
      </c>
      <c r="H423" s="1" t="s">
        <v>1459</v>
      </c>
      <c r="I423" s="1" t="s">
        <v>903</v>
      </c>
      <c r="J423" s="81">
        <v>31515</v>
      </c>
      <c r="K423" s="81" t="s">
        <v>1460</v>
      </c>
    </row>
    <row r="424" spans="1:11">
      <c r="A424" s="1">
        <v>1986</v>
      </c>
      <c r="B424" s="1" t="s">
        <v>1359</v>
      </c>
      <c r="C424" s="1">
        <v>3</v>
      </c>
      <c r="D424" s="1" t="s">
        <v>1350</v>
      </c>
      <c r="E424" s="1" t="s">
        <v>1351</v>
      </c>
      <c r="F424" s="1">
        <v>44.343899999999998</v>
      </c>
      <c r="G424" s="1">
        <v>11.716699999999999</v>
      </c>
      <c r="H424" s="1" t="s">
        <v>1352</v>
      </c>
      <c r="I424" s="1" t="s">
        <v>886</v>
      </c>
      <c r="J424" s="81">
        <v>31529</v>
      </c>
      <c r="K424" s="81" t="s">
        <v>1461</v>
      </c>
    </row>
    <row r="425" spans="1:11">
      <c r="A425" s="1">
        <v>1986</v>
      </c>
      <c r="B425" s="1" t="s">
        <v>856</v>
      </c>
      <c r="C425" s="1">
        <v>4</v>
      </c>
      <c r="D425" s="1" t="s">
        <v>857</v>
      </c>
      <c r="E425" s="1" t="s">
        <v>858</v>
      </c>
      <c r="F425" s="1">
        <v>43.734699999999997</v>
      </c>
      <c r="G425" s="1">
        <v>7.42056</v>
      </c>
      <c r="H425" s="1" t="s">
        <v>859</v>
      </c>
      <c r="I425" s="1" t="s">
        <v>860</v>
      </c>
      <c r="J425" s="81">
        <v>31543</v>
      </c>
      <c r="K425" s="81" t="s">
        <v>1462</v>
      </c>
    </row>
    <row r="426" spans="1:11">
      <c r="A426" s="1">
        <v>1986</v>
      </c>
      <c r="B426" s="1" t="s">
        <v>872</v>
      </c>
      <c r="C426" s="1">
        <v>5</v>
      </c>
      <c r="D426" s="1" t="s">
        <v>873</v>
      </c>
      <c r="E426" s="1" t="s">
        <v>874</v>
      </c>
      <c r="F426" s="1">
        <v>50.437199999999997</v>
      </c>
      <c r="G426" s="1">
        <v>5.9713900000000004</v>
      </c>
      <c r="H426" s="1" t="s">
        <v>875</v>
      </c>
      <c r="I426" s="1" t="s">
        <v>244</v>
      </c>
      <c r="J426" s="81">
        <v>31557</v>
      </c>
      <c r="K426" s="81" t="s">
        <v>1463</v>
      </c>
    </row>
    <row r="427" spans="1:11">
      <c r="A427" s="1">
        <v>1986</v>
      </c>
      <c r="B427" s="1" t="s">
        <v>1115</v>
      </c>
      <c r="C427" s="1">
        <v>6</v>
      </c>
      <c r="D427" s="1" t="s">
        <v>1320</v>
      </c>
      <c r="E427" s="1" t="s">
        <v>1321</v>
      </c>
      <c r="F427" s="1">
        <v>45.5</v>
      </c>
      <c r="G427" s="1">
        <v>-73.522800000000004</v>
      </c>
      <c r="H427" s="1" t="s">
        <v>1322</v>
      </c>
      <c r="I427" s="1" t="s">
        <v>1119</v>
      </c>
      <c r="J427" s="81">
        <v>31578</v>
      </c>
      <c r="K427" s="81" t="s">
        <v>1464</v>
      </c>
    </row>
    <row r="428" spans="1:11">
      <c r="A428" s="1">
        <v>1986</v>
      </c>
      <c r="B428" s="1" t="s">
        <v>1382</v>
      </c>
      <c r="C428" s="1">
        <v>7</v>
      </c>
      <c r="D428" s="1" t="s">
        <v>1383</v>
      </c>
      <c r="E428" s="1" t="s">
        <v>1384</v>
      </c>
      <c r="F428" s="1">
        <v>42.329799999999999</v>
      </c>
      <c r="G428" s="1">
        <v>-83.040099999999995</v>
      </c>
      <c r="H428" s="1" t="s">
        <v>1385</v>
      </c>
      <c r="I428" s="1" t="s">
        <v>1010</v>
      </c>
      <c r="J428" s="81">
        <v>31585</v>
      </c>
      <c r="K428" s="81" t="s">
        <v>1465</v>
      </c>
    </row>
    <row r="429" spans="1:11">
      <c r="A429" s="1">
        <v>1986</v>
      </c>
      <c r="B429" s="1" t="s">
        <v>877</v>
      </c>
      <c r="C429" s="1">
        <v>8</v>
      </c>
      <c r="D429" s="1" t="s">
        <v>1178</v>
      </c>
      <c r="E429" s="1" t="s">
        <v>1179</v>
      </c>
      <c r="F429" s="1">
        <v>43.250599999999999</v>
      </c>
      <c r="G429" s="1">
        <v>5.7916699999999999</v>
      </c>
      <c r="H429" s="1" t="s">
        <v>1180</v>
      </c>
      <c r="I429" s="1" t="s">
        <v>755</v>
      </c>
      <c r="J429" s="81">
        <v>31599</v>
      </c>
      <c r="K429" s="81" t="s">
        <v>1466</v>
      </c>
    </row>
    <row r="430" spans="1:11">
      <c r="A430" s="1">
        <v>1986</v>
      </c>
      <c r="B430" s="1" t="s">
        <v>850</v>
      </c>
      <c r="C430" s="1">
        <v>9</v>
      </c>
      <c r="D430" s="1" t="s">
        <v>1067</v>
      </c>
      <c r="E430" s="1" t="s">
        <v>1068</v>
      </c>
      <c r="F430" s="1">
        <v>51.356900000000003</v>
      </c>
      <c r="G430" s="1">
        <v>0.26305600000000001</v>
      </c>
      <c r="H430" s="1" t="s">
        <v>1069</v>
      </c>
      <c r="I430" s="1" t="s">
        <v>854</v>
      </c>
      <c r="J430" s="81">
        <v>31606</v>
      </c>
      <c r="K430" s="81" t="s">
        <v>1467</v>
      </c>
    </row>
    <row r="431" spans="1:11">
      <c r="A431" s="1">
        <v>1986</v>
      </c>
      <c r="B431" s="1" t="s">
        <v>893</v>
      </c>
      <c r="C431" s="1">
        <v>10</v>
      </c>
      <c r="D431" s="1" t="s">
        <v>1162</v>
      </c>
      <c r="E431" s="1" t="s">
        <v>1163</v>
      </c>
      <c r="F431" s="1">
        <v>49.327800000000003</v>
      </c>
      <c r="G431" s="1">
        <v>8.5658300000000001</v>
      </c>
      <c r="H431" s="1" t="s">
        <v>1164</v>
      </c>
      <c r="I431" s="1" t="s">
        <v>761</v>
      </c>
      <c r="J431" s="81">
        <v>31620</v>
      </c>
      <c r="K431" s="81" t="s">
        <v>1468</v>
      </c>
    </row>
    <row r="432" spans="1:11">
      <c r="A432" s="1">
        <v>1986</v>
      </c>
      <c r="B432" s="1" t="s">
        <v>1469</v>
      </c>
      <c r="C432" s="1">
        <v>11</v>
      </c>
      <c r="D432" s="1" t="s">
        <v>1470</v>
      </c>
      <c r="E432" s="1" t="s">
        <v>1471</v>
      </c>
      <c r="F432" s="1">
        <v>47.578899999999997</v>
      </c>
      <c r="G432" s="1">
        <v>19.2486</v>
      </c>
      <c r="H432" s="1" t="s">
        <v>1472</v>
      </c>
      <c r="I432" s="1" t="s">
        <v>1473</v>
      </c>
      <c r="J432" s="81">
        <v>31634</v>
      </c>
      <c r="K432" s="81" t="s">
        <v>1474</v>
      </c>
    </row>
    <row r="433" spans="1:11">
      <c r="A433" s="1">
        <v>1986</v>
      </c>
      <c r="B433" s="1" t="s">
        <v>1072</v>
      </c>
      <c r="C433" s="1">
        <v>12</v>
      </c>
      <c r="D433" s="1" t="s">
        <v>1166</v>
      </c>
      <c r="E433" s="1" t="s">
        <v>1167</v>
      </c>
      <c r="F433" s="1">
        <v>47.219700000000003</v>
      </c>
      <c r="G433" s="1">
        <v>14.764699999999999</v>
      </c>
      <c r="H433" s="1" t="s">
        <v>1168</v>
      </c>
      <c r="I433" s="1" t="s">
        <v>1076</v>
      </c>
      <c r="J433" s="81">
        <v>31641</v>
      </c>
      <c r="K433" s="81" t="s">
        <v>1475</v>
      </c>
    </row>
    <row r="434" spans="1:11">
      <c r="A434" s="1">
        <v>1986</v>
      </c>
      <c r="B434" s="1" t="s">
        <v>882</v>
      </c>
      <c r="C434" s="1">
        <v>13</v>
      </c>
      <c r="D434" s="1" t="s">
        <v>883</v>
      </c>
      <c r="E434" s="1" t="s">
        <v>884</v>
      </c>
      <c r="F434" s="1">
        <v>45.615600000000001</v>
      </c>
      <c r="G434" s="1">
        <v>9.28111</v>
      </c>
      <c r="H434" s="1" t="s">
        <v>885</v>
      </c>
      <c r="I434" s="1" t="s">
        <v>886</v>
      </c>
      <c r="J434" s="81">
        <v>31662</v>
      </c>
      <c r="K434" s="81" t="s">
        <v>1476</v>
      </c>
    </row>
    <row r="435" spans="1:11">
      <c r="A435" s="1">
        <v>1986</v>
      </c>
      <c r="B435" s="1" t="s">
        <v>980</v>
      </c>
      <c r="C435" s="1">
        <v>14</v>
      </c>
      <c r="D435" s="1" t="s">
        <v>1431</v>
      </c>
      <c r="E435" s="1" t="s">
        <v>1432</v>
      </c>
      <c r="F435" s="1">
        <v>38.750599999999999</v>
      </c>
      <c r="G435" s="1">
        <v>-9.3941700000000008</v>
      </c>
      <c r="H435" s="1" t="s">
        <v>1433</v>
      </c>
      <c r="I435" s="1" t="s">
        <v>984</v>
      </c>
      <c r="J435" s="81">
        <v>31676</v>
      </c>
      <c r="K435" s="81" t="s">
        <v>1477</v>
      </c>
    </row>
    <row r="436" spans="1:11">
      <c r="A436" s="1">
        <v>1986</v>
      </c>
      <c r="B436" s="1" t="s">
        <v>1056</v>
      </c>
      <c r="C436" s="1">
        <v>15</v>
      </c>
      <c r="D436" s="1" t="s">
        <v>1057</v>
      </c>
      <c r="E436" s="1" t="s">
        <v>1058</v>
      </c>
      <c r="F436" s="1">
        <v>19.432700000000001</v>
      </c>
      <c r="G436" s="1">
        <v>-99.133300000000006</v>
      </c>
      <c r="H436" s="1" t="s">
        <v>1059</v>
      </c>
      <c r="I436" s="1" t="s">
        <v>1060</v>
      </c>
      <c r="J436" s="81">
        <v>31697</v>
      </c>
      <c r="K436" s="81" t="s">
        <v>1478</v>
      </c>
    </row>
    <row r="437" spans="1:11">
      <c r="A437" s="1">
        <v>1986</v>
      </c>
      <c r="B437" s="1" t="s">
        <v>1450</v>
      </c>
      <c r="C437" s="1">
        <v>16</v>
      </c>
      <c r="D437" s="1" t="s">
        <v>1451</v>
      </c>
      <c r="E437" s="1" t="s">
        <v>1452</v>
      </c>
      <c r="F437" s="1">
        <v>-34.927199999999999</v>
      </c>
      <c r="G437" s="1">
        <v>138.61699999999999</v>
      </c>
      <c r="H437" s="1" t="s">
        <v>1453</v>
      </c>
      <c r="I437" s="1" t="s">
        <v>1454</v>
      </c>
      <c r="J437" s="81">
        <v>31711</v>
      </c>
      <c r="K437" s="81" t="s">
        <v>1479</v>
      </c>
    </row>
    <row r="438" spans="1:11">
      <c r="A438" s="1">
        <v>1987</v>
      </c>
      <c r="B438" s="1" t="s">
        <v>1203</v>
      </c>
      <c r="C438" s="1">
        <v>1</v>
      </c>
      <c r="D438" s="1" t="s">
        <v>1303</v>
      </c>
      <c r="E438" s="1" t="s">
        <v>1304</v>
      </c>
      <c r="F438" s="1">
        <v>-22.9756</v>
      </c>
      <c r="G438" s="1">
        <v>-43.395000000000003</v>
      </c>
      <c r="H438" s="1" t="s">
        <v>1305</v>
      </c>
      <c r="I438" s="1" t="s">
        <v>1207</v>
      </c>
      <c r="J438" s="81">
        <v>31879</v>
      </c>
      <c r="K438" s="81" t="s">
        <v>1480</v>
      </c>
    </row>
    <row r="439" spans="1:11">
      <c r="A439" s="1">
        <v>1987</v>
      </c>
      <c r="B439" s="1" t="s">
        <v>1359</v>
      </c>
      <c r="C439" s="1">
        <v>2</v>
      </c>
      <c r="D439" s="1" t="s">
        <v>1350</v>
      </c>
      <c r="E439" s="1" t="s">
        <v>1351</v>
      </c>
      <c r="F439" s="1">
        <v>44.343899999999998</v>
      </c>
      <c r="G439" s="1">
        <v>11.716699999999999</v>
      </c>
      <c r="H439" s="1" t="s">
        <v>1352</v>
      </c>
      <c r="I439" s="1" t="s">
        <v>886</v>
      </c>
      <c r="J439" s="81">
        <v>31900</v>
      </c>
      <c r="K439" s="81" t="s">
        <v>1481</v>
      </c>
    </row>
    <row r="440" spans="1:11">
      <c r="A440" s="1">
        <v>1987</v>
      </c>
      <c r="B440" s="1" t="s">
        <v>872</v>
      </c>
      <c r="C440" s="1">
        <v>3</v>
      </c>
      <c r="D440" s="1" t="s">
        <v>873</v>
      </c>
      <c r="E440" s="1" t="s">
        <v>874</v>
      </c>
      <c r="F440" s="1">
        <v>50.437199999999997</v>
      </c>
      <c r="G440" s="1">
        <v>5.9713900000000004</v>
      </c>
      <c r="H440" s="1" t="s">
        <v>875</v>
      </c>
      <c r="I440" s="1" t="s">
        <v>244</v>
      </c>
      <c r="J440" s="81">
        <v>31914</v>
      </c>
      <c r="K440" s="81" t="s">
        <v>1482</v>
      </c>
    </row>
    <row r="441" spans="1:11">
      <c r="A441" s="1">
        <v>1987</v>
      </c>
      <c r="B441" s="1" t="s">
        <v>856</v>
      </c>
      <c r="C441" s="1">
        <v>4</v>
      </c>
      <c r="D441" s="1" t="s">
        <v>857</v>
      </c>
      <c r="E441" s="1" t="s">
        <v>858</v>
      </c>
      <c r="F441" s="1">
        <v>43.734699999999997</v>
      </c>
      <c r="G441" s="1">
        <v>7.42056</v>
      </c>
      <c r="H441" s="1" t="s">
        <v>859</v>
      </c>
      <c r="I441" s="1" t="s">
        <v>860</v>
      </c>
      <c r="J441" s="81">
        <v>31928</v>
      </c>
      <c r="K441" s="81" t="s">
        <v>1483</v>
      </c>
    </row>
    <row r="442" spans="1:11">
      <c r="A442" s="1">
        <v>1987</v>
      </c>
      <c r="B442" s="1" t="s">
        <v>1382</v>
      </c>
      <c r="C442" s="1">
        <v>5</v>
      </c>
      <c r="D442" s="1" t="s">
        <v>1383</v>
      </c>
      <c r="E442" s="1" t="s">
        <v>1384</v>
      </c>
      <c r="F442" s="1">
        <v>42.329799999999999</v>
      </c>
      <c r="G442" s="1">
        <v>-83.040099999999995</v>
      </c>
      <c r="H442" s="1" t="s">
        <v>1385</v>
      </c>
      <c r="I442" s="1" t="s">
        <v>1010</v>
      </c>
      <c r="J442" s="81">
        <v>31949</v>
      </c>
      <c r="K442" s="81" t="s">
        <v>1484</v>
      </c>
    </row>
    <row r="443" spans="1:11">
      <c r="A443" s="1">
        <v>1987</v>
      </c>
      <c r="B443" s="1" t="s">
        <v>877</v>
      </c>
      <c r="C443" s="1">
        <v>6</v>
      </c>
      <c r="D443" s="1" t="s">
        <v>1178</v>
      </c>
      <c r="E443" s="1" t="s">
        <v>1179</v>
      </c>
      <c r="F443" s="1">
        <v>43.250599999999999</v>
      </c>
      <c r="G443" s="1">
        <v>5.7916699999999999</v>
      </c>
      <c r="H443" s="1" t="s">
        <v>1180</v>
      </c>
      <c r="I443" s="1" t="s">
        <v>755</v>
      </c>
      <c r="J443" s="81">
        <v>31963</v>
      </c>
      <c r="K443" s="81" t="s">
        <v>1485</v>
      </c>
    </row>
    <row r="444" spans="1:11">
      <c r="A444" s="1">
        <v>1987</v>
      </c>
      <c r="B444" s="1" t="s">
        <v>850</v>
      </c>
      <c r="C444" s="1">
        <v>7</v>
      </c>
      <c r="D444" s="1" t="s">
        <v>851</v>
      </c>
      <c r="E444" s="1" t="s">
        <v>852</v>
      </c>
      <c r="F444" s="1">
        <v>52.078600000000002</v>
      </c>
      <c r="G444" s="1">
        <v>-1.01694</v>
      </c>
      <c r="H444" s="1" t="s">
        <v>853</v>
      </c>
      <c r="I444" s="1" t="s">
        <v>854</v>
      </c>
      <c r="J444" s="81">
        <v>31970</v>
      </c>
      <c r="K444" s="81" t="s">
        <v>1486</v>
      </c>
    </row>
    <row r="445" spans="1:11">
      <c r="A445" s="1">
        <v>1987</v>
      </c>
      <c r="B445" s="1" t="s">
        <v>893</v>
      </c>
      <c r="C445" s="1">
        <v>8</v>
      </c>
      <c r="D445" s="1" t="s">
        <v>1162</v>
      </c>
      <c r="E445" s="1" t="s">
        <v>1163</v>
      </c>
      <c r="F445" s="1">
        <v>49.327800000000003</v>
      </c>
      <c r="G445" s="1">
        <v>8.5658300000000001</v>
      </c>
      <c r="H445" s="1" t="s">
        <v>1164</v>
      </c>
      <c r="I445" s="1" t="s">
        <v>761</v>
      </c>
      <c r="J445" s="81">
        <v>31984</v>
      </c>
      <c r="K445" s="81" t="s">
        <v>1487</v>
      </c>
    </row>
    <row r="446" spans="1:11">
      <c r="A446" s="1">
        <v>1987</v>
      </c>
      <c r="B446" s="1" t="s">
        <v>1469</v>
      </c>
      <c r="C446" s="1">
        <v>9</v>
      </c>
      <c r="D446" s="1" t="s">
        <v>1470</v>
      </c>
      <c r="E446" s="1" t="s">
        <v>1471</v>
      </c>
      <c r="F446" s="1">
        <v>47.578899999999997</v>
      </c>
      <c r="G446" s="1">
        <v>19.2486</v>
      </c>
      <c r="H446" s="1" t="s">
        <v>1472</v>
      </c>
      <c r="I446" s="1" t="s">
        <v>1473</v>
      </c>
      <c r="J446" s="81">
        <v>31998</v>
      </c>
      <c r="K446" s="81" t="s">
        <v>1488</v>
      </c>
    </row>
    <row r="447" spans="1:11">
      <c r="A447" s="1">
        <v>1987</v>
      </c>
      <c r="B447" s="1" t="s">
        <v>1072</v>
      </c>
      <c r="C447" s="1">
        <v>10</v>
      </c>
      <c r="D447" s="1" t="s">
        <v>1166</v>
      </c>
      <c r="E447" s="1" t="s">
        <v>1167</v>
      </c>
      <c r="F447" s="1">
        <v>47.219700000000003</v>
      </c>
      <c r="G447" s="1">
        <v>14.764699999999999</v>
      </c>
      <c r="H447" s="1" t="s">
        <v>1168</v>
      </c>
      <c r="I447" s="1" t="s">
        <v>1076</v>
      </c>
      <c r="J447" s="81">
        <v>31946</v>
      </c>
      <c r="K447" s="81" t="s">
        <v>1489</v>
      </c>
    </row>
    <row r="448" spans="1:11">
      <c r="A448" s="1">
        <v>1987</v>
      </c>
      <c r="B448" s="1" t="s">
        <v>882</v>
      </c>
      <c r="C448" s="1">
        <v>11</v>
      </c>
      <c r="D448" s="1" t="s">
        <v>883</v>
      </c>
      <c r="E448" s="1" t="s">
        <v>884</v>
      </c>
      <c r="F448" s="1">
        <v>45.615600000000001</v>
      </c>
      <c r="G448" s="1">
        <v>9.28111</v>
      </c>
      <c r="H448" s="1" t="s">
        <v>885</v>
      </c>
      <c r="I448" s="1" t="s">
        <v>886</v>
      </c>
      <c r="J448" s="81">
        <v>32026</v>
      </c>
      <c r="K448" s="81" t="s">
        <v>1490</v>
      </c>
    </row>
    <row r="449" spans="1:11">
      <c r="A449" s="1">
        <v>1987</v>
      </c>
      <c r="B449" s="1" t="s">
        <v>980</v>
      </c>
      <c r="C449" s="1">
        <v>12</v>
      </c>
      <c r="D449" s="1" t="s">
        <v>1431</v>
      </c>
      <c r="E449" s="1" t="s">
        <v>1432</v>
      </c>
      <c r="F449" s="1">
        <v>38.750599999999999</v>
      </c>
      <c r="G449" s="1">
        <v>-9.3941700000000008</v>
      </c>
      <c r="H449" s="1" t="s">
        <v>1433</v>
      </c>
      <c r="I449" s="1" t="s">
        <v>984</v>
      </c>
      <c r="J449" s="81">
        <v>32040</v>
      </c>
      <c r="K449" s="81" t="s">
        <v>1491</v>
      </c>
    </row>
    <row r="450" spans="1:11">
      <c r="A450" s="1">
        <v>1987</v>
      </c>
      <c r="B450" s="1" t="s">
        <v>899</v>
      </c>
      <c r="C450" s="1">
        <v>13</v>
      </c>
      <c r="D450" s="1" t="s">
        <v>1457</v>
      </c>
      <c r="E450" s="1" t="s">
        <v>1458</v>
      </c>
      <c r="F450" s="1">
        <v>36.708300000000001</v>
      </c>
      <c r="G450" s="1">
        <v>-6.0341699999999996</v>
      </c>
      <c r="H450" s="1" t="s">
        <v>1459</v>
      </c>
      <c r="I450" s="1" t="s">
        <v>903</v>
      </c>
      <c r="J450" s="81">
        <v>32047</v>
      </c>
      <c r="K450" s="81" t="s">
        <v>1492</v>
      </c>
    </row>
    <row r="451" spans="1:11">
      <c r="A451" s="1">
        <v>1987</v>
      </c>
      <c r="B451" s="1" t="s">
        <v>1056</v>
      </c>
      <c r="C451" s="1">
        <v>14</v>
      </c>
      <c r="D451" s="1" t="s">
        <v>1057</v>
      </c>
      <c r="E451" s="1" t="s">
        <v>1058</v>
      </c>
      <c r="F451" s="1">
        <v>19.432700000000001</v>
      </c>
      <c r="G451" s="1">
        <v>-99.133300000000006</v>
      </c>
      <c r="H451" s="1" t="s">
        <v>1059</v>
      </c>
      <c r="I451" s="1" t="s">
        <v>1060</v>
      </c>
      <c r="J451" s="81">
        <v>32068</v>
      </c>
      <c r="K451" s="81" t="s">
        <v>1493</v>
      </c>
    </row>
    <row r="452" spans="1:11">
      <c r="A452" s="1">
        <v>1987</v>
      </c>
      <c r="B452" s="1" t="s">
        <v>1280</v>
      </c>
      <c r="C452" s="1">
        <v>15</v>
      </c>
      <c r="D452" s="1" t="s">
        <v>1494</v>
      </c>
      <c r="E452" s="1" t="s">
        <v>1495</v>
      </c>
      <c r="F452" s="1">
        <v>34.8431</v>
      </c>
      <c r="G452" s="1">
        <v>136.541</v>
      </c>
      <c r="H452" s="1" t="s">
        <v>1496</v>
      </c>
      <c r="I452" s="1" t="s">
        <v>375</v>
      </c>
      <c r="J452" s="81">
        <v>32082</v>
      </c>
      <c r="K452" s="81" t="s">
        <v>1497</v>
      </c>
    </row>
    <row r="453" spans="1:11">
      <c r="A453" s="1">
        <v>1987</v>
      </c>
      <c r="B453" s="1" t="s">
        <v>1450</v>
      </c>
      <c r="C453" s="1">
        <v>16</v>
      </c>
      <c r="D453" s="1" t="s">
        <v>1451</v>
      </c>
      <c r="E453" s="1" t="s">
        <v>1452</v>
      </c>
      <c r="F453" s="1">
        <v>-34.927199999999999</v>
      </c>
      <c r="G453" s="1">
        <v>138.61699999999999</v>
      </c>
      <c r="H453" s="1" t="s">
        <v>1453</v>
      </c>
      <c r="I453" s="1" t="s">
        <v>1454</v>
      </c>
      <c r="J453" s="81">
        <v>32096</v>
      </c>
      <c r="K453" s="81" t="s">
        <v>1498</v>
      </c>
    </row>
    <row r="454" spans="1:11">
      <c r="A454" s="1">
        <v>1988</v>
      </c>
      <c r="B454" s="1" t="s">
        <v>1203</v>
      </c>
      <c r="C454" s="1">
        <v>1</v>
      </c>
      <c r="D454" s="1" t="s">
        <v>1303</v>
      </c>
      <c r="E454" s="1" t="s">
        <v>1304</v>
      </c>
      <c r="F454" s="1">
        <v>-22.9756</v>
      </c>
      <c r="G454" s="1">
        <v>-43.395000000000003</v>
      </c>
      <c r="H454" s="1" t="s">
        <v>1305</v>
      </c>
      <c r="I454" s="1" t="s">
        <v>1207</v>
      </c>
      <c r="J454" s="81">
        <v>32236</v>
      </c>
      <c r="K454" s="81" t="s">
        <v>1499</v>
      </c>
    </row>
    <row r="455" spans="1:11">
      <c r="A455" s="1">
        <v>1988</v>
      </c>
      <c r="B455" s="1" t="s">
        <v>1359</v>
      </c>
      <c r="C455" s="1">
        <v>2</v>
      </c>
      <c r="D455" s="1" t="s">
        <v>1350</v>
      </c>
      <c r="E455" s="1" t="s">
        <v>1351</v>
      </c>
      <c r="F455" s="1">
        <v>44.343899999999998</v>
      </c>
      <c r="G455" s="1">
        <v>11.716699999999999</v>
      </c>
      <c r="H455" s="1" t="s">
        <v>1352</v>
      </c>
      <c r="I455" s="1" t="s">
        <v>886</v>
      </c>
      <c r="J455" s="81">
        <v>32264</v>
      </c>
      <c r="K455" s="81" t="s">
        <v>1500</v>
      </c>
    </row>
    <row r="456" spans="1:11">
      <c r="A456" s="1">
        <v>1988</v>
      </c>
      <c r="B456" s="1" t="s">
        <v>856</v>
      </c>
      <c r="C456" s="1">
        <v>3</v>
      </c>
      <c r="D456" s="1" t="s">
        <v>857</v>
      </c>
      <c r="E456" s="1" t="s">
        <v>858</v>
      </c>
      <c r="F456" s="1">
        <v>43.734699999999997</v>
      </c>
      <c r="G456" s="1">
        <v>7.42056</v>
      </c>
      <c r="H456" s="1" t="s">
        <v>859</v>
      </c>
      <c r="I456" s="1" t="s">
        <v>860</v>
      </c>
      <c r="J456" s="81">
        <v>32278</v>
      </c>
      <c r="K456" s="81" t="s">
        <v>1501</v>
      </c>
    </row>
    <row r="457" spans="1:11">
      <c r="A457" s="1">
        <v>1988</v>
      </c>
      <c r="B457" s="1" t="s">
        <v>1056</v>
      </c>
      <c r="C457" s="1">
        <v>4</v>
      </c>
      <c r="D457" s="1" t="s">
        <v>1057</v>
      </c>
      <c r="E457" s="1" t="s">
        <v>1058</v>
      </c>
      <c r="F457" s="1">
        <v>19.432700000000001</v>
      </c>
      <c r="G457" s="1">
        <v>-99.133300000000006</v>
      </c>
      <c r="H457" s="1" t="s">
        <v>1059</v>
      </c>
      <c r="I457" s="1" t="s">
        <v>1060</v>
      </c>
      <c r="J457" s="81">
        <v>32292</v>
      </c>
      <c r="K457" s="81" t="s">
        <v>1502</v>
      </c>
    </row>
    <row r="458" spans="1:11">
      <c r="A458" s="1">
        <v>1988</v>
      </c>
      <c r="B458" s="1" t="s">
        <v>1115</v>
      </c>
      <c r="C458" s="1">
        <v>5</v>
      </c>
      <c r="D458" s="1" t="s">
        <v>1320</v>
      </c>
      <c r="E458" s="1" t="s">
        <v>1321</v>
      </c>
      <c r="F458" s="1">
        <v>45.5</v>
      </c>
      <c r="G458" s="1">
        <v>-73.522800000000004</v>
      </c>
      <c r="H458" s="1" t="s">
        <v>1322</v>
      </c>
      <c r="I458" s="1" t="s">
        <v>1119</v>
      </c>
      <c r="J458" s="81">
        <v>32306</v>
      </c>
      <c r="K458" s="81" t="s">
        <v>1503</v>
      </c>
    </row>
    <row r="459" spans="1:11">
      <c r="A459" s="1">
        <v>1988</v>
      </c>
      <c r="B459" s="1" t="s">
        <v>1382</v>
      </c>
      <c r="C459" s="1">
        <v>6</v>
      </c>
      <c r="D459" s="1" t="s">
        <v>1383</v>
      </c>
      <c r="E459" s="1" t="s">
        <v>1384</v>
      </c>
      <c r="F459" s="1">
        <v>42.329799999999999</v>
      </c>
      <c r="G459" s="1">
        <v>-83.040099999999995</v>
      </c>
      <c r="H459" s="1" t="s">
        <v>1385</v>
      </c>
      <c r="I459" s="1" t="s">
        <v>1010</v>
      </c>
      <c r="J459" s="81">
        <v>32313</v>
      </c>
      <c r="K459" s="81" t="s">
        <v>1504</v>
      </c>
    </row>
    <row r="460" spans="1:11">
      <c r="A460" s="1">
        <v>1988</v>
      </c>
      <c r="B460" s="1" t="s">
        <v>877</v>
      </c>
      <c r="C460" s="1">
        <v>7</v>
      </c>
      <c r="D460" s="1" t="s">
        <v>1178</v>
      </c>
      <c r="E460" s="1" t="s">
        <v>1179</v>
      </c>
      <c r="F460" s="1">
        <v>43.250599999999999</v>
      </c>
      <c r="G460" s="1">
        <v>5.7916699999999999</v>
      </c>
      <c r="H460" s="1" t="s">
        <v>1180</v>
      </c>
      <c r="I460" s="1" t="s">
        <v>755</v>
      </c>
      <c r="J460" s="81">
        <v>32327</v>
      </c>
      <c r="K460" s="81" t="s">
        <v>1505</v>
      </c>
    </row>
    <row r="461" spans="1:11">
      <c r="A461" s="1">
        <v>1988</v>
      </c>
      <c r="B461" s="1" t="s">
        <v>850</v>
      </c>
      <c r="C461" s="1">
        <v>8</v>
      </c>
      <c r="D461" s="1" t="s">
        <v>851</v>
      </c>
      <c r="E461" s="1" t="s">
        <v>852</v>
      </c>
      <c r="F461" s="1">
        <v>52.078600000000002</v>
      </c>
      <c r="G461" s="1">
        <v>-1.01694</v>
      </c>
      <c r="H461" s="1" t="s">
        <v>853</v>
      </c>
      <c r="I461" s="1" t="s">
        <v>854</v>
      </c>
      <c r="J461" s="81">
        <v>32334</v>
      </c>
      <c r="K461" s="81" t="s">
        <v>1506</v>
      </c>
    </row>
    <row r="462" spans="1:11">
      <c r="A462" s="1">
        <v>1988</v>
      </c>
      <c r="B462" s="1" t="s">
        <v>893</v>
      </c>
      <c r="C462" s="1">
        <v>9</v>
      </c>
      <c r="D462" s="1" t="s">
        <v>1162</v>
      </c>
      <c r="E462" s="1" t="s">
        <v>1163</v>
      </c>
      <c r="F462" s="1">
        <v>49.327800000000003</v>
      </c>
      <c r="G462" s="1">
        <v>8.5658300000000001</v>
      </c>
      <c r="H462" s="1" t="s">
        <v>1164</v>
      </c>
      <c r="I462" s="1" t="s">
        <v>761</v>
      </c>
      <c r="J462" s="81">
        <v>32348</v>
      </c>
      <c r="K462" s="81" t="s">
        <v>1507</v>
      </c>
    </row>
    <row r="463" spans="1:11">
      <c r="A463" s="1">
        <v>1988</v>
      </c>
      <c r="B463" s="1" t="s">
        <v>1469</v>
      </c>
      <c r="C463" s="1">
        <v>10</v>
      </c>
      <c r="D463" s="1" t="s">
        <v>1470</v>
      </c>
      <c r="E463" s="1" t="s">
        <v>1471</v>
      </c>
      <c r="F463" s="1">
        <v>47.578899999999997</v>
      </c>
      <c r="G463" s="1">
        <v>19.2486</v>
      </c>
      <c r="H463" s="1" t="s">
        <v>1472</v>
      </c>
      <c r="I463" s="1" t="s">
        <v>1473</v>
      </c>
      <c r="J463" s="81">
        <v>32362</v>
      </c>
      <c r="K463" s="81" t="s">
        <v>1508</v>
      </c>
    </row>
    <row r="464" spans="1:11">
      <c r="A464" s="1">
        <v>1988</v>
      </c>
      <c r="B464" s="1" t="s">
        <v>872</v>
      </c>
      <c r="C464" s="1">
        <v>11</v>
      </c>
      <c r="D464" s="1" t="s">
        <v>873</v>
      </c>
      <c r="E464" s="1" t="s">
        <v>874</v>
      </c>
      <c r="F464" s="1">
        <v>50.437199999999997</v>
      </c>
      <c r="G464" s="1">
        <v>5.9713900000000004</v>
      </c>
      <c r="H464" s="1" t="s">
        <v>875</v>
      </c>
      <c r="I464" s="1" t="s">
        <v>244</v>
      </c>
      <c r="J464" s="81">
        <v>32383</v>
      </c>
      <c r="K464" s="81" t="s">
        <v>1509</v>
      </c>
    </row>
    <row r="465" spans="1:11">
      <c r="A465" s="1">
        <v>1988</v>
      </c>
      <c r="B465" s="1" t="s">
        <v>882</v>
      </c>
      <c r="C465" s="1">
        <v>12</v>
      </c>
      <c r="D465" s="1" t="s">
        <v>883</v>
      </c>
      <c r="E465" s="1" t="s">
        <v>884</v>
      </c>
      <c r="F465" s="1">
        <v>45.615600000000001</v>
      </c>
      <c r="G465" s="1">
        <v>9.28111</v>
      </c>
      <c r="H465" s="1" t="s">
        <v>885</v>
      </c>
      <c r="I465" s="1" t="s">
        <v>886</v>
      </c>
      <c r="J465" s="81">
        <v>32397</v>
      </c>
      <c r="K465" s="81" t="s">
        <v>1510</v>
      </c>
    </row>
    <row r="466" spans="1:11">
      <c r="A466" s="1">
        <v>1988</v>
      </c>
      <c r="B466" s="1" t="s">
        <v>980</v>
      </c>
      <c r="C466" s="1">
        <v>13</v>
      </c>
      <c r="D466" s="1" t="s">
        <v>1431</v>
      </c>
      <c r="E466" s="1" t="s">
        <v>1432</v>
      </c>
      <c r="F466" s="1">
        <v>38.750599999999999</v>
      </c>
      <c r="G466" s="1">
        <v>-9.3941700000000008</v>
      </c>
      <c r="H466" s="1" t="s">
        <v>1433</v>
      </c>
      <c r="I466" s="1" t="s">
        <v>984</v>
      </c>
      <c r="J466" s="81">
        <v>32411</v>
      </c>
      <c r="K466" s="81" t="s">
        <v>1511</v>
      </c>
    </row>
    <row r="467" spans="1:11">
      <c r="A467" s="1">
        <v>1988</v>
      </c>
      <c r="B467" s="1" t="s">
        <v>899</v>
      </c>
      <c r="C467" s="1">
        <v>14</v>
      </c>
      <c r="D467" s="1" t="s">
        <v>1457</v>
      </c>
      <c r="E467" s="1" t="s">
        <v>1458</v>
      </c>
      <c r="F467" s="1">
        <v>36.708300000000001</v>
      </c>
      <c r="G467" s="1">
        <v>-6.0341699999999996</v>
      </c>
      <c r="H467" s="1" t="s">
        <v>1459</v>
      </c>
      <c r="I467" s="1" t="s">
        <v>903</v>
      </c>
      <c r="J467" s="81">
        <v>32418</v>
      </c>
      <c r="K467" s="81" t="s">
        <v>1512</v>
      </c>
    </row>
    <row r="468" spans="1:11">
      <c r="A468" s="1">
        <v>1988</v>
      </c>
      <c r="B468" s="1" t="s">
        <v>1280</v>
      </c>
      <c r="C468" s="1">
        <v>15</v>
      </c>
      <c r="D468" s="1" t="s">
        <v>1494</v>
      </c>
      <c r="E468" s="1" t="s">
        <v>1495</v>
      </c>
      <c r="F468" s="1">
        <v>34.8431</v>
      </c>
      <c r="G468" s="1">
        <v>136.541</v>
      </c>
      <c r="H468" s="1" t="s">
        <v>1496</v>
      </c>
      <c r="I468" s="1" t="s">
        <v>375</v>
      </c>
      <c r="J468" s="81">
        <v>32446</v>
      </c>
      <c r="K468" s="81" t="s">
        <v>1513</v>
      </c>
    </row>
    <row r="469" spans="1:11">
      <c r="A469" s="1">
        <v>1988</v>
      </c>
      <c r="B469" s="1" t="s">
        <v>1450</v>
      </c>
      <c r="C469" s="1">
        <v>16</v>
      </c>
      <c r="D469" s="1" t="s">
        <v>1451</v>
      </c>
      <c r="E469" s="1" t="s">
        <v>1452</v>
      </c>
      <c r="F469" s="1">
        <v>-34.927199999999999</v>
      </c>
      <c r="G469" s="1">
        <v>138.61699999999999</v>
      </c>
      <c r="H469" s="1" t="s">
        <v>1453</v>
      </c>
      <c r="I469" s="1" t="s">
        <v>1454</v>
      </c>
      <c r="J469" s="81">
        <v>32460</v>
      </c>
      <c r="K469" s="81" t="s">
        <v>1514</v>
      </c>
    </row>
    <row r="470" spans="1:11">
      <c r="A470" s="1">
        <v>1989</v>
      </c>
      <c r="B470" s="1" t="s">
        <v>1203</v>
      </c>
      <c r="C470" s="1">
        <v>1</v>
      </c>
      <c r="D470" s="1" t="s">
        <v>1303</v>
      </c>
      <c r="E470" s="1" t="s">
        <v>1304</v>
      </c>
      <c r="F470" s="1">
        <v>-22.9756</v>
      </c>
      <c r="G470" s="1">
        <v>-43.395000000000003</v>
      </c>
      <c r="H470" s="1" t="s">
        <v>1305</v>
      </c>
      <c r="I470" s="1" t="s">
        <v>1207</v>
      </c>
      <c r="J470" s="81">
        <v>32593</v>
      </c>
      <c r="K470" s="81" t="s">
        <v>1515</v>
      </c>
    </row>
    <row r="471" spans="1:11">
      <c r="A471" s="1">
        <v>1989</v>
      </c>
      <c r="B471" s="1" t="s">
        <v>1359</v>
      </c>
      <c r="C471" s="1">
        <v>2</v>
      </c>
      <c r="D471" s="1" t="s">
        <v>1350</v>
      </c>
      <c r="E471" s="1" t="s">
        <v>1351</v>
      </c>
      <c r="F471" s="1">
        <v>44.343899999999998</v>
      </c>
      <c r="G471" s="1">
        <v>11.716699999999999</v>
      </c>
      <c r="H471" s="1" t="s">
        <v>1352</v>
      </c>
      <c r="I471" s="1" t="s">
        <v>886</v>
      </c>
      <c r="J471" s="81">
        <v>32621</v>
      </c>
      <c r="K471" s="81" t="s">
        <v>1516</v>
      </c>
    </row>
    <row r="472" spans="1:11">
      <c r="A472" s="1">
        <v>1989</v>
      </c>
      <c r="B472" s="1" t="s">
        <v>856</v>
      </c>
      <c r="C472" s="1">
        <v>3</v>
      </c>
      <c r="D472" s="1" t="s">
        <v>857</v>
      </c>
      <c r="E472" s="1" t="s">
        <v>858</v>
      </c>
      <c r="F472" s="1">
        <v>43.734699999999997</v>
      </c>
      <c r="G472" s="1">
        <v>7.42056</v>
      </c>
      <c r="H472" s="1" t="s">
        <v>859</v>
      </c>
      <c r="I472" s="1" t="s">
        <v>860</v>
      </c>
      <c r="J472" s="81">
        <v>32635</v>
      </c>
      <c r="K472" s="81" t="s">
        <v>1517</v>
      </c>
    </row>
    <row r="473" spans="1:11">
      <c r="A473" s="1">
        <v>1989</v>
      </c>
      <c r="B473" s="1" t="s">
        <v>1056</v>
      </c>
      <c r="C473" s="1">
        <v>4</v>
      </c>
      <c r="D473" s="1" t="s">
        <v>1057</v>
      </c>
      <c r="E473" s="1" t="s">
        <v>1058</v>
      </c>
      <c r="F473" s="1">
        <v>19.432700000000001</v>
      </c>
      <c r="G473" s="1">
        <v>-99.133300000000006</v>
      </c>
      <c r="H473" s="1" t="s">
        <v>1059</v>
      </c>
      <c r="I473" s="1" t="s">
        <v>1060</v>
      </c>
      <c r="J473" s="81">
        <v>32656</v>
      </c>
      <c r="K473" s="81" t="s">
        <v>1518</v>
      </c>
    </row>
    <row r="474" spans="1:11">
      <c r="A474" s="1">
        <v>1989</v>
      </c>
      <c r="B474" s="1" t="s">
        <v>1006</v>
      </c>
      <c r="C474" s="1">
        <v>5</v>
      </c>
      <c r="D474" s="1" t="s">
        <v>1519</v>
      </c>
      <c r="E474" s="1" t="s">
        <v>1520</v>
      </c>
      <c r="F474" s="1">
        <v>33.447899999999997</v>
      </c>
      <c r="G474" s="1">
        <v>-112.075</v>
      </c>
      <c r="H474" s="1" t="s">
        <v>1521</v>
      </c>
      <c r="I474" s="1" t="s">
        <v>82</v>
      </c>
      <c r="J474" s="81">
        <v>32663</v>
      </c>
      <c r="K474" s="81" t="s">
        <v>1522</v>
      </c>
    </row>
    <row r="475" spans="1:11">
      <c r="A475" s="1">
        <v>1989</v>
      </c>
      <c r="B475" s="1" t="s">
        <v>1115</v>
      </c>
      <c r="C475" s="1">
        <v>6</v>
      </c>
      <c r="D475" s="1" t="s">
        <v>1320</v>
      </c>
      <c r="E475" s="1" t="s">
        <v>1321</v>
      </c>
      <c r="F475" s="1">
        <v>45.5</v>
      </c>
      <c r="G475" s="1">
        <v>-73.522800000000004</v>
      </c>
      <c r="H475" s="1" t="s">
        <v>1322</v>
      </c>
      <c r="I475" s="1" t="s">
        <v>1119</v>
      </c>
      <c r="J475" s="81">
        <v>32677</v>
      </c>
      <c r="K475" s="81" t="s">
        <v>1523</v>
      </c>
    </row>
    <row r="476" spans="1:11">
      <c r="A476" s="1">
        <v>1989</v>
      </c>
      <c r="B476" s="1" t="s">
        <v>877</v>
      </c>
      <c r="C476" s="1">
        <v>7</v>
      </c>
      <c r="D476" s="1" t="s">
        <v>1178</v>
      </c>
      <c r="E476" s="1" t="s">
        <v>1179</v>
      </c>
      <c r="F476" s="1">
        <v>43.250599999999999</v>
      </c>
      <c r="G476" s="1">
        <v>5.7916699999999999</v>
      </c>
      <c r="H476" s="1" t="s">
        <v>1180</v>
      </c>
      <c r="I476" s="1" t="s">
        <v>755</v>
      </c>
      <c r="J476" s="81">
        <v>32698</v>
      </c>
      <c r="K476" s="81" t="s">
        <v>1524</v>
      </c>
    </row>
    <row r="477" spans="1:11">
      <c r="A477" s="1">
        <v>1989</v>
      </c>
      <c r="B477" s="1" t="s">
        <v>850</v>
      </c>
      <c r="C477" s="1">
        <v>8</v>
      </c>
      <c r="D477" s="1" t="s">
        <v>851</v>
      </c>
      <c r="E477" s="1" t="s">
        <v>852</v>
      </c>
      <c r="F477" s="1">
        <v>52.078600000000002</v>
      </c>
      <c r="G477" s="1">
        <v>-1.01694</v>
      </c>
      <c r="H477" s="1" t="s">
        <v>853</v>
      </c>
      <c r="I477" s="1" t="s">
        <v>854</v>
      </c>
      <c r="J477" s="81">
        <v>32705</v>
      </c>
      <c r="K477" s="81" t="s">
        <v>1525</v>
      </c>
    </row>
    <row r="478" spans="1:11">
      <c r="A478" s="1">
        <v>1989</v>
      </c>
      <c r="B478" s="1" t="s">
        <v>893</v>
      </c>
      <c r="C478" s="1">
        <v>9</v>
      </c>
      <c r="D478" s="1" t="s">
        <v>1162</v>
      </c>
      <c r="E478" s="1" t="s">
        <v>1163</v>
      </c>
      <c r="F478" s="1">
        <v>49.327800000000003</v>
      </c>
      <c r="G478" s="1">
        <v>8.5658300000000001</v>
      </c>
      <c r="H478" s="1" t="s">
        <v>1164</v>
      </c>
      <c r="I478" s="1" t="s">
        <v>761</v>
      </c>
      <c r="J478" s="81">
        <v>32719</v>
      </c>
      <c r="K478" s="81" t="s">
        <v>1526</v>
      </c>
    </row>
    <row r="479" spans="1:11">
      <c r="A479" s="1">
        <v>1989</v>
      </c>
      <c r="B479" s="1" t="s">
        <v>1469</v>
      </c>
      <c r="C479" s="1">
        <v>10</v>
      </c>
      <c r="D479" s="1" t="s">
        <v>1470</v>
      </c>
      <c r="E479" s="1" t="s">
        <v>1471</v>
      </c>
      <c r="F479" s="1">
        <v>47.578899999999997</v>
      </c>
      <c r="G479" s="1">
        <v>19.2486</v>
      </c>
      <c r="H479" s="1" t="s">
        <v>1472</v>
      </c>
      <c r="I479" s="1" t="s">
        <v>1473</v>
      </c>
      <c r="J479" s="81">
        <v>32733</v>
      </c>
      <c r="K479" s="81" t="s">
        <v>1527</v>
      </c>
    </row>
    <row r="480" spans="1:11">
      <c r="A480" s="1">
        <v>1989</v>
      </c>
      <c r="B480" s="1" t="s">
        <v>872</v>
      </c>
      <c r="C480" s="1">
        <v>11</v>
      </c>
      <c r="D480" s="1" t="s">
        <v>873</v>
      </c>
      <c r="E480" s="1" t="s">
        <v>874</v>
      </c>
      <c r="F480" s="1">
        <v>50.437199999999997</v>
      </c>
      <c r="G480" s="1">
        <v>5.9713900000000004</v>
      </c>
      <c r="H480" s="1" t="s">
        <v>875</v>
      </c>
      <c r="I480" s="1" t="s">
        <v>244</v>
      </c>
      <c r="J480" s="81">
        <v>32747</v>
      </c>
      <c r="K480" s="81" t="s">
        <v>1528</v>
      </c>
    </row>
    <row r="481" spans="1:11">
      <c r="A481" s="1">
        <v>1989</v>
      </c>
      <c r="B481" s="1" t="s">
        <v>882</v>
      </c>
      <c r="C481" s="1">
        <v>12</v>
      </c>
      <c r="D481" s="1" t="s">
        <v>883</v>
      </c>
      <c r="E481" s="1" t="s">
        <v>884</v>
      </c>
      <c r="F481" s="1">
        <v>45.615600000000001</v>
      </c>
      <c r="G481" s="1">
        <v>9.28111</v>
      </c>
      <c r="H481" s="1" t="s">
        <v>885</v>
      </c>
      <c r="I481" s="1" t="s">
        <v>886</v>
      </c>
      <c r="J481" s="81">
        <v>32761</v>
      </c>
      <c r="K481" s="81" t="s">
        <v>1529</v>
      </c>
    </row>
    <row r="482" spans="1:11">
      <c r="A482" s="1">
        <v>1989</v>
      </c>
      <c r="B482" s="1" t="s">
        <v>980</v>
      </c>
      <c r="C482" s="1">
        <v>13</v>
      </c>
      <c r="D482" s="1" t="s">
        <v>1431</v>
      </c>
      <c r="E482" s="1" t="s">
        <v>1432</v>
      </c>
      <c r="F482" s="1">
        <v>38.750599999999999</v>
      </c>
      <c r="G482" s="1">
        <v>-9.3941700000000008</v>
      </c>
      <c r="H482" s="1" t="s">
        <v>1433</v>
      </c>
      <c r="I482" s="1" t="s">
        <v>984</v>
      </c>
      <c r="J482" s="81">
        <v>32775</v>
      </c>
      <c r="K482" s="81" t="s">
        <v>1530</v>
      </c>
    </row>
    <row r="483" spans="1:11">
      <c r="A483" s="1">
        <v>1989</v>
      </c>
      <c r="B483" s="1" t="s">
        <v>899</v>
      </c>
      <c r="C483" s="1">
        <v>14</v>
      </c>
      <c r="D483" s="1" t="s">
        <v>1457</v>
      </c>
      <c r="E483" s="1" t="s">
        <v>1458</v>
      </c>
      <c r="F483" s="1">
        <v>36.708300000000001</v>
      </c>
      <c r="G483" s="1">
        <v>-6.0341699999999996</v>
      </c>
      <c r="H483" s="1" t="s">
        <v>1459</v>
      </c>
      <c r="I483" s="1" t="s">
        <v>903</v>
      </c>
      <c r="J483" s="81">
        <v>32782</v>
      </c>
      <c r="K483" s="81" t="s">
        <v>1531</v>
      </c>
    </row>
    <row r="484" spans="1:11">
      <c r="A484" s="1">
        <v>1989</v>
      </c>
      <c r="B484" s="1" t="s">
        <v>1280</v>
      </c>
      <c r="C484" s="1">
        <v>15</v>
      </c>
      <c r="D484" s="1" t="s">
        <v>1494</v>
      </c>
      <c r="E484" s="1" t="s">
        <v>1495</v>
      </c>
      <c r="F484" s="1">
        <v>34.8431</v>
      </c>
      <c r="G484" s="1">
        <v>136.541</v>
      </c>
      <c r="H484" s="1" t="s">
        <v>1496</v>
      </c>
      <c r="I484" s="1" t="s">
        <v>375</v>
      </c>
      <c r="J484" s="81">
        <v>32803</v>
      </c>
      <c r="K484" s="81" t="s">
        <v>1532</v>
      </c>
    </row>
    <row r="485" spans="1:11">
      <c r="A485" s="1">
        <v>1989</v>
      </c>
      <c r="B485" s="1" t="s">
        <v>1450</v>
      </c>
      <c r="C485" s="1">
        <v>16</v>
      </c>
      <c r="D485" s="1" t="s">
        <v>1451</v>
      </c>
      <c r="E485" s="1" t="s">
        <v>1452</v>
      </c>
      <c r="F485" s="1">
        <v>-34.927199999999999</v>
      </c>
      <c r="G485" s="1">
        <v>138.61699999999999</v>
      </c>
      <c r="H485" s="1" t="s">
        <v>1453</v>
      </c>
      <c r="I485" s="1" t="s">
        <v>1454</v>
      </c>
      <c r="J485" s="81">
        <v>32817</v>
      </c>
      <c r="K485" s="81" t="s">
        <v>1533</v>
      </c>
    </row>
    <row r="486" spans="1:11">
      <c r="A486" s="1">
        <v>1990</v>
      </c>
      <c r="B486" s="1" t="s">
        <v>1006</v>
      </c>
      <c r="C486" s="1">
        <v>1</v>
      </c>
      <c r="D486" s="1" t="s">
        <v>1519</v>
      </c>
      <c r="E486" s="1" t="s">
        <v>1520</v>
      </c>
      <c r="F486" s="1">
        <v>33.447899999999997</v>
      </c>
      <c r="G486" s="1">
        <v>-112.075</v>
      </c>
      <c r="H486" s="1" t="s">
        <v>1521</v>
      </c>
      <c r="I486" s="1" t="s">
        <v>82</v>
      </c>
      <c r="J486" s="81">
        <v>32943</v>
      </c>
      <c r="K486" s="81" t="s">
        <v>1534</v>
      </c>
    </row>
    <row r="487" spans="1:11">
      <c r="A487" s="1">
        <v>1990</v>
      </c>
      <c r="B487" s="1" t="s">
        <v>1203</v>
      </c>
      <c r="C487" s="1">
        <v>2</v>
      </c>
      <c r="D487" s="1" t="s">
        <v>1204</v>
      </c>
      <c r="E487" s="1" t="s">
        <v>1205</v>
      </c>
      <c r="F487" s="1">
        <v>-23.703600000000002</v>
      </c>
      <c r="G487" s="1">
        <v>-46.6997</v>
      </c>
      <c r="H487" s="1" t="s">
        <v>1206</v>
      </c>
      <c r="I487" s="1" t="s">
        <v>1207</v>
      </c>
      <c r="J487" s="81">
        <v>32957</v>
      </c>
      <c r="K487" s="81" t="s">
        <v>1535</v>
      </c>
    </row>
    <row r="488" spans="1:11">
      <c r="A488" s="1">
        <v>1990</v>
      </c>
      <c r="B488" s="1" t="s">
        <v>1359</v>
      </c>
      <c r="C488" s="1">
        <v>3</v>
      </c>
      <c r="D488" s="1" t="s">
        <v>1350</v>
      </c>
      <c r="E488" s="1" t="s">
        <v>1351</v>
      </c>
      <c r="F488" s="1">
        <v>44.343899999999998</v>
      </c>
      <c r="G488" s="1">
        <v>11.716699999999999</v>
      </c>
      <c r="H488" s="1" t="s">
        <v>1352</v>
      </c>
      <c r="I488" s="1" t="s">
        <v>886</v>
      </c>
      <c r="J488" s="81">
        <v>33006</v>
      </c>
      <c r="K488" s="81" t="s">
        <v>1536</v>
      </c>
    </row>
    <row r="489" spans="1:11">
      <c r="A489" s="1">
        <v>1990</v>
      </c>
      <c r="B489" s="1" t="s">
        <v>856</v>
      </c>
      <c r="C489" s="1">
        <v>4</v>
      </c>
      <c r="D489" s="1" t="s">
        <v>857</v>
      </c>
      <c r="E489" s="1" t="s">
        <v>858</v>
      </c>
      <c r="F489" s="1">
        <v>43.734699999999997</v>
      </c>
      <c r="G489" s="1">
        <v>7.42056</v>
      </c>
      <c r="H489" s="1" t="s">
        <v>859</v>
      </c>
      <c r="I489" s="1" t="s">
        <v>860</v>
      </c>
      <c r="J489" s="81">
        <v>33020</v>
      </c>
      <c r="K489" s="81" t="s">
        <v>1537</v>
      </c>
    </row>
    <row r="490" spans="1:11">
      <c r="A490" s="1">
        <v>1990</v>
      </c>
      <c r="B490" s="1" t="s">
        <v>1115</v>
      </c>
      <c r="C490" s="1">
        <v>5</v>
      </c>
      <c r="D490" s="1" t="s">
        <v>1320</v>
      </c>
      <c r="E490" s="1" t="s">
        <v>1321</v>
      </c>
      <c r="F490" s="1">
        <v>45.5</v>
      </c>
      <c r="G490" s="1">
        <v>-73.522800000000004</v>
      </c>
      <c r="H490" s="1" t="s">
        <v>1322</v>
      </c>
      <c r="I490" s="1" t="s">
        <v>1119</v>
      </c>
      <c r="J490" s="81">
        <v>33034</v>
      </c>
      <c r="K490" s="81" t="s">
        <v>1538</v>
      </c>
    </row>
    <row r="491" spans="1:11">
      <c r="A491" s="1">
        <v>1990</v>
      </c>
      <c r="B491" s="1" t="s">
        <v>1056</v>
      </c>
      <c r="C491" s="1">
        <v>6</v>
      </c>
      <c r="D491" s="1" t="s">
        <v>1057</v>
      </c>
      <c r="E491" s="1" t="s">
        <v>1058</v>
      </c>
      <c r="F491" s="1">
        <v>19.432700000000001</v>
      </c>
      <c r="G491" s="1">
        <v>-99.133300000000006</v>
      </c>
      <c r="H491" s="1" t="s">
        <v>1059</v>
      </c>
      <c r="I491" s="1" t="s">
        <v>1060</v>
      </c>
      <c r="J491" s="81">
        <v>33048</v>
      </c>
      <c r="K491" s="81" t="s">
        <v>1539</v>
      </c>
    </row>
    <row r="492" spans="1:11">
      <c r="A492" s="1">
        <v>1990</v>
      </c>
      <c r="B492" s="1" t="s">
        <v>877</v>
      </c>
      <c r="C492" s="1">
        <v>7</v>
      </c>
      <c r="D492" s="1" t="s">
        <v>1178</v>
      </c>
      <c r="E492" s="1" t="s">
        <v>1179</v>
      </c>
      <c r="F492" s="1">
        <v>43.250599999999999</v>
      </c>
      <c r="G492" s="1">
        <v>5.7916699999999999</v>
      </c>
      <c r="H492" s="1" t="s">
        <v>1180</v>
      </c>
      <c r="I492" s="1" t="s">
        <v>755</v>
      </c>
      <c r="J492" s="81">
        <v>33062</v>
      </c>
      <c r="K492" s="81" t="s">
        <v>1540</v>
      </c>
    </row>
    <row r="493" spans="1:11">
      <c r="A493" s="1">
        <v>1990</v>
      </c>
      <c r="B493" s="1" t="s">
        <v>850</v>
      </c>
      <c r="C493" s="1">
        <v>8</v>
      </c>
      <c r="D493" s="1" t="s">
        <v>851</v>
      </c>
      <c r="E493" s="1" t="s">
        <v>852</v>
      </c>
      <c r="F493" s="1">
        <v>52.078600000000002</v>
      </c>
      <c r="G493" s="1">
        <v>-1.01694</v>
      </c>
      <c r="H493" s="1" t="s">
        <v>853</v>
      </c>
      <c r="I493" s="1" t="s">
        <v>854</v>
      </c>
      <c r="J493" s="81">
        <v>33069</v>
      </c>
      <c r="K493" s="81" t="s">
        <v>1541</v>
      </c>
    </row>
    <row r="494" spans="1:11">
      <c r="A494" s="1">
        <v>1990</v>
      </c>
      <c r="B494" s="1" t="s">
        <v>893</v>
      </c>
      <c r="C494" s="1">
        <v>9</v>
      </c>
      <c r="D494" s="1" t="s">
        <v>1162</v>
      </c>
      <c r="E494" s="1" t="s">
        <v>1163</v>
      </c>
      <c r="F494" s="1">
        <v>49.327800000000003</v>
      </c>
      <c r="G494" s="1">
        <v>8.5658300000000001</v>
      </c>
      <c r="H494" s="1" t="s">
        <v>1164</v>
      </c>
      <c r="I494" s="1" t="s">
        <v>761</v>
      </c>
      <c r="J494" s="81">
        <v>33083</v>
      </c>
      <c r="K494" s="81" t="s">
        <v>1542</v>
      </c>
    </row>
    <row r="495" spans="1:11">
      <c r="A495" s="1">
        <v>1990</v>
      </c>
      <c r="B495" s="1" t="s">
        <v>1469</v>
      </c>
      <c r="C495" s="1">
        <v>10</v>
      </c>
      <c r="D495" s="1" t="s">
        <v>1470</v>
      </c>
      <c r="E495" s="1" t="s">
        <v>1471</v>
      </c>
      <c r="F495" s="1">
        <v>47.578899999999997</v>
      </c>
      <c r="G495" s="1">
        <v>19.2486</v>
      </c>
      <c r="H495" s="1" t="s">
        <v>1472</v>
      </c>
      <c r="I495" s="1" t="s">
        <v>1473</v>
      </c>
      <c r="J495" s="81">
        <v>33097</v>
      </c>
      <c r="K495" s="81" t="s">
        <v>1543</v>
      </c>
    </row>
    <row r="496" spans="1:11">
      <c r="A496" s="1">
        <v>1990</v>
      </c>
      <c r="B496" s="1" t="s">
        <v>872</v>
      </c>
      <c r="C496" s="1">
        <v>11</v>
      </c>
      <c r="D496" s="1" t="s">
        <v>873</v>
      </c>
      <c r="E496" s="1" t="s">
        <v>874</v>
      </c>
      <c r="F496" s="1">
        <v>50.437199999999997</v>
      </c>
      <c r="G496" s="1">
        <v>5.9713900000000004</v>
      </c>
      <c r="H496" s="1" t="s">
        <v>875</v>
      </c>
      <c r="I496" s="1" t="s">
        <v>244</v>
      </c>
      <c r="J496" s="81">
        <v>33111</v>
      </c>
      <c r="K496" s="81" t="s">
        <v>1544</v>
      </c>
    </row>
    <row r="497" spans="1:11">
      <c r="A497" s="1">
        <v>1990</v>
      </c>
      <c r="B497" s="1" t="s">
        <v>882</v>
      </c>
      <c r="C497" s="1">
        <v>12</v>
      </c>
      <c r="D497" s="1" t="s">
        <v>883</v>
      </c>
      <c r="E497" s="1" t="s">
        <v>884</v>
      </c>
      <c r="F497" s="1">
        <v>45.615600000000001</v>
      </c>
      <c r="G497" s="1">
        <v>9.28111</v>
      </c>
      <c r="H497" s="1" t="s">
        <v>885</v>
      </c>
      <c r="I497" s="1" t="s">
        <v>886</v>
      </c>
      <c r="J497" s="81">
        <v>33125</v>
      </c>
      <c r="K497" s="81" t="s">
        <v>1545</v>
      </c>
    </row>
    <row r="498" spans="1:11">
      <c r="A498" s="1">
        <v>1990</v>
      </c>
      <c r="B498" s="1" t="s">
        <v>980</v>
      </c>
      <c r="C498" s="1">
        <v>13</v>
      </c>
      <c r="D498" s="1" t="s">
        <v>1431</v>
      </c>
      <c r="E498" s="1" t="s">
        <v>1432</v>
      </c>
      <c r="F498" s="1">
        <v>38.750599999999999</v>
      </c>
      <c r="G498" s="1">
        <v>-9.3941700000000008</v>
      </c>
      <c r="H498" s="1" t="s">
        <v>1433</v>
      </c>
      <c r="I498" s="1" t="s">
        <v>984</v>
      </c>
      <c r="J498" s="81">
        <v>33139</v>
      </c>
      <c r="K498" s="81" t="s">
        <v>1546</v>
      </c>
    </row>
    <row r="499" spans="1:11">
      <c r="A499" s="1">
        <v>1990</v>
      </c>
      <c r="B499" s="1" t="s">
        <v>899</v>
      </c>
      <c r="C499" s="1">
        <v>14</v>
      </c>
      <c r="D499" s="1" t="s">
        <v>1457</v>
      </c>
      <c r="E499" s="1" t="s">
        <v>1458</v>
      </c>
      <c r="F499" s="1">
        <v>36.708300000000001</v>
      </c>
      <c r="G499" s="1">
        <v>-6.0341699999999996</v>
      </c>
      <c r="H499" s="1" t="s">
        <v>1459</v>
      </c>
      <c r="I499" s="1" t="s">
        <v>903</v>
      </c>
      <c r="J499" s="81">
        <v>33146</v>
      </c>
      <c r="K499" s="81" t="s">
        <v>1547</v>
      </c>
    </row>
    <row r="500" spans="1:11">
      <c r="A500" s="1">
        <v>1990</v>
      </c>
      <c r="B500" s="1" t="s">
        <v>1280</v>
      </c>
      <c r="C500" s="1">
        <v>15</v>
      </c>
      <c r="D500" s="1" t="s">
        <v>1494</v>
      </c>
      <c r="E500" s="1" t="s">
        <v>1495</v>
      </c>
      <c r="F500" s="1">
        <v>34.8431</v>
      </c>
      <c r="G500" s="1">
        <v>136.541</v>
      </c>
      <c r="H500" s="1" t="s">
        <v>1496</v>
      </c>
      <c r="I500" s="1" t="s">
        <v>375</v>
      </c>
      <c r="J500" s="81">
        <v>33167</v>
      </c>
      <c r="K500" s="81" t="s">
        <v>1548</v>
      </c>
    </row>
    <row r="501" spans="1:11">
      <c r="A501" s="1">
        <v>1990</v>
      </c>
      <c r="B501" s="1" t="s">
        <v>1450</v>
      </c>
      <c r="C501" s="1">
        <v>16</v>
      </c>
      <c r="D501" s="1" t="s">
        <v>1451</v>
      </c>
      <c r="E501" s="1" t="s">
        <v>1452</v>
      </c>
      <c r="F501" s="1">
        <v>-34.927199999999999</v>
      </c>
      <c r="G501" s="1">
        <v>138.61699999999999</v>
      </c>
      <c r="H501" s="1" t="s">
        <v>1453</v>
      </c>
      <c r="I501" s="1" t="s">
        <v>1454</v>
      </c>
      <c r="J501" s="81">
        <v>33181</v>
      </c>
      <c r="K501" s="81" t="s">
        <v>1549</v>
      </c>
    </row>
    <row r="502" spans="1:11">
      <c r="A502" s="1">
        <v>1991</v>
      </c>
      <c r="B502" s="1" t="s">
        <v>1006</v>
      </c>
      <c r="C502" s="1">
        <v>1</v>
      </c>
      <c r="D502" s="1" t="s">
        <v>1519</v>
      </c>
      <c r="E502" s="1" t="s">
        <v>1520</v>
      </c>
      <c r="F502" s="1">
        <v>33.447899999999997</v>
      </c>
      <c r="G502" s="1">
        <v>-112.075</v>
      </c>
      <c r="H502" s="1" t="s">
        <v>1521</v>
      </c>
      <c r="I502" s="1" t="s">
        <v>82</v>
      </c>
      <c r="J502" s="81">
        <v>33307</v>
      </c>
      <c r="K502" s="81" t="s">
        <v>1550</v>
      </c>
    </row>
    <row r="503" spans="1:11">
      <c r="A503" s="1">
        <v>1991</v>
      </c>
      <c r="B503" s="1" t="s">
        <v>1203</v>
      </c>
      <c r="C503" s="1">
        <v>2</v>
      </c>
      <c r="D503" s="1" t="s">
        <v>1204</v>
      </c>
      <c r="E503" s="1" t="s">
        <v>1205</v>
      </c>
      <c r="F503" s="1">
        <v>-23.703600000000002</v>
      </c>
      <c r="G503" s="1">
        <v>-46.6997</v>
      </c>
      <c r="H503" s="1" t="s">
        <v>1206</v>
      </c>
      <c r="I503" s="1" t="s">
        <v>1207</v>
      </c>
      <c r="J503" s="81">
        <v>33321</v>
      </c>
      <c r="K503" s="81" t="s">
        <v>1551</v>
      </c>
    </row>
    <row r="504" spans="1:11">
      <c r="A504" s="1">
        <v>1991</v>
      </c>
      <c r="B504" s="1" t="s">
        <v>1359</v>
      </c>
      <c r="C504" s="1">
        <v>3</v>
      </c>
      <c r="D504" s="1" t="s">
        <v>1350</v>
      </c>
      <c r="E504" s="1" t="s">
        <v>1351</v>
      </c>
      <c r="F504" s="1">
        <v>44.343899999999998</v>
      </c>
      <c r="G504" s="1">
        <v>11.716699999999999</v>
      </c>
      <c r="H504" s="1" t="s">
        <v>1352</v>
      </c>
      <c r="I504" s="1" t="s">
        <v>886</v>
      </c>
      <c r="J504" s="81">
        <v>33356</v>
      </c>
      <c r="K504" s="81" t="s">
        <v>1552</v>
      </c>
    </row>
    <row r="505" spans="1:11">
      <c r="A505" s="1">
        <v>1991</v>
      </c>
      <c r="B505" s="1" t="s">
        <v>856</v>
      </c>
      <c r="C505" s="1">
        <v>4</v>
      </c>
      <c r="D505" s="1" t="s">
        <v>857</v>
      </c>
      <c r="E505" s="1" t="s">
        <v>858</v>
      </c>
      <c r="F505" s="1">
        <v>43.734699999999997</v>
      </c>
      <c r="G505" s="1">
        <v>7.42056</v>
      </c>
      <c r="H505" s="1" t="s">
        <v>859</v>
      </c>
      <c r="I505" s="1" t="s">
        <v>860</v>
      </c>
      <c r="J505" s="81">
        <v>33370</v>
      </c>
      <c r="K505" s="81" t="s">
        <v>1553</v>
      </c>
    </row>
    <row r="506" spans="1:11">
      <c r="A506" s="1">
        <v>1991</v>
      </c>
      <c r="B506" s="1" t="s">
        <v>1115</v>
      </c>
      <c r="C506" s="1">
        <v>5</v>
      </c>
      <c r="D506" s="1" t="s">
        <v>1320</v>
      </c>
      <c r="E506" s="1" t="s">
        <v>1321</v>
      </c>
      <c r="F506" s="1">
        <v>45.5</v>
      </c>
      <c r="G506" s="1">
        <v>-73.522800000000004</v>
      </c>
      <c r="H506" s="1" t="s">
        <v>1322</v>
      </c>
      <c r="I506" s="1" t="s">
        <v>1119</v>
      </c>
      <c r="J506" s="81">
        <v>33391</v>
      </c>
      <c r="K506" s="81" t="s">
        <v>1554</v>
      </c>
    </row>
    <row r="507" spans="1:11">
      <c r="A507" s="1">
        <v>1991</v>
      </c>
      <c r="B507" s="1" t="s">
        <v>1056</v>
      </c>
      <c r="C507" s="1">
        <v>6</v>
      </c>
      <c r="D507" s="1" t="s">
        <v>1057</v>
      </c>
      <c r="E507" s="1" t="s">
        <v>1058</v>
      </c>
      <c r="F507" s="1">
        <v>19.432700000000001</v>
      </c>
      <c r="G507" s="1">
        <v>-99.133300000000006</v>
      </c>
      <c r="H507" s="1" t="s">
        <v>1059</v>
      </c>
      <c r="I507" s="1" t="s">
        <v>1060</v>
      </c>
      <c r="J507" s="81">
        <v>33405</v>
      </c>
      <c r="K507" s="81" t="s">
        <v>1555</v>
      </c>
    </row>
    <row r="508" spans="1:11">
      <c r="A508" s="1">
        <v>1991</v>
      </c>
      <c r="B508" s="1" t="s">
        <v>877</v>
      </c>
      <c r="C508" s="1">
        <v>7</v>
      </c>
      <c r="D508" s="1" t="s">
        <v>1556</v>
      </c>
      <c r="E508" s="1" t="s">
        <v>1557</v>
      </c>
      <c r="F508" s="1">
        <v>46.864199999999997</v>
      </c>
      <c r="G508" s="1">
        <v>3.1636099999999998</v>
      </c>
      <c r="H508" s="1" t="s">
        <v>1558</v>
      </c>
      <c r="I508" s="1" t="s">
        <v>755</v>
      </c>
      <c r="J508" s="81">
        <v>33426</v>
      </c>
      <c r="K508" s="81" t="s">
        <v>1559</v>
      </c>
    </row>
    <row r="509" spans="1:11">
      <c r="A509" s="1">
        <v>1991</v>
      </c>
      <c r="B509" s="1" t="s">
        <v>850</v>
      </c>
      <c r="C509" s="1">
        <v>8</v>
      </c>
      <c r="D509" s="1" t="s">
        <v>851</v>
      </c>
      <c r="E509" s="1" t="s">
        <v>852</v>
      </c>
      <c r="F509" s="1">
        <v>52.078600000000002</v>
      </c>
      <c r="G509" s="1">
        <v>-1.01694</v>
      </c>
      <c r="H509" s="1" t="s">
        <v>853</v>
      </c>
      <c r="I509" s="1" t="s">
        <v>854</v>
      </c>
      <c r="J509" s="81">
        <v>33433</v>
      </c>
      <c r="K509" s="81" t="s">
        <v>1560</v>
      </c>
    </row>
    <row r="510" spans="1:11">
      <c r="A510" s="1">
        <v>1991</v>
      </c>
      <c r="B510" s="1" t="s">
        <v>893</v>
      </c>
      <c r="C510" s="1">
        <v>9</v>
      </c>
      <c r="D510" s="1" t="s">
        <v>1162</v>
      </c>
      <c r="E510" s="1" t="s">
        <v>1163</v>
      </c>
      <c r="F510" s="1">
        <v>49.327800000000003</v>
      </c>
      <c r="G510" s="1">
        <v>8.5658300000000001</v>
      </c>
      <c r="H510" s="1" t="s">
        <v>1164</v>
      </c>
      <c r="I510" s="1" t="s">
        <v>761</v>
      </c>
      <c r="J510" s="81">
        <v>33447</v>
      </c>
      <c r="K510" s="81" t="s">
        <v>1561</v>
      </c>
    </row>
    <row r="511" spans="1:11">
      <c r="A511" s="1">
        <v>1991</v>
      </c>
      <c r="B511" s="1" t="s">
        <v>1469</v>
      </c>
      <c r="C511" s="1">
        <v>10</v>
      </c>
      <c r="D511" s="1" t="s">
        <v>1470</v>
      </c>
      <c r="E511" s="1" t="s">
        <v>1471</v>
      </c>
      <c r="F511" s="1">
        <v>47.578899999999997</v>
      </c>
      <c r="G511" s="1">
        <v>19.2486</v>
      </c>
      <c r="H511" s="1" t="s">
        <v>1472</v>
      </c>
      <c r="I511" s="1" t="s">
        <v>1473</v>
      </c>
      <c r="J511" s="81">
        <v>33461</v>
      </c>
      <c r="K511" s="81" t="s">
        <v>1562</v>
      </c>
    </row>
    <row r="512" spans="1:11">
      <c r="A512" s="1">
        <v>1991</v>
      </c>
      <c r="B512" s="1" t="s">
        <v>872</v>
      </c>
      <c r="C512" s="1">
        <v>11</v>
      </c>
      <c r="D512" s="1" t="s">
        <v>873</v>
      </c>
      <c r="E512" s="1" t="s">
        <v>874</v>
      </c>
      <c r="F512" s="1">
        <v>50.437199999999997</v>
      </c>
      <c r="G512" s="1">
        <v>5.9713900000000004</v>
      </c>
      <c r="H512" s="1" t="s">
        <v>875</v>
      </c>
      <c r="I512" s="1" t="s">
        <v>244</v>
      </c>
      <c r="J512" s="81">
        <v>33475</v>
      </c>
      <c r="K512" s="81" t="s">
        <v>1563</v>
      </c>
    </row>
    <row r="513" spans="1:11">
      <c r="A513" s="1">
        <v>1991</v>
      </c>
      <c r="B513" s="1" t="s">
        <v>882</v>
      </c>
      <c r="C513" s="1">
        <v>12</v>
      </c>
      <c r="D513" s="1" t="s">
        <v>883</v>
      </c>
      <c r="E513" s="1" t="s">
        <v>884</v>
      </c>
      <c r="F513" s="1">
        <v>45.615600000000001</v>
      </c>
      <c r="G513" s="1">
        <v>9.28111</v>
      </c>
      <c r="H513" s="1" t="s">
        <v>885</v>
      </c>
      <c r="I513" s="1" t="s">
        <v>886</v>
      </c>
      <c r="J513" s="81">
        <v>33489</v>
      </c>
      <c r="K513" s="81" t="s">
        <v>1564</v>
      </c>
    </row>
    <row r="514" spans="1:11">
      <c r="A514" s="1">
        <v>1991</v>
      </c>
      <c r="B514" s="1" t="s">
        <v>980</v>
      </c>
      <c r="C514" s="1">
        <v>13</v>
      </c>
      <c r="D514" s="1" t="s">
        <v>1431</v>
      </c>
      <c r="E514" s="1" t="s">
        <v>1432</v>
      </c>
      <c r="F514" s="1">
        <v>38.750599999999999</v>
      </c>
      <c r="G514" s="1">
        <v>-9.3941700000000008</v>
      </c>
      <c r="H514" s="1" t="s">
        <v>1433</v>
      </c>
      <c r="I514" s="1" t="s">
        <v>984</v>
      </c>
      <c r="J514" s="81">
        <v>33503</v>
      </c>
      <c r="K514" s="81" t="s">
        <v>1565</v>
      </c>
    </row>
    <row r="515" spans="1:11">
      <c r="A515" s="1">
        <v>1991</v>
      </c>
      <c r="B515" s="1" t="s">
        <v>899</v>
      </c>
      <c r="C515" s="1">
        <v>14</v>
      </c>
      <c r="D515" s="1" t="s">
        <v>1566</v>
      </c>
      <c r="E515" s="1" t="s">
        <v>1567</v>
      </c>
      <c r="F515" s="1">
        <v>41.57</v>
      </c>
      <c r="G515" s="1">
        <v>2.26111</v>
      </c>
      <c r="H515" s="1" t="s">
        <v>1568</v>
      </c>
      <c r="I515" s="1" t="s">
        <v>903</v>
      </c>
      <c r="J515" s="81">
        <v>33510</v>
      </c>
      <c r="K515" s="81" t="s">
        <v>1569</v>
      </c>
    </row>
    <row r="516" spans="1:11">
      <c r="A516" s="1">
        <v>1991</v>
      </c>
      <c r="B516" s="1" t="s">
        <v>1280</v>
      </c>
      <c r="C516" s="1">
        <v>15</v>
      </c>
      <c r="D516" s="1" t="s">
        <v>1494</v>
      </c>
      <c r="E516" s="1" t="s">
        <v>1495</v>
      </c>
      <c r="F516" s="1">
        <v>34.8431</v>
      </c>
      <c r="G516" s="1">
        <v>136.541</v>
      </c>
      <c r="H516" s="1" t="s">
        <v>1496</v>
      </c>
      <c r="I516" s="1" t="s">
        <v>375</v>
      </c>
      <c r="J516" s="81">
        <v>33531</v>
      </c>
      <c r="K516" s="81" t="s">
        <v>1570</v>
      </c>
    </row>
    <row r="517" spans="1:11">
      <c r="A517" s="1">
        <v>1991</v>
      </c>
      <c r="B517" s="1" t="s">
        <v>1450</v>
      </c>
      <c r="C517" s="1">
        <v>16</v>
      </c>
      <c r="D517" s="1" t="s">
        <v>1451</v>
      </c>
      <c r="E517" s="1" t="s">
        <v>1452</v>
      </c>
      <c r="F517" s="1">
        <v>-34.927199999999999</v>
      </c>
      <c r="G517" s="1">
        <v>138.61699999999999</v>
      </c>
      <c r="H517" s="1" t="s">
        <v>1453</v>
      </c>
      <c r="I517" s="1" t="s">
        <v>1454</v>
      </c>
      <c r="J517" s="81">
        <v>33545</v>
      </c>
      <c r="K517" s="81" t="s">
        <v>1571</v>
      </c>
    </row>
    <row r="518" spans="1:11">
      <c r="A518" s="1">
        <v>1992</v>
      </c>
      <c r="B518" s="1" t="s">
        <v>1042</v>
      </c>
      <c r="C518" s="1">
        <v>1</v>
      </c>
      <c r="D518" s="1" t="s">
        <v>1103</v>
      </c>
      <c r="E518" s="1" t="s">
        <v>1104</v>
      </c>
      <c r="F518" s="1">
        <v>-25.9894</v>
      </c>
      <c r="G518" s="1">
        <v>28.076699999999999</v>
      </c>
      <c r="H518" s="1" t="s">
        <v>1105</v>
      </c>
      <c r="I518" s="1" t="s">
        <v>1046</v>
      </c>
      <c r="J518" s="81">
        <v>33664</v>
      </c>
      <c r="K518" s="81" t="s">
        <v>1572</v>
      </c>
    </row>
    <row r="519" spans="1:11">
      <c r="A519" s="1">
        <v>1992</v>
      </c>
      <c r="B519" s="1" t="s">
        <v>1056</v>
      </c>
      <c r="C519" s="1">
        <v>2</v>
      </c>
      <c r="D519" s="1" t="s">
        <v>1057</v>
      </c>
      <c r="E519" s="1" t="s">
        <v>1058</v>
      </c>
      <c r="F519" s="1">
        <v>19.432700000000001</v>
      </c>
      <c r="G519" s="1">
        <v>-99.133300000000006</v>
      </c>
      <c r="H519" s="1" t="s">
        <v>1059</v>
      </c>
      <c r="I519" s="1" t="s">
        <v>1060</v>
      </c>
      <c r="J519" s="81">
        <v>33685</v>
      </c>
      <c r="K519" s="81" t="s">
        <v>1573</v>
      </c>
    </row>
    <row r="520" spans="1:11">
      <c r="A520" s="1">
        <v>1992</v>
      </c>
      <c r="B520" s="1" t="s">
        <v>1203</v>
      </c>
      <c r="C520" s="1">
        <v>3</v>
      </c>
      <c r="D520" s="1" t="s">
        <v>1204</v>
      </c>
      <c r="E520" s="1" t="s">
        <v>1205</v>
      </c>
      <c r="F520" s="1">
        <v>-23.703600000000002</v>
      </c>
      <c r="G520" s="1">
        <v>-46.6997</v>
      </c>
      <c r="H520" s="1" t="s">
        <v>1206</v>
      </c>
      <c r="I520" s="1" t="s">
        <v>1207</v>
      </c>
      <c r="J520" s="81">
        <v>33699</v>
      </c>
      <c r="K520" s="81" t="s">
        <v>1574</v>
      </c>
    </row>
    <row r="521" spans="1:11">
      <c r="A521" s="1">
        <v>1992</v>
      </c>
      <c r="B521" s="1" t="s">
        <v>899</v>
      </c>
      <c r="C521" s="1">
        <v>4</v>
      </c>
      <c r="D521" s="1" t="s">
        <v>1566</v>
      </c>
      <c r="E521" s="1" t="s">
        <v>1567</v>
      </c>
      <c r="F521" s="1">
        <v>41.57</v>
      </c>
      <c r="G521" s="1">
        <v>2.26111</v>
      </c>
      <c r="H521" s="1" t="s">
        <v>1568</v>
      </c>
      <c r="I521" s="1" t="s">
        <v>903</v>
      </c>
      <c r="J521" s="81">
        <v>33727</v>
      </c>
      <c r="K521" s="81" t="s">
        <v>1575</v>
      </c>
    </row>
    <row r="522" spans="1:11">
      <c r="A522" s="1">
        <v>1992</v>
      </c>
      <c r="B522" s="1" t="s">
        <v>1359</v>
      </c>
      <c r="C522" s="1">
        <v>5</v>
      </c>
      <c r="D522" s="1" t="s">
        <v>1350</v>
      </c>
      <c r="E522" s="1" t="s">
        <v>1351</v>
      </c>
      <c r="F522" s="1">
        <v>44.343899999999998</v>
      </c>
      <c r="G522" s="1">
        <v>11.716699999999999</v>
      </c>
      <c r="H522" s="1" t="s">
        <v>1352</v>
      </c>
      <c r="I522" s="1" t="s">
        <v>886</v>
      </c>
      <c r="J522" s="81">
        <v>33741</v>
      </c>
      <c r="K522" s="81" t="s">
        <v>1576</v>
      </c>
    </row>
    <row r="523" spans="1:11">
      <c r="A523" s="1">
        <v>1992</v>
      </c>
      <c r="B523" s="1" t="s">
        <v>856</v>
      </c>
      <c r="C523" s="1">
        <v>6</v>
      </c>
      <c r="D523" s="1" t="s">
        <v>857</v>
      </c>
      <c r="E523" s="1" t="s">
        <v>858</v>
      </c>
      <c r="F523" s="1">
        <v>43.734699999999997</v>
      </c>
      <c r="G523" s="1">
        <v>7.42056</v>
      </c>
      <c r="H523" s="1" t="s">
        <v>859</v>
      </c>
      <c r="I523" s="1" t="s">
        <v>860</v>
      </c>
      <c r="J523" s="81">
        <v>33755</v>
      </c>
      <c r="K523" s="81" t="s">
        <v>1577</v>
      </c>
    </row>
    <row r="524" spans="1:11">
      <c r="A524" s="1">
        <v>1992</v>
      </c>
      <c r="B524" s="1" t="s">
        <v>1115</v>
      </c>
      <c r="C524" s="1">
        <v>7</v>
      </c>
      <c r="D524" s="1" t="s">
        <v>1320</v>
      </c>
      <c r="E524" s="1" t="s">
        <v>1321</v>
      </c>
      <c r="F524" s="1">
        <v>45.5</v>
      </c>
      <c r="G524" s="1">
        <v>-73.522800000000004</v>
      </c>
      <c r="H524" s="1" t="s">
        <v>1322</v>
      </c>
      <c r="I524" s="1" t="s">
        <v>1119</v>
      </c>
      <c r="J524" s="81">
        <v>33769</v>
      </c>
      <c r="K524" s="81" t="s">
        <v>1578</v>
      </c>
    </row>
    <row r="525" spans="1:11">
      <c r="A525" s="1">
        <v>1992</v>
      </c>
      <c r="B525" s="1" t="s">
        <v>877</v>
      </c>
      <c r="C525" s="1">
        <v>8</v>
      </c>
      <c r="D525" s="1" t="s">
        <v>1556</v>
      </c>
      <c r="E525" s="1" t="s">
        <v>1557</v>
      </c>
      <c r="F525" s="1">
        <v>46.864199999999997</v>
      </c>
      <c r="G525" s="1">
        <v>3.1636099999999998</v>
      </c>
      <c r="H525" s="1" t="s">
        <v>1558</v>
      </c>
      <c r="I525" s="1" t="s">
        <v>755</v>
      </c>
      <c r="J525" s="81">
        <v>33790</v>
      </c>
      <c r="K525" s="81" t="s">
        <v>1579</v>
      </c>
    </row>
    <row r="526" spans="1:11">
      <c r="A526" s="1">
        <v>1992</v>
      </c>
      <c r="B526" s="1" t="s">
        <v>850</v>
      </c>
      <c r="C526" s="1">
        <v>9</v>
      </c>
      <c r="D526" s="1" t="s">
        <v>851</v>
      </c>
      <c r="E526" s="1" t="s">
        <v>852</v>
      </c>
      <c r="F526" s="1">
        <v>52.078600000000002</v>
      </c>
      <c r="G526" s="1">
        <v>-1.01694</v>
      </c>
      <c r="H526" s="1" t="s">
        <v>853</v>
      </c>
      <c r="I526" s="1" t="s">
        <v>854</v>
      </c>
      <c r="J526" s="81">
        <v>33797</v>
      </c>
      <c r="K526" s="81" t="s">
        <v>1580</v>
      </c>
    </row>
    <row r="527" spans="1:11">
      <c r="A527" s="1">
        <v>1992</v>
      </c>
      <c r="B527" s="1" t="s">
        <v>893</v>
      </c>
      <c r="C527" s="1">
        <v>10</v>
      </c>
      <c r="D527" s="1" t="s">
        <v>1162</v>
      </c>
      <c r="E527" s="1" t="s">
        <v>1163</v>
      </c>
      <c r="F527" s="1">
        <v>49.327800000000003</v>
      </c>
      <c r="G527" s="1">
        <v>8.5658300000000001</v>
      </c>
      <c r="H527" s="1" t="s">
        <v>1164</v>
      </c>
      <c r="I527" s="1" t="s">
        <v>761</v>
      </c>
      <c r="J527" s="81">
        <v>33811</v>
      </c>
      <c r="K527" s="81" t="s">
        <v>1581</v>
      </c>
    </row>
    <row r="528" spans="1:11">
      <c r="A528" s="1">
        <v>1992</v>
      </c>
      <c r="B528" s="1" t="s">
        <v>1469</v>
      </c>
      <c r="C528" s="1">
        <v>11</v>
      </c>
      <c r="D528" s="1" t="s">
        <v>1470</v>
      </c>
      <c r="E528" s="1" t="s">
        <v>1471</v>
      </c>
      <c r="F528" s="1">
        <v>47.578899999999997</v>
      </c>
      <c r="G528" s="1">
        <v>19.2486</v>
      </c>
      <c r="H528" s="1" t="s">
        <v>1472</v>
      </c>
      <c r="I528" s="1" t="s">
        <v>1473</v>
      </c>
      <c r="J528" s="81">
        <v>33832</v>
      </c>
      <c r="K528" s="81" t="s">
        <v>1582</v>
      </c>
    </row>
    <row r="529" spans="1:11">
      <c r="A529" s="1">
        <v>1992</v>
      </c>
      <c r="B529" s="1" t="s">
        <v>872</v>
      </c>
      <c r="C529" s="1">
        <v>12</v>
      </c>
      <c r="D529" s="1" t="s">
        <v>873</v>
      </c>
      <c r="E529" s="1" t="s">
        <v>874</v>
      </c>
      <c r="F529" s="1">
        <v>50.437199999999997</v>
      </c>
      <c r="G529" s="1">
        <v>5.9713900000000004</v>
      </c>
      <c r="H529" s="1" t="s">
        <v>875</v>
      </c>
      <c r="I529" s="1" t="s">
        <v>244</v>
      </c>
      <c r="J529" s="81">
        <v>33846</v>
      </c>
      <c r="K529" s="81" t="s">
        <v>1583</v>
      </c>
    </row>
    <row r="530" spans="1:11">
      <c r="A530" s="1">
        <v>1992</v>
      </c>
      <c r="B530" s="1" t="s">
        <v>882</v>
      </c>
      <c r="C530" s="1">
        <v>13</v>
      </c>
      <c r="D530" s="1" t="s">
        <v>883</v>
      </c>
      <c r="E530" s="1" t="s">
        <v>884</v>
      </c>
      <c r="F530" s="1">
        <v>45.615600000000001</v>
      </c>
      <c r="G530" s="1">
        <v>9.28111</v>
      </c>
      <c r="H530" s="1" t="s">
        <v>885</v>
      </c>
      <c r="I530" s="1" t="s">
        <v>886</v>
      </c>
      <c r="J530" s="81">
        <v>33860</v>
      </c>
      <c r="K530" s="81" t="s">
        <v>1584</v>
      </c>
    </row>
    <row r="531" spans="1:11">
      <c r="A531" s="1">
        <v>1992</v>
      </c>
      <c r="B531" s="1" t="s">
        <v>980</v>
      </c>
      <c r="C531" s="1">
        <v>14</v>
      </c>
      <c r="D531" s="1" t="s">
        <v>1431</v>
      </c>
      <c r="E531" s="1" t="s">
        <v>1432</v>
      </c>
      <c r="F531" s="1">
        <v>38.750599999999999</v>
      </c>
      <c r="G531" s="1">
        <v>-9.3941700000000008</v>
      </c>
      <c r="H531" s="1" t="s">
        <v>1433</v>
      </c>
      <c r="I531" s="1" t="s">
        <v>984</v>
      </c>
      <c r="J531" s="81">
        <v>33874</v>
      </c>
      <c r="K531" s="81" t="s">
        <v>1585</v>
      </c>
    </row>
    <row r="532" spans="1:11">
      <c r="A532" s="1">
        <v>1992</v>
      </c>
      <c r="B532" s="1" t="s">
        <v>1280</v>
      </c>
      <c r="C532" s="1">
        <v>15</v>
      </c>
      <c r="D532" s="1" t="s">
        <v>1494</v>
      </c>
      <c r="E532" s="1" t="s">
        <v>1495</v>
      </c>
      <c r="F532" s="1">
        <v>34.8431</v>
      </c>
      <c r="G532" s="1">
        <v>136.541</v>
      </c>
      <c r="H532" s="1" t="s">
        <v>1496</v>
      </c>
      <c r="I532" s="1" t="s">
        <v>375</v>
      </c>
      <c r="J532" s="81">
        <v>33902</v>
      </c>
      <c r="K532" s="81" t="s">
        <v>1586</v>
      </c>
    </row>
    <row r="533" spans="1:11">
      <c r="A533" s="1">
        <v>1992</v>
      </c>
      <c r="B533" s="1" t="s">
        <v>1450</v>
      </c>
      <c r="C533" s="1">
        <v>16</v>
      </c>
      <c r="D533" s="1" t="s">
        <v>1451</v>
      </c>
      <c r="E533" s="1" t="s">
        <v>1452</v>
      </c>
      <c r="F533" s="1">
        <v>-34.927199999999999</v>
      </c>
      <c r="G533" s="1">
        <v>138.61699999999999</v>
      </c>
      <c r="H533" s="1" t="s">
        <v>1453</v>
      </c>
      <c r="I533" s="1" t="s">
        <v>1454</v>
      </c>
      <c r="J533" s="81">
        <v>33916</v>
      </c>
      <c r="K533" s="81" t="s">
        <v>1587</v>
      </c>
    </row>
    <row r="534" spans="1:11">
      <c r="A534" s="1">
        <v>1993</v>
      </c>
      <c r="B534" s="1" t="s">
        <v>1042</v>
      </c>
      <c r="C534" s="1">
        <v>1</v>
      </c>
      <c r="D534" s="1" t="s">
        <v>1103</v>
      </c>
      <c r="E534" s="1" t="s">
        <v>1104</v>
      </c>
      <c r="F534" s="1">
        <v>-25.9894</v>
      </c>
      <c r="G534" s="1">
        <v>28.076699999999999</v>
      </c>
      <c r="H534" s="1" t="s">
        <v>1105</v>
      </c>
      <c r="I534" s="1" t="s">
        <v>1046</v>
      </c>
      <c r="J534" s="81">
        <v>34042</v>
      </c>
      <c r="K534" s="81" t="s">
        <v>1588</v>
      </c>
    </row>
    <row r="535" spans="1:11">
      <c r="A535" s="1">
        <v>1993</v>
      </c>
      <c r="B535" s="1" t="s">
        <v>1203</v>
      </c>
      <c r="C535" s="1">
        <v>2</v>
      </c>
      <c r="D535" s="1" t="s">
        <v>1204</v>
      </c>
      <c r="E535" s="1" t="s">
        <v>1205</v>
      </c>
      <c r="F535" s="1">
        <v>-23.703600000000002</v>
      </c>
      <c r="G535" s="1">
        <v>-46.6997</v>
      </c>
      <c r="H535" s="1" t="s">
        <v>1206</v>
      </c>
      <c r="I535" s="1" t="s">
        <v>1207</v>
      </c>
      <c r="J535" s="81">
        <v>34056</v>
      </c>
      <c r="K535" s="81" t="s">
        <v>1589</v>
      </c>
    </row>
    <row r="536" spans="1:11">
      <c r="A536" s="1">
        <v>1993</v>
      </c>
      <c r="B536" s="1" t="s">
        <v>1409</v>
      </c>
      <c r="C536" s="1">
        <v>3</v>
      </c>
      <c r="D536" s="1" t="s">
        <v>1590</v>
      </c>
      <c r="E536" s="1" t="s">
        <v>1591</v>
      </c>
      <c r="F536" s="1">
        <v>52.830599999999997</v>
      </c>
      <c r="G536" s="1">
        <v>-1.3752800000000001</v>
      </c>
      <c r="H536" s="1" t="s">
        <v>1592</v>
      </c>
      <c r="I536" s="1" t="s">
        <v>854</v>
      </c>
      <c r="J536" s="81">
        <v>34070</v>
      </c>
      <c r="K536" s="81" t="s">
        <v>1593</v>
      </c>
    </row>
    <row r="537" spans="1:11">
      <c r="A537" s="1">
        <v>1993</v>
      </c>
      <c r="B537" s="1" t="s">
        <v>1359</v>
      </c>
      <c r="C537" s="1">
        <v>4</v>
      </c>
      <c r="D537" s="1" t="s">
        <v>1350</v>
      </c>
      <c r="E537" s="1" t="s">
        <v>1351</v>
      </c>
      <c r="F537" s="1">
        <v>44.343899999999998</v>
      </c>
      <c r="G537" s="1">
        <v>11.716699999999999</v>
      </c>
      <c r="H537" s="1" t="s">
        <v>1352</v>
      </c>
      <c r="I537" s="1" t="s">
        <v>886</v>
      </c>
      <c r="J537" s="81">
        <v>34084</v>
      </c>
      <c r="K537" s="81" t="s">
        <v>1594</v>
      </c>
    </row>
    <row r="538" spans="1:11">
      <c r="A538" s="1">
        <v>1993</v>
      </c>
      <c r="B538" s="1" t="s">
        <v>899</v>
      </c>
      <c r="C538" s="1">
        <v>5</v>
      </c>
      <c r="D538" s="1" t="s">
        <v>1566</v>
      </c>
      <c r="E538" s="1" t="s">
        <v>1567</v>
      </c>
      <c r="F538" s="1">
        <v>41.57</v>
      </c>
      <c r="G538" s="1">
        <v>2.26111</v>
      </c>
      <c r="H538" s="1" t="s">
        <v>1568</v>
      </c>
      <c r="I538" s="1" t="s">
        <v>903</v>
      </c>
      <c r="J538" s="81">
        <v>34098</v>
      </c>
      <c r="K538" s="81" t="s">
        <v>1595</v>
      </c>
    </row>
    <row r="539" spans="1:11">
      <c r="A539" s="1">
        <v>1993</v>
      </c>
      <c r="B539" s="1" t="s">
        <v>856</v>
      </c>
      <c r="C539" s="1">
        <v>6</v>
      </c>
      <c r="D539" s="1" t="s">
        <v>857</v>
      </c>
      <c r="E539" s="1" t="s">
        <v>858</v>
      </c>
      <c r="F539" s="1">
        <v>43.734699999999997</v>
      </c>
      <c r="G539" s="1">
        <v>7.42056</v>
      </c>
      <c r="H539" s="1" t="s">
        <v>859</v>
      </c>
      <c r="I539" s="1" t="s">
        <v>860</v>
      </c>
      <c r="J539" s="81">
        <v>34112</v>
      </c>
      <c r="K539" s="81" t="s">
        <v>1596</v>
      </c>
    </row>
    <row r="540" spans="1:11">
      <c r="A540" s="1">
        <v>1993</v>
      </c>
      <c r="B540" s="1" t="s">
        <v>1115</v>
      </c>
      <c r="C540" s="1">
        <v>7</v>
      </c>
      <c r="D540" s="1" t="s">
        <v>1320</v>
      </c>
      <c r="E540" s="1" t="s">
        <v>1321</v>
      </c>
      <c r="F540" s="1">
        <v>45.5</v>
      </c>
      <c r="G540" s="1">
        <v>-73.522800000000004</v>
      </c>
      <c r="H540" s="1" t="s">
        <v>1322</v>
      </c>
      <c r="I540" s="1" t="s">
        <v>1119</v>
      </c>
      <c r="J540" s="81">
        <v>34133</v>
      </c>
      <c r="K540" s="81" t="s">
        <v>1597</v>
      </c>
    </row>
    <row r="541" spans="1:11">
      <c r="A541" s="1">
        <v>1993</v>
      </c>
      <c r="B541" s="1" t="s">
        <v>877</v>
      </c>
      <c r="C541" s="1">
        <v>8</v>
      </c>
      <c r="D541" s="1" t="s">
        <v>1556</v>
      </c>
      <c r="E541" s="1" t="s">
        <v>1557</v>
      </c>
      <c r="F541" s="1">
        <v>46.864199999999997</v>
      </c>
      <c r="G541" s="1">
        <v>3.1636099999999998</v>
      </c>
      <c r="H541" s="1" t="s">
        <v>1558</v>
      </c>
      <c r="I541" s="1" t="s">
        <v>755</v>
      </c>
      <c r="J541" s="81">
        <v>34154</v>
      </c>
      <c r="K541" s="81" t="s">
        <v>1598</v>
      </c>
    </row>
    <row r="542" spans="1:11">
      <c r="A542" s="1">
        <v>1993</v>
      </c>
      <c r="B542" s="1" t="s">
        <v>850</v>
      </c>
      <c r="C542" s="1">
        <v>9</v>
      </c>
      <c r="D542" s="1" t="s">
        <v>851</v>
      </c>
      <c r="E542" s="1" t="s">
        <v>852</v>
      </c>
      <c r="F542" s="1">
        <v>52.078600000000002</v>
      </c>
      <c r="G542" s="1">
        <v>-1.01694</v>
      </c>
      <c r="H542" s="1" t="s">
        <v>853</v>
      </c>
      <c r="I542" s="1" t="s">
        <v>854</v>
      </c>
      <c r="J542" s="81">
        <v>34161</v>
      </c>
      <c r="K542" s="81" t="s">
        <v>1599</v>
      </c>
    </row>
    <row r="543" spans="1:11">
      <c r="A543" s="1">
        <v>1993</v>
      </c>
      <c r="B543" s="1" t="s">
        <v>893</v>
      </c>
      <c r="C543" s="1">
        <v>10</v>
      </c>
      <c r="D543" s="1" t="s">
        <v>1162</v>
      </c>
      <c r="E543" s="1" t="s">
        <v>1163</v>
      </c>
      <c r="F543" s="1">
        <v>49.327800000000003</v>
      </c>
      <c r="G543" s="1">
        <v>8.5658300000000001</v>
      </c>
      <c r="H543" s="1" t="s">
        <v>1164</v>
      </c>
      <c r="I543" s="1" t="s">
        <v>761</v>
      </c>
      <c r="J543" s="81">
        <v>34175</v>
      </c>
      <c r="K543" s="81" t="s">
        <v>1600</v>
      </c>
    </row>
    <row r="544" spans="1:11">
      <c r="A544" s="1">
        <v>1993</v>
      </c>
      <c r="B544" s="1" t="s">
        <v>1469</v>
      </c>
      <c r="C544" s="1">
        <v>11</v>
      </c>
      <c r="D544" s="1" t="s">
        <v>1470</v>
      </c>
      <c r="E544" s="1" t="s">
        <v>1471</v>
      </c>
      <c r="F544" s="1">
        <v>47.578899999999997</v>
      </c>
      <c r="G544" s="1">
        <v>19.2486</v>
      </c>
      <c r="H544" s="1" t="s">
        <v>1472</v>
      </c>
      <c r="I544" s="1" t="s">
        <v>1473</v>
      </c>
      <c r="J544" s="81">
        <v>34196</v>
      </c>
      <c r="K544" s="81" t="s">
        <v>1601</v>
      </c>
    </row>
    <row r="545" spans="1:11">
      <c r="A545" s="1">
        <v>1993</v>
      </c>
      <c r="B545" s="1" t="s">
        <v>872</v>
      </c>
      <c r="C545" s="1">
        <v>12</v>
      </c>
      <c r="D545" s="1" t="s">
        <v>873</v>
      </c>
      <c r="E545" s="1" t="s">
        <v>874</v>
      </c>
      <c r="F545" s="1">
        <v>50.437199999999997</v>
      </c>
      <c r="G545" s="1">
        <v>5.9713900000000004</v>
      </c>
      <c r="H545" s="1" t="s">
        <v>875</v>
      </c>
      <c r="I545" s="1" t="s">
        <v>244</v>
      </c>
      <c r="J545" s="81">
        <v>34210</v>
      </c>
      <c r="K545" s="81" t="s">
        <v>1602</v>
      </c>
    </row>
    <row r="546" spans="1:11">
      <c r="A546" s="1">
        <v>1993</v>
      </c>
      <c r="B546" s="1" t="s">
        <v>882</v>
      </c>
      <c r="C546" s="1">
        <v>13</v>
      </c>
      <c r="D546" s="1" t="s">
        <v>883</v>
      </c>
      <c r="E546" s="1" t="s">
        <v>884</v>
      </c>
      <c r="F546" s="1">
        <v>45.615600000000001</v>
      </c>
      <c r="G546" s="1">
        <v>9.28111</v>
      </c>
      <c r="H546" s="1" t="s">
        <v>885</v>
      </c>
      <c r="I546" s="1" t="s">
        <v>886</v>
      </c>
      <c r="J546" s="81">
        <v>34224</v>
      </c>
      <c r="K546" s="81" t="s">
        <v>1603</v>
      </c>
    </row>
    <row r="547" spans="1:11">
      <c r="A547" s="1">
        <v>1993</v>
      </c>
      <c r="B547" s="1" t="s">
        <v>980</v>
      </c>
      <c r="C547" s="1">
        <v>14</v>
      </c>
      <c r="D547" s="1" t="s">
        <v>1431</v>
      </c>
      <c r="E547" s="1" t="s">
        <v>1432</v>
      </c>
      <c r="F547" s="1">
        <v>38.750599999999999</v>
      </c>
      <c r="G547" s="1">
        <v>-9.3941700000000008</v>
      </c>
      <c r="H547" s="1" t="s">
        <v>1433</v>
      </c>
      <c r="I547" s="1" t="s">
        <v>984</v>
      </c>
      <c r="J547" s="81">
        <v>34238</v>
      </c>
      <c r="K547" s="81" t="s">
        <v>1604</v>
      </c>
    </row>
    <row r="548" spans="1:11">
      <c r="A548" s="1">
        <v>1993</v>
      </c>
      <c r="B548" s="1" t="s">
        <v>1280</v>
      </c>
      <c r="C548" s="1">
        <v>15</v>
      </c>
      <c r="D548" s="1" t="s">
        <v>1494</v>
      </c>
      <c r="E548" s="1" t="s">
        <v>1495</v>
      </c>
      <c r="F548" s="1">
        <v>34.8431</v>
      </c>
      <c r="G548" s="1">
        <v>136.541</v>
      </c>
      <c r="H548" s="1" t="s">
        <v>1496</v>
      </c>
      <c r="I548" s="1" t="s">
        <v>375</v>
      </c>
      <c r="J548" s="81">
        <v>34266</v>
      </c>
      <c r="K548" s="81" t="s">
        <v>1605</v>
      </c>
    </row>
    <row r="549" spans="1:11">
      <c r="A549" s="1">
        <v>1993</v>
      </c>
      <c r="B549" s="1" t="s">
        <v>1450</v>
      </c>
      <c r="C549" s="1">
        <v>16</v>
      </c>
      <c r="D549" s="1" t="s">
        <v>1451</v>
      </c>
      <c r="E549" s="1" t="s">
        <v>1452</v>
      </c>
      <c r="F549" s="1">
        <v>-34.927199999999999</v>
      </c>
      <c r="G549" s="1">
        <v>138.61699999999999</v>
      </c>
      <c r="H549" s="1" t="s">
        <v>1453</v>
      </c>
      <c r="I549" s="1" t="s">
        <v>1454</v>
      </c>
      <c r="J549" s="81">
        <v>34280</v>
      </c>
      <c r="K549" s="81" t="s">
        <v>1606</v>
      </c>
    </row>
    <row r="550" spans="1:11">
      <c r="A550" s="1">
        <v>1994</v>
      </c>
      <c r="B550" s="1" t="s">
        <v>1203</v>
      </c>
      <c r="C550" s="1">
        <v>1</v>
      </c>
      <c r="D550" s="1" t="s">
        <v>1204</v>
      </c>
      <c r="E550" s="1" t="s">
        <v>1205</v>
      </c>
      <c r="F550" s="1">
        <v>-23.703600000000002</v>
      </c>
      <c r="G550" s="1">
        <v>-46.6997</v>
      </c>
      <c r="H550" s="1" t="s">
        <v>1206</v>
      </c>
      <c r="I550" s="1" t="s">
        <v>1207</v>
      </c>
      <c r="J550" s="81">
        <v>34420</v>
      </c>
      <c r="K550" s="81" t="s">
        <v>1607</v>
      </c>
    </row>
    <row r="551" spans="1:11">
      <c r="A551" s="1">
        <v>1994</v>
      </c>
      <c r="B551" s="1" t="s">
        <v>1608</v>
      </c>
      <c r="C551" s="1">
        <v>2</v>
      </c>
      <c r="D551" s="1" t="s">
        <v>1609</v>
      </c>
      <c r="E551" s="1" t="s">
        <v>1610</v>
      </c>
      <c r="F551" s="1">
        <v>34.914999999999999</v>
      </c>
      <c r="G551" s="1">
        <v>134.221</v>
      </c>
      <c r="H551" s="1" t="s">
        <v>1611</v>
      </c>
      <c r="I551" s="1" t="s">
        <v>375</v>
      </c>
      <c r="J551" s="81">
        <v>34441</v>
      </c>
      <c r="K551" s="81" t="s">
        <v>1612</v>
      </c>
    </row>
    <row r="552" spans="1:11">
      <c r="A552" s="1">
        <v>1994</v>
      </c>
      <c r="B552" s="1" t="s">
        <v>1359</v>
      </c>
      <c r="C552" s="1">
        <v>3</v>
      </c>
      <c r="D552" s="1" t="s">
        <v>1350</v>
      </c>
      <c r="E552" s="1" t="s">
        <v>1351</v>
      </c>
      <c r="F552" s="1">
        <v>44.343899999999998</v>
      </c>
      <c r="G552" s="1">
        <v>11.716699999999999</v>
      </c>
      <c r="H552" s="1" t="s">
        <v>1352</v>
      </c>
      <c r="I552" s="1" t="s">
        <v>886</v>
      </c>
      <c r="J552" s="81">
        <v>34455</v>
      </c>
      <c r="K552" s="81" t="s">
        <v>1613</v>
      </c>
    </row>
    <row r="553" spans="1:11">
      <c r="A553" s="1">
        <v>1994</v>
      </c>
      <c r="B553" s="1" t="s">
        <v>856</v>
      </c>
      <c r="C553" s="1">
        <v>4</v>
      </c>
      <c r="D553" s="1" t="s">
        <v>857</v>
      </c>
      <c r="E553" s="1" t="s">
        <v>858</v>
      </c>
      <c r="F553" s="1">
        <v>43.734699999999997</v>
      </c>
      <c r="G553" s="1">
        <v>7.42056</v>
      </c>
      <c r="H553" s="1" t="s">
        <v>859</v>
      </c>
      <c r="I553" s="1" t="s">
        <v>860</v>
      </c>
      <c r="J553" s="81">
        <v>34469</v>
      </c>
      <c r="K553" s="81" t="s">
        <v>1614</v>
      </c>
    </row>
    <row r="554" spans="1:11">
      <c r="A554" s="1">
        <v>1994</v>
      </c>
      <c r="B554" s="1" t="s">
        <v>899</v>
      </c>
      <c r="C554" s="1">
        <v>5</v>
      </c>
      <c r="D554" s="1" t="s">
        <v>1566</v>
      </c>
      <c r="E554" s="1" t="s">
        <v>1567</v>
      </c>
      <c r="F554" s="1">
        <v>41.57</v>
      </c>
      <c r="G554" s="1">
        <v>2.26111</v>
      </c>
      <c r="H554" s="1" t="s">
        <v>1568</v>
      </c>
      <c r="I554" s="1" t="s">
        <v>903</v>
      </c>
      <c r="J554" s="81">
        <v>34483</v>
      </c>
      <c r="K554" s="81" t="s">
        <v>1615</v>
      </c>
    </row>
    <row r="555" spans="1:11">
      <c r="A555" s="1">
        <v>1994</v>
      </c>
      <c r="B555" s="1" t="s">
        <v>1115</v>
      </c>
      <c r="C555" s="1">
        <v>6</v>
      </c>
      <c r="D555" s="1" t="s">
        <v>1320</v>
      </c>
      <c r="E555" s="1" t="s">
        <v>1321</v>
      </c>
      <c r="F555" s="1">
        <v>45.5</v>
      </c>
      <c r="G555" s="1">
        <v>-73.522800000000004</v>
      </c>
      <c r="H555" s="1" t="s">
        <v>1322</v>
      </c>
      <c r="I555" s="1" t="s">
        <v>1119</v>
      </c>
      <c r="J555" s="81">
        <v>34497</v>
      </c>
      <c r="K555" s="81" t="s">
        <v>1616</v>
      </c>
    </row>
    <row r="556" spans="1:11">
      <c r="A556" s="1">
        <v>1994</v>
      </c>
      <c r="B556" s="1" t="s">
        <v>877</v>
      </c>
      <c r="C556" s="1">
        <v>7</v>
      </c>
      <c r="D556" s="1" t="s">
        <v>1556</v>
      </c>
      <c r="E556" s="1" t="s">
        <v>1557</v>
      </c>
      <c r="F556" s="1">
        <v>46.864199999999997</v>
      </c>
      <c r="G556" s="1">
        <v>3.1636099999999998</v>
      </c>
      <c r="H556" s="1" t="s">
        <v>1558</v>
      </c>
      <c r="I556" s="1" t="s">
        <v>755</v>
      </c>
      <c r="J556" s="81">
        <v>34518</v>
      </c>
      <c r="K556" s="81" t="s">
        <v>1617</v>
      </c>
    </row>
    <row r="557" spans="1:11">
      <c r="A557" s="1">
        <v>1994</v>
      </c>
      <c r="B557" s="1" t="s">
        <v>850</v>
      </c>
      <c r="C557" s="1">
        <v>8</v>
      </c>
      <c r="D557" s="1" t="s">
        <v>851</v>
      </c>
      <c r="E557" s="1" t="s">
        <v>852</v>
      </c>
      <c r="F557" s="1">
        <v>52.078600000000002</v>
      </c>
      <c r="G557" s="1">
        <v>-1.01694</v>
      </c>
      <c r="H557" s="1" t="s">
        <v>853</v>
      </c>
      <c r="I557" s="1" t="s">
        <v>854</v>
      </c>
      <c r="J557" s="81">
        <v>34525</v>
      </c>
      <c r="K557" s="81" t="s">
        <v>1618</v>
      </c>
    </row>
    <row r="558" spans="1:11">
      <c r="A558" s="1">
        <v>1994</v>
      </c>
      <c r="B558" s="1" t="s">
        <v>893</v>
      </c>
      <c r="C558" s="1">
        <v>9</v>
      </c>
      <c r="D558" s="1" t="s">
        <v>1162</v>
      </c>
      <c r="E558" s="1" t="s">
        <v>1163</v>
      </c>
      <c r="F558" s="1">
        <v>49.327800000000003</v>
      </c>
      <c r="G558" s="1">
        <v>8.5658300000000001</v>
      </c>
      <c r="H558" s="1" t="s">
        <v>1164</v>
      </c>
      <c r="I558" s="1" t="s">
        <v>761</v>
      </c>
      <c r="J558" s="81">
        <v>34546</v>
      </c>
      <c r="K558" s="81" t="s">
        <v>1619</v>
      </c>
    </row>
    <row r="559" spans="1:11">
      <c r="A559" s="1">
        <v>1994</v>
      </c>
      <c r="B559" s="1" t="s">
        <v>1469</v>
      </c>
      <c r="C559" s="1">
        <v>10</v>
      </c>
      <c r="D559" s="1" t="s">
        <v>1470</v>
      </c>
      <c r="E559" s="1" t="s">
        <v>1471</v>
      </c>
      <c r="F559" s="1">
        <v>47.578899999999997</v>
      </c>
      <c r="G559" s="1">
        <v>19.2486</v>
      </c>
      <c r="H559" s="1" t="s">
        <v>1472</v>
      </c>
      <c r="I559" s="1" t="s">
        <v>1473</v>
      </c>
      <c r="J559" s="81">
        <v>34560</v>
      </c>
      <c r="K559" s="81" t="s">
        <v>1620</v>
      </c>
    </row>
    <row r="560" spans="1:11">
      <c r="A560" s="1">
        <v>1994</v>
      </c>
      <c r="B560" s="1" t="s">
        <v>872</v>
      </c>
      <c r="C560" s="1">
        <v>11</v>
      </c>
      <c r="D560" s="1" t="s">
        <v>873</v>
      </c>
      <c r="E560" s="1" t="s">
        <v>874</v>
      </c>
      <c r="F560" s="1">
        <v>50.437199999999997</v>
      </c>
      <c r="G560" s="1">
        <v>5.9713900000000004</v>
      </c>
      <c r="H560" s="1" t="s">
        <v>875</v>
      </c>
      <c r="I560" s="1" t="s">
        <v>244</v>
      </c>
      <c r="J560" s="81">
        <v>34574</v>
      </c>
      <c r="K560" s="81" t="s">
        <v>1621</v>
      </c>
    </row>
    <row r="561" spans="1:11">
      <c r="A561" s="1">
        <v>1994</v>
      </c>
      <c r="B561" s="1" t="s">
        <v>882</v>
      </c>
      <c r="C561" s="1">
        <v>12</v>
      </c>
      <c r="D561" s="1" t="s">
        <v>883</v>
      </c>
      <c r="E561" s="1" t="s">
        <v>884</v>
      </c>
      <c r="F561" s="1">
        <v>45.615600000000001</v>
      </c>
      <c r="G561" s="1">
        <v>9.28111</v>
      </c>
      <c r="H561" s="1" t="s">
        <v>885</v>
      </c>
      <c r="I561" s="1" t="s">
        <v>886</v>
      </c>
      <c r="J561" s="81">
        <v>34588</v>
      </c>
      <c r="K561" s="81" t="s">
        <v>1622</v>
      </c>
    </row>
    <row r="562" spans="1:11">
      <c r="A562" s="1">
        <v>1994</v>
      </c>
      <c r="B562" s="1" t="s">
        <v>980</v>
      </c>
      <c r="C562" s="1">
        <v>13</v>
      </c>
      <c r="D562" s="1" t="s">
        <v>1431</v>
      </c>
      <c r="E562" s="1" t="s">
        <v>1432</v>
      </c>
      <c r="F562" s="1">
        <v>38.750599999999999</v>
      </c>
      <c r="G562" s="1">
        <v>-9.3941700000000008</v>
      </c>
      <c r="H562" s="1" t="s">
        <v>1433</v>
      </c>
      <c r="I562" s="1" t="s">
        <v>984</v>
      </c>
      <c r="J562" s="81">
        <v>34602</v>
      </c>
      <c r="K562" s="81" t="s">
        <v>1623</v>
      </c>
    </row>
    <row r="563" spans="1:11">
      <c r="A563" s="1">
        <v>1994</v>
      </c>
      <c r="B563" s="1" t="s">
        <v>1409</v>
      </c>
      <c r="C563" s="1">
        <v>14</v>
      </c>
      <c r="D563" s="1" t="s">
        <v>1457</v>
      </c>
      <c r="E563" s="1" t="s">
        <v>1458</v>
      </c>
      <c r="F563" s="1">
        <v>36.708300000000001</v>
      </c>
      <c r="G563" s="1">
        <v>-6.0341699999999996</v>
      </c>
      <c r="H563" s="1" t="s">
        <v>1459</v>
      </c>
      <c r="I563" s="1" t="s">
        <v>903</v>
      </c>
      <c r="J563" s="81">
        <v>34623</v>
      </c>
      <c r="K563" s="81" t="s">
        <v>1624</v>
      </c>
    </row>
    <row r="564" spans="1:11">
      <c r="A564" s="1">
        <v>1994</v>
      </c>
      <c r="B564" s="1" t="s">
        <v>1280</v>
      </c>
      <c r="C564" s="1">
        <v>15</v>
      </c>
      <c r="D564" s="1" t="s">
        <v>1494</v>
      </c>
      <c r="E564" s="1" t="s">
        <v>1495</v>
      </c>
      <c r="F564" s="1">
        <v>34.8431</v>
      </c>
      <c r="G564" s="1">
        <v>136.541</v>
      </c>
      <c r="H564" s="1" t="s">
        <v>1496</v>
      </c>
      <c r="I564" s="1" t="s">
        <v>375</v>
      </c>
      <c r="J564" s="81">
        <v>34644</v>
      </c>
      <c r="K564" s="81" t="s">
        <v>1625</v>
      </c>
    </row>
    <row r="565" spans="1:11">
      <c r="A565" s="1">
        <v>1994</v>
      </c>
      <c r="B565" s="1" t="s">
        <v>1450</v>
      </c>
      <c r="C565" s="1">
        <v>16</v>
      </c>
      <c r="D565" s="1" t="s">
        <v>1451</v>
      </c>
      <c r="E565" s="1" t="s">
        <v>1452</v>
      </c>
      <c r="F565" s="1">
        <v>-34.927199999999999</v>
      </c>
      <c r="G565" s="1">
        <v>138.61699999999999</v>
      </c>
      <c r="H565" s="1" t="s">
        <v>1453</v>
      </c>
      <c r="I565" s="1" t="s">
        <v>1454</v>
      </c>
      <c r="J565" s="81">
        <v>34651</v>
      </c>
      <c r="K565" s="81" t="s">
        <v>1626</v>
      </c>
    </row>
    <row r="566" spans="1:11">
      <c r="A566" s="1">
        <v>1995</v>
      </c>
      <c r="B566" s="1" t="s">
        <v>1203</v>
      </c>
      <c r="C566" s="1">
        <v>1</v>
      </c>
      <c r="D566" s="1" t="s">
        <v>1204</v>
      </c>
      <c r="E566" s="1" t="s">
        <v>1205</v>
      </c>
      <c r="F566" s="1">
        <v>-23.703600000000002</v>
      </c>
      <c r="G566" s="1">
        <v>-46.6997</v>
      </c>
      <c r="H566" s="1" t="s">
        <v>1206</v>
      </c>
      <c r="I566" s="1" t="s">
        <v>1207</v>
      </c>
      <c r="J566" s="81">
        <v>34784</v>
      </c>
      <c r="K566" s="81" t="s">
        <v>1627</v>
      </c>
    </row>
    <row r="567" spans="1:11">
      <c r="A567" s="1">
        <v>1995</v>
      </c>
      <c r="B567" s="1" t="s">
        <v>921</v>
      </c>
      <c r="C567" s="1">
        <v>2</v>
      </c>
      <c r="D567" s="1" t="s">
        <v>922</v>
      </c>
      <c r="E567" s="1" t="s">
        <v>923</v>
      </c>
      <c r="F567" s="1">
        <v>-34.694299999999998</v>
      </c>
      <c r="G567" s="1">
        <v>-58.459299999999999</v>
      </c>
      <c r="H567" s="1" t="s">
        <v>253</v>
      </c>
      <c r="I567" s="1" t="s">
        <v>252</v>
      </c>
      <c r="J567" s="81">
        <v>34798</v>
      </c>
      <c r="K567" s="81" t="s">
        <v>1628</v>
      </c>
    </row>
    <row r="568" spans="1:11">
      <c r="A568" s="1">
        <v>1995</v>
      </c>
      <c r="B568" s="1" t="s">
        <v>1359</v>
      </c>
      <c r="C568" s="1">
        <v>3</v>
      </c>
      <c r="D568" s="1" t="s">
        <v>1350</v>
      </c>
      <c r="E568" s="1" t="s">
        <v>1351</v>
      </c>
      <c r="F568" s="1">
        <v>44.343899999999998</v>
      </c>
      <c r="G568" s="1">
        <v>11.716699999999999</v>
      </c>
      <c r="H568" s="1" t="s">
        <v>1352</v>
      </c>
      <c r="I568" s="1" t="s">
        <v>886</v>
      </c>
      <c r="J568" s="81">
        <v>34819</v>
      </c>
      <c r="K568" s="81" t="s">
        <v>1629</v>
      </c>
    </row>
    <row r="569" spans="1:11">
      <c r="A569" s="1">
        <v>1995</v>
      </c>
      <c r="B569" s="1" t="s">
        <v>899</v>
      </c>
      <c r="C569" s="1">
        <v>4</v>
      </c>
      <c r="D569" s="1" t="s">
        <v>1566</v>
      </c>
      <c r="E569" s="1" t="s">
        <v>1567</v>
      </c>
      <c r="F569" s="1">
        <v>41.57</v>
      </c>
      <c r="G569" s="1">
        <v>2.26111</v>
      </c>
      <c r="H569" s="1" t="s">
        <v>1568</v>
      </c>
      <c r="I569" s="1" t="s">
        <v>903</v>
      </c>
      <c r="J569" s="81">
        <v>34833</v>
      </c>
      <c r="K569" s="81" t="s">
        <v>1630</v>
      </c>
    </row>
    <row r="570" spans="1:11">
      <c r="A570" s="1">
        <v>1995</v>
      </c>
      <c r="B570" s="1" t="s">
        <v>856</v>
      </c>
      <c r="C570" s="1">
        <v>5</v>
      </c>
      <c r="D570" s="1" t="s">
        <v>857</v>
      </c>
      <c r="E570" s="1" t="s">
        <v>858</v>
      </c>
      <c r="F570" s="1">
        <v>43.734699999999997</v>
      </c>
      <c r="G570" s="1">
        <v>7.42056</v>
      </c>
      <c r="H570" s="1" t="s">
        <v>859</v>
      </c>
      <c r="I570" s="1" t="s">
        <v>860</v>
      </c>
      <c r="J570" s="81">
        <v>34847</v>
      </c>
      <c r="K570" s="81" t="s">
        <v>1631</v>
      </c>
    </row>
    <row r="571" spans="1:11">
      <c r="A571" s="1">
        <v>1995</v>
      </c>
      <c r="B571" s="1" t="s">
        <v>1115</v>
      </c>
      <c r="C571" s="1">
        <v>6</v>
      </c>
      <c r="D571" s="1" t="s">
        <v>1320</v>
      </c>
      <c r="E571" s="1" t="s">
        <v>1321</v>
      </c>
      <c r="F571" s="1">
        <v>45.5</v>
      </c>
      <c r="G571" s="1">
        <v>-73.522800000000004</v>
      </c>
      <c r="H571" s="1" t="s">
        <v>1322</v>
      </c>
      <c r="I571" s="1" t="s">
        <v>1119</v>
      </c>
      <c r="J571" s="81">
        <v>34861</v>
      </c>
      <c r="K571" s="81" t="s">
        <v>1632</v>
      </c>
    </row>
    <row r="572" spans="1:11">
      <c r="A572" s="1">
        <v>1995</v>
      </c>
      <c r="B572" s="1" t="s">
        <v>877</v>
      </c>
      <c r="C572" s="1">
        <v>7</v>
      </c>
      <c r="D572" s="1" t="s">
        <v>1556</v>
      </c>
      <c r="E572" s="1" t="s">
        <v>1557</v>
      </c>
      <c r="F572" s="1">
        <v>46.864199999999997</v>
      </c>
      <c r="G572" s="1">
        <v>3.1636099999999998</v>
      </c>
      <c r="H572" s="1" t="s">
        <v>1558</v>
      </c>
      <c r="I572" s="1" t="s">
        <v>755</v>
      </c>
      <c r="J572" s="81">
        <v>34882</v>
      </c>
      <c r="K572" s="81" t="s">
        <v>1633</v>
      </c>
    </row>
    <row r="573" spans="1:11">
      <c r="A573" s="1">
        <v>1995</v>
      </c>
      <c r="B573" s="1" t="s">
        <v>850</v>
      </c>
      <c r="C573" s="1">
        <v>8</v>
      </c>
      <c r="D573" s="1" t="s">
        <v>851</v>
      </c>
      <c r="E573" s="1" t="s">
        <v>852</v>
      </c>
      <c r="F573" s="1">
        <v>52.078600000000002</v>
      </c>
      <c r="G573" s="1">
        <v>-1.01694</v>
      </c>
      <c r="H573" s="1" t="s">
        <v>853</v>
      </c>
      <c r="I573" s="1" t="s">
        <v>854</v>
      </c>
      <c r="J573" s="81">
        <v>34896</v>
      </c>
      <c r="K573" s="81" t="s">
        <v>1634</v>
      </c>
    </row>
    <row r="574" spans="1:11">
      <c r="A574" s="1">
        <v>1995</v>
      </c>
      <c r="B574" s="1" t="s">
        <v>893</v>
      </c>
      <c r="C574" s="1">
        <v>9</v>
      </c>
      <c r="D574" s="1" t="s">
        <v>1162</v>
      </c>
      <c r="E574" s="1" t="s">
        <v>1163</v>
      </c>
      <c r="F574" s="1">
        <v>49.327800000000003</v>
      </c>
      <c r="G574" s="1">
        <v>8.5658300000000001</v>
      </c>
      <c r="H574" s="1" t="s">
        <v>1164</v>
      </c>
      <c r="I574" s="1" t="s">
        <v>761</v>
      </c>
      <c r="J574" s="81">
        <v>34910</v>
      </c>
      <c r="K574" s="81" t="s">
        <v>1635</v>
      </c>
    </row>
    <row r="575" spans="1:11">
      <c r="A575" s="1">
        <v>1995</v>
      </c>
      <c r="B575" s="1" t="s">
        <v>1469</v>
      </c>
      <c r="C575" s="1">
        <v>10</v>
      </c>
      <c r="D575" s="1" t="s">
        <v>1470</v>
      </c>
      <c r="E575" s="1" t="s">
        <v>1471</v>
      </c>
      <c r="F575" s="1">
        <v>47.578899999999997</v>
      </c>
      <c r="G575" s="1">
        <v>19.2486</v>
      </c>
      <c r="H575" s="1" t="s">
        <v>1472</v>
      </c>
      <c r="I575" s="1" t="s">
        <v>1473</v>
      </c>
      <c r="J575" s="81">
        <v>34924</v>
      </c>
      <c r="K575" s="81" t="s">
        <v>1636</v>
      </c>
    </row>
    <row r="576" spans="1:11">
      <c r="A576" s="1">
        <v>1995</v>
      </c>
      <c r="B576" s="1" t="s">
        <v>872</v>
      </c>
      <c r="C576" s="1">
        <v>11</v>
      </c>
      <c r="D576" s="1" t="s">
        <v>873</v>
      </c>
      <c r="E576" s="1" t="s">
        <v>874</v>
      </c>
      <c r="F576" s="1">
        <v>50.437199999999997</v>
      </c>
      <c r="G576" s="1">
        <v>5.9713900000000004</v>
      </c>
      <c r="H576" s="1" t="s">
        <v>875</v>
      </c>
      <c r="I576" s="1" t="s">
        <v>244</v>
      </c>
      <c r="J576" s="81">
        <v>34938</v>
      </c>
      <c r="K576" s="81" t="s">
        <v>1637</v>
      </c>
    </row>
    <row r="577" spans="1:11">
      <c r="A577" s="1">
        <v>1995</v>
      </c>
      <c r="B577" s="1" t="s">
        <v>882</v>
      </c>
      <c r="C577" s="1">
        <v>12</v>
      </c>
      <c r="D577" s="1" t="s">
        <v>883</v>
      </c>
      <c r="E577" s="1" t="s">
        <v>884</v>
      </c>
      <c r="F577" s="1">
        <v>45.615600000000001</v>
      </c>
      <c r="G577" s="1">
        <v>9.28111</v>
      </c>
      <c r="H577" s="1" t="s">
        <v>885</v>
      </c>
      <c r="I577" s="1" t="s">
        <v>886</v>
      </c>
      <c r="J577" s="81">
        <v>34952</v>
      </c>
      <c r="K577" s="81" t="s">
        <v>1638</v>
      </c>
    </row>
    <row r="578" spans="1:11">
      <c r="A578" s="1">
        <v>1995</v>
      </c>
      <c r="B578" s="1" t="s">
        <v>980</v>
      </c>
      <c r="C578" s="1">
        <v>13</v>
      </c>
      <c r="D578" s="1" t="s">
        <v>1431</v>
      </c>
      <c r="E578" s="1" t="s">
        <v>1432</v>
      </c>
      <c r="F578" s="1">
        <v>38.750599999999999</v>
      </c>
      <c r="G578" s="1">
        <v>-9.3941700000000008</v>
      </c>
      <c r="H578" s="1" t="s">
        <v>1433</v>
      </c>
      <c r="I578" s="1" t="s">
        <v>984</v>
      </c>
      <c r="J578" s="81">
        <v>34966</v>
      </c>
      <c r="K578" s="81" t="s">
        <v>1639</v>
      </c>
    </row>
    <row r="579" spans="1:11">
      <c r="A579" s="1">
        <v>1995</v>
      </c>
      <c r="B579" s="1" t="s">
        <v>1409</v>
      </c>
      <c r="C579" s="1">
        <v>14</v>
      </c>
      <c r="D579" s="1" t="s">
        <v>894</v>
      </c>
      <c r="E579" s="1" t="s">
        <v>895</v>
      </c>
      <c r="F579" s="1">
        <v>50.335599999999999</v>
      </c>
      <c r="G579" s="1">
        <v>6.9474999999999998</v>
      </c>
      <c r="H579" s="1" t="s">
        <v>896</v>
      </c>
      <c r="I579" s="1" t="s">
        <v>761</v>
      </c>
      <c r="J579" s="81">
        <v>34973</v>
      </c>
      <c r="K579" s="81" t="s">
        <v>1640</v>
      </c>
    </row>
    <row r="580" spans="1:11">
      <c r="A580" s="1">
        <v>1995</v>
      </c>
      <c r="B580" s="1" t="s">
        <v>1608</v>
      </c>
      <c r="C580" s="1">
        <v>15</v>
      </c>
      <c r="D580" s="1" t="s">
        <v>1609</v>
      </c>
      <c r="E580" s="1" t="s">
        <v>1610</v>
      </c>
      <c r="F580" s="1">
        <v>34.914999999999999</v>
      </c>
      <c r="G580" s="1">
        <v>134.221</v>
      </c>
      <c r="H580" s="1" t="s">
        <v>1611</v>
      </c>
      <c r="I580" s="1" t="s">
        <v>375</v>
      </c>
      <c r="J580" s="81">
        <v>34994</v>
      </c>
      <c r="K580" s="81" t="s">
        <v>1641</v>
      </c>
    </row>
    <row r="581" spans="1:11">
      <c r="A581" s="1">
        <v>1995</v>
      </c>
      <c r="B581" s="1" t="s">
        <v>1280</v>
      </c>
      <c r="C581" s="1">
        <v>16</v>
      </c>
      <c r="D581" s="1" t="s">
        <v>1494</v>
      </c>
      <c r="E581" s="1" t="s">
        <v>1495</v>
      </c>
      <c r="F581" s="1">
        <v>34.8431</v>
      </c>
      <c r="G581" s="1">
        <v>136.541</v>
      </c>
      <c r="H581" s="1" t="s">
        <v>1496</v>
      </c>
      <c r="I581" s="1" t="s">
        <v>375</v>
      </c>
      <c r="J581" s="81">
        <v>35001</v>
      </c>
      <c r="K581" s="81" t="s">
        <v>1642</v>
      </c>
    </row>
    <row r="582" spans="1:11">
      <c r="A582" s="1">
        <v>1995</v>
      </c>
      <c r="B582" s="1" t="s">
        <v>1450</v>
      </c>
      <c r="C582" s="1">
        <v>17</v>
      </c>
      <c r="D582" s="1" t="s">
        <v>1451</v>
      </c>
      <c r="E582" s="1" t="s">
        <v>1452</v>
      </c>
      <c r="F582" s="1">
        <v>-34.927199999999999</v>
      </c>
      <c r="G582" s="1">
        <v>138.61699999999999</v>
      </c>
      <c r="H582" s="1" t="s">
        <v>1453</v>
      </c>
      <c r="I582" s="1" t="s">
        <v>1454</v>
      </c>
      <c r="J582" s="81">
        <v>35015</v>
      </c>
      <c r="K582" s="81" t="s">
        <v>1643</v>
      </c>
    </row>
    <row r="583" spans="1:11">
      <c r="A583" s="1">
        <v>1996</v>
      </c>
      <c r="B583" s="1" t="s">
        <v>1450</v>
      </c>
      <c r="C583" s="1">
        <v>1</v>
      </c>
      <c r="D583" s="1" t="s">
        <v>1644</v>
      </c>
      <c r="E583" s="1" t="s">
        <v>1645</v>
      </c>
      <c r="F583" s="1">
        <v>-37.849699999999999</v>
      </c>
      <c r="G583" s="1">
        <v>144.96799999999999</v>
      </c>
      <c r="H583" s="1" t="s">
        <v>1646</v>
      </c>
      <c r="I583" s="1" t="s">
        <v>1454</v>
      </c>
      <c r="J583" s="81">
        <v>35134</v>
      </c>
      <c r="K583" s="81" t="s">
        <v>1647</v>
      </c>
    </row>
    <row r="584" spans="1:11">
      <c r="A584" s="1">
        <v>1996</v>
      </c>
      <c r="B584" s="1" t="s">
        <v>1203</v>
      </c>
      <c r="C584" s="1">
        <v>2</v>
      </c>
      <c r="D584" s="1" t="s">
        <v>1204</v>
      </c>
      <c r="E584" s="1" t="s">
        <v>1205</v>
      </c>
      <c r="F584" s="1">
        <v>-23.703600000000002</v>
      </c>
      <c r="G584" s="1">
        <v>-46.6997</v>
      </c>
      <c r="H584" s="1" t="s">
        <v>1206</v>
      </c>
      <c r="I584" s="1" t="s">
        <v>1207</v>
      </c>
      <c r="J584" s="81">
        <v>35155</v>
      </c>
      <c r="K584" s="81" t="s">
        <v>1648</v>
      </c>
    </row>
    <row r="585" spans="1:11">
      <c r="A585" s="1">
        <v>1996</v>
      </c>
      <c r="B585" s="1" t="s">
        <v>921</v>
      </c>
      <c r="C585" s="1">
        <v>3</v>
      </c>
      <c r="D585" s="1" t="s">
        <v>922</v>
      </c>
      <c r="E585" s="1" t="s">
        <v>923</v>
      </c>
      <c r="F585" s="1">
        <v>-34.694299999999998</v>
      </c>
      <c r="G585" s="1">
        <v>-58.459299999999999</v>
      </c>
      <c r="H585" s="1" t="s">
        <v>253</v>
      </c>
      <c r="I585" s="1" t="s">
        <v>252</v>
      </c>
      <c r="J585" s="81">
        <v>35162</v>
      </c>
      <c r="K585" s="81" t="s">
        <v>1649</v>
      </c>
    </row>
    <row r="586" spans="1:11">
      <c r="A586" s="1">
        <v>1996</v>
      </c>
      <c r="B586" s="1" t="s">
        <v>1409</v>
      </c>
      <c r="C586" s="1">
        <v>4</v>
      </c>
      <c r="D586" s="1" t="s">
        <v>894</v>
      </c>
      <c r="E586" s="1" t="s">
        <v>895</v>
      </c>
      <c r="F586" s="1">
        <v>50.335599999999999</v>
      </c>
      <c r="G586" s="1">
        <v>6.9474999999999998</v>
      </c>
      <c r="H586" s="1" t="s">
        <v>896</v>
      </c>
      <c r="I586" s="1" t="s">
        <v>761</v>
      </c>
      <c r="J586" s="81">
        <v>35183</v>
      </c>
      <c r="K586" s="81" t="s">
        <v>1650</v>
      </c>
    </row>
    <row r="587" spans="1:11">
      <c r="A587" s="1">
        <v>1996</v>
      </c>
      <c r="B587" s="1" t="s">
        <v>1359</v>
      </c>
      <c r="C587" s="1">
        <v>5</v>
      </c>
      <c r="D587" s="1" t="s">
        <v>1350</v>
      </c>
      <c r="E587" s="1" t="s">
        <v>1351</v>
      </c>
      <c r="F587" s="1">
        <v>44.343899999999998</v>
      </c>
      <c r="G587" s="1">
        <v>11.716699999999999</v>
      </c>
      <c r="H587" s="1" t="s">
        <v>1352</v>
      </c>
      <c r="I587" s="1" t="s">
        <v>886</v>
      </c>
      <c r="J587" s="81">
        <v>35190</v>
      </c>
      <c r="K587" s="81" t="s">
        <v>1651</v>
      </c>
    </row>
    <row r="588" spans="1:11">
      <c r="A588" s="1">
        <v>1996</v>
      </c>
      <c r="B588" s="1" t="s">
        <v>856</v>
      </c>
      <c r="C588" s="1">
        <v>6</v>
      </c>
      <c r="D588" s="1" t="s">
        <v>857</v>
      </c>
      <c r="E588" s="1" t="s">
        <v>858</v>
      </c>
      <c r="F588" s="1">
        <v>43.734699999999997</v>
      </c>
      <c r="G588" s="1">
        <v>7.42056</v>
      </c>
      <c r="H588" s="1" t="s">
        <v>859</v>
      </c>
      <c r="I588" s="1" t="s">
        <v>860</v>
      </c>
      <c r="J588" s="81">
        <v>35204</v>
      </c>
      <c r="K588" s="81" t="s">
        <v>1652</v>
      </c>
    </row>
    <row r="589" spans="1:11">
      <c r="A589" s="1">
        <v>1996</v>
      </c>
      <c r="B589" s="1" t="s">
        <v>899</v>
      </c>
      <c r="C589" s="1">
        <v>7</v>
      </c>
      <c r="D589" s="1" t="s">
        <v>1566</v>
      </c>
      <c r="E589" s="1" t="s">
        <v>1567</v>
      </c>
      <c r="F589" s="1">
        <v>41.57</v>
      </c>
      <c r="G589" s="1">
        <v>2.26111</v>
      </c>
      <c r="H589" s="1" t="s">
        <v>1568</v>
      </c>
      <c r="I589" s="1" t="s">
        <v>903</v>
      </c>
      <c r="J589" s="81">
        <v>35218</v>
      </c>
      <c r="K589" s="81" t="s">
        <v>1653</v>
      </c>
    </row>
    <row r="590" spans="1:11">
      <c r="A590" s="1">
        <v>1996</v>
      </c>
      <c r="B590" s="1" t="s">
        <v>1115</v>
      </c>
      <c r="C590" s="1">
        <v>8</v>
      </c>
      <c r="D590" s="1" t="s">
        <v>1320</v>
      </c>
      <c r="E590" s="1" t="s">
        <v>1321</v>
      </c>
      <c r="F590" s="1">
        <v>45.5</v>
      </c>
      <c r="G590" s="1">
        <v>-73.522800000000004</v>
      </c>
      <c r="H590" s="1" t="s">
        <v>1322</v>
      </c>
      <c r="I590" s="1" t="s">
        <v>1119</v>
      </c>
      <c r="J590" s="81">
        <v>35232</v>
      </c>
      <c r="K590" s="81" t="s">
        <v>1654</v>
      </c>
    </row>
    <row r="591" spans="1:11">
      <c r="A591" s="1">
        <v>1996</v>
      </c>
      <c r="B591" s="1" t="s">
        <v>877</v>
      </c>
      <c r="C591" s="1">
        <v>9</v>
      </c>
      <c r="D591" s="1" t="s">
        <v>1556</v>
      </c>
      <c r="E591" s="1" t="s">
        <v>1557</v>
      </c>
      <c r="F591" s="1">
        <v>46.864199999999997</v>
      </c>
      <c r="G591" s="1">
        <v>3.1636099999999998</v>
      </c>
      <c r="H591" s="1" t="s">
        <v>1558</v>
      </c>
      <c r="I591" s="1" t="s">
        <v>755</v>
      </c>
      <c r="J591" s="81">
        <v>35246</v>
      </c>
      <c r="K591" s="81" t="s">
        <v>1655</v>
      </c>
    </row>
    <row r="592" spans="1:11">
      <c r="A592" s="1">
        <v>1996</v>
      </c>
      <c r="B592" s="1" t="s">
        <v>850</v>
      </c>
      <c r="C592" s="1">
        <v>10</v>
      </c>
      <c r="D592" s="1" t="s">
        <v>851</v>
      </c>
      <c r="E592" s="1" t="s">
        <v>852</v>
      </c>
      <c r="F592" s="1">
        <v>52.078600000000002</v>
      </c>
      <c r="G592" s="1">
        <v>-1.01694</v>
      </c>
      <c r="H592" s="1" t="s">
        <v>853</v>
      </c>
      <c r="I592" s="1" t="s">
        <v>854</v>
      </c>
      <c r="J592" s="81">
        <v>35260</v>
      </c>
      <c r="K592" s="81" t="s">
        <v>1656</v>
      </c>
    </row>
    <row r="593" spans="1:11">
      <c r="A593" s="1">
        <v>1996</v>
      </c>
      <c r="B593" s="1" t="s">
        <v>893</v>
      </c>
      <c r="C593" s="1">
        <v>11</v>
      </c>
      <c r="D593" s="1" t="s">
        <v>1162</v>
      </c>
      <c r="E593" s="1" t="s">
        <v>1163</v>
      </c>
      <c r="F593" s="1">
        <v>49.327800000000003</v>
      </c>
      <c r="G593" s="1">
        <v>8.5658300000000001</v>
      </c>
      <c r="H593" s="1" t="s">
        <v>1164</v>
      </c>
      <c r="I593" s="1" t="s">
        <v>761</v>
      </c>
      <c r="J593" s="81">
        <v>35274</v>
      </c>
      <c r="K593" s="81" t="s">
        <v>1657</v>
      </c>
    </row>
    <row r="594" spans="1:11">
      <c r="A594" s="1">
        <v>1996</v>
      </c>
      <c r="B594" s="1" t="s">
        <v>1469</v>
      </c>
      <c r="C594" s="1">
        <v>12</v>
      </c>
      <c r="D594" s="1" t="s">
        <v>1470</v>
      </c>
      <c r="E594" s="1" t="s">
        <v>1471</v>
      </c>
      <c r="F594" s="1">
        <v>47.578899999999997</v>
      </c>
      <c r="G594" s="1">
        <v>19.2486</v>
      </c>
      <c r="H594" s="1" t="s">
        <v>1472</v>
      </c>
      <c r="I594" s="1" t="s">
        <v>1473</v>
      </c>
      <c r="J594" s="81">
        <v>35288</v>
      </c>
      <c r="K594" s="81" t="s">
        <v>1658</v>
      </c>
    </row>
    <row r="595" spans="1:11">
      <c r="A595" s="1">
        <v>1996</v>
      </c>
      <c r="B595" s="1" t="s">
        <v>872</v>
      </c>
      <c r="C595" s="1">
        <v>13</v>
      </c>
      <c r="D595" s="1" t="s">
        <v>873</v>
      </c>
      <c r="E595" s="1" t="s">
        <v>874</v>
      </c>
      <c r="F595" s="1">
        <v>50.437199999999997</v>
      </c>
      <c r="G595" s="1">
        <v>5.9713900000000004</v>
      </c>
      <c r="H595" s="1" t="s">
        <v>875</v>
      </c>
      <c r="I595" s="1" t="s">
        <v>244</v>
      </c>
      <c r="J595" s="81">
        <v>35302</v>
      </c>
      <c r="K595" s="81" t="s">
        <v>1659</v>
      </c>
    </row>
    <row r="596" spans="1:11">
      <c r="A596" s="1">
        <v>1996</v>
      </c>
      <c r="B596" s="1" t="s">
        <v>882</v>
      </c>
      <c r="C596" s="1">
        <v>14</v>
      </c>
      <c r="D596" s="1" t="s">
        <v>883</v>
      </c>
      <c r="E596" s="1" t="s">
        <v>884</v>
      </c>
      <c r="F596" s="1">
        <v>45.615600000000001</v>
      </c>
      <c r="G596" s="1">
        <v>9.28111</v>
      </c>
      <c r="H596" s="1" t="s">
        <v>885</v>
      </c>
      <c r="I596" s="1" t="s">
        <v>886</v>
      </c>
      <c r="J596" s="81">
        <v>35316</v>
      </c>
      <c r="K596" s="81" t="s">
        <v>1660</v>
      </c>
    </row>
    <row r="597" spans="1:11">
      <c r="A597" s="1">
        <v>1996</v>
      </c>
      <c r="B597" s="1" t="s">
        <v>980</v>
      </c>
      <c r="C597" s="1">
        <v>15</v>
      </c>
      <c r="D597" s="1" t="s">
        <v>1431</v>
      </c>
      <c r="E597" s="1" t="s">
        <v>1432</v>
      </c>
      <c r="F597" s="1">
        <v>38.750599999999999</v>
      </c>
      <c r="G597" s="1">
        <v>-9.3941700000000008</v>
      </c>
      <c r="H597" s="1" t="s">
        <v>1433</v>
      </c>
      <c r="I597" s="1" t="s">
        <v>984</v>
      </c>
      <c r="J597" s="81">
        <v>35330</v>
      </c>
      <c r="K597" s="81" t="s">
        <v>1661</v>
      </c>
    </row>
    <row r="598" spans="1:11">
      <c r="A598" s="1">
        <v>1996</v>
      </c>
      <c r="B598" s="1" t="s">
        <v>1280</v>
      </c>
      <c r="C598" s="1">
        <v>16</v>
      </c>
      <c r="D598" s="1" t="s">
        <v>1494</v>
      </c>
      <c r="E598" s="1" t="s">
        <v>1495</v>
      </c>
      <c r="F598" s="1">
        <v>34.8431</v>
      </c>
      <c r="G598" s="1">
        <v>136.541</v>
      </c>
      <c r="H598" s="1" t="s">
        <v>1496</v>
      </c>
      <c r="I598" s="1" t="s">
        <v>375</v>
      </c>
      <c r="J598" s="81">
        <v>35351</v>
      </c>
      <c r="K598" s="81" t="s">
        <v>1662</v>
      </c>
    </row>
    <row r="599" spans="1:11">
      <c r="A599" s="1">
        <v>1997</v>
      </c>
      <c r="B599" s="1" t="s">
        <v>1450</v>
      </c>
      <c r="C599" s="1">
        <v>1</v>
      </c>
      <c r="D599" s="1" t="s">
        <v>1644</v>
      </c>
      <c r="E599" s="1" t="s">
        <v>1645</v>
      </c>
      <c r="F599" s="1">
        <v>-37.849699999999999</v>
      </c>
      <c r="G599" s="1">
        <v>144.96799999999999</v>
      </c>
      <c r="H599" s="1" t="s">
        <v>1646</v>
      </c>
      <c r="I599" s="1" t="s">
        <v>1454</v>
      </c>
      <c r="J599" s="81">
        <v>35498</v>
      </c>
      <c r="K599" s="81" t="s">
        <v>1663</v>
      </c>
    </row>
    <row r="600" spans="1:11">
      <c r="A600" s="1">
        <v>1997</v>
      </c>
      <c r="B600" s="1" t="s">
        <v>1203</v>
      </c>
      <c r="C600" s="1">
        <v>2</v>
      </c>
      <c r="D600" s="1" t="s">
        <v>1204</v>
      </c>
      <c r="E600" s="1" t="s">
        <v>1205</v>
      </c>
      <c r="F600" s="1">
        <v>-23.703600000000002</v>
      </c>
      <c r="G600" s="1">
        <v>-46.6997</v>
      </c>
      <c r="H600" s="1" t="s">
        <v>1206</v>
      </c>
      <c r="I600" s="1" t="s">
        <v>1207</v>
      </c>
      <c r="J600" s="81">
        <v>35519</v>
      </c>
      <c r="K600" s="81" t="s">
        <v>1664</v>
      </c>
    </row>
    <row r="601" spans="1:11">
      <c r="A601" s="1">
        <v>1997</v>
      </c>
      <c r="B601" s="1" t="s">
        <v>921</v>
      </c>
      <c r="C601" s="1">
        <v>3</v>
      </c>
      <c r="D601" s="1" t="s">
        <v>922</v>
      </c>
      <c r="E601" s="1" t="s">
        <v>923</v>
      </c>
      <c r="F601" s="1">
        <v>-34.694299999999998</v>
      </c>
      <c r="G601" s="1">
        <v>-58.459299999999999</v>
      </c>
      <c r="H601" s="1" t="s">
        <v>253</v>
      </c>
      <c r="I601" s="1" t="s">
        <v>252</v>
      </c>
      <c r="J601" s="81">
        <v>35533</v>
      </c>
      <c r="K601" s="81" t="s">
        <v>1665</v>
      </c>
    </row>
    <row r="602" spans="1:11">
      <c r="A602" s="1">
        <v>1997</v>
      </c>
      <c r="B602" s="1" t="s">
        <v>1359</v>
      </c>
      <c r="C602" s="1">
        <v>4</v>
      </c>
      <c r="D602" s="1" t="s">
        <v>1350</v>
      </c>
      <c r="E602" s="1" t="s">
        <v>1351</v>
      </c>
      <c r="F602" s="1">
        <v>44.343899999999998</v>
      </c>
      <c r="G602" s="1">
        <v>11.716699999999999</v>
      </c>
      <c r="H602" s="1" t="s">
        <v>1352</v>
      </c>
      <c r="I602" s="1" t="s">
        <v>886</v>
      </c>
      <c r="J602" s="81">
        <v>35547</v>
      </c>
      <c r="K602" s="81" t="s">
        <v>1666</v>
      </c>
    </row>
    <row r="603" spans="1:11">
      <c r="A603" s="1">
        <v>1997</v>
      </c>
      <c r="B603" s="1" t="s">
        <v>856</v>
      </c>
      <c r="C603" s="1">
        <v>5</v>
      </c>
      <c r="D603" s="1" t="s">
        <v>857</v>
      </c>
      <c r="E603" s="1" t="s">
        <v>858</v>
      </c>
      <c r="F603" s="1">
        <v>43.734699999999997</v>
      </c>
      <c r="G603" s="1">
        <v>7.42056</v>
      </c>
      <c r="H603" s="1" t="s">
        <v>859</v>
      </c>
      <c r="I603" s="1" t="s">
        <v>860</v>
      </c>
      <c r="J603" s="81">
        <v>35561</v>
      </c>
      <c r="K603" s="81" t="s">
        <v>1667</v>
      </c>
    </row>
    <row r="604" spans="1:11">
      <c r="A604" s="1">
        <v>1997</v>
      </c>
      <c r="B604" s="1" t="s">
        <v>899</v>
      </c>
      <c r="C604" s="1">
        <v>6</v>
      </c>
      <c r="D604" s="1" t="s">
        <v>1566</v>
      </c>
      <c r="E604" s="1" t="s">
        <v>1567</v>
      </c>
      <c r="F604" s="1">
        <v>41.57</v>
      </c>
      <c r="G604" s="1">
        <v>2.26111</v>
      </c>
      <c r="H604" s="1" t="s">
        <v>1568</v>
      </c>
      <c r="I604" s="1" t="s">
        <v>903</v>
      </c>
      <c r="J604" s="81">
        <v>35575</v>
      </c>
      <c r="K604" s="81" t="s">
        <v>1668</v>
      </c>
    </row>
    <row r="605" spans="1:11">
      <c r="A605" s="1">
        <v>1997</v>
      </c>
      <c r="B605" s="1" t="s">
        <v>1115</v>
      </c>
      <c r="C605" s="1">
        <v>7</v>
      </c>
      <c r="D605" s="1" t="s">
        <v>1320</v>
      </c>
      <c r="E605" s="1" t="s">
        <v>1321</v>
      </c>
      <c r="F605" s="1">
        <v>45.5</v>
      </c>
      <c r="G605" s="1">
        <v>-73.522800000000004</v>
      </c>
      <c r="H605" s="1" t="s">
        <v>1322</v>
      </c>
      <c r="I605" s="1" t="s">
        <v>1119</v>
      </c>
      <c r="J605" s="81">
        <v>35596</v>
      </c>
      <c r="K605" s="81" t="s">
        <v>1669</v>
      </c>
    </row>
    <row r="606" spans="1:11">
      <c r="A606" s="1">
        <v>1997</v>
      </c>
      <c r="B606" s="1" t="s">
        <v>877</v>
      </c>
      <c r="C606" s="1">
        <v>8</v>
      </c>
      <c r="D606" s="1" t="s">
        <v>1556</v>
      </c>
      <c r="E606" s="1" t="s">
        <v>1557</v>
      </c>
      <c r="F606" s="1">
        <v>46.864199999999997</v>
      </c>
      <c r="G606" s="1">
        <v>3.1636099999999998</v>
      </c>
      <c r="H606" s="1" t="s">
        <v>1558</v>
      </c>
      <c r="I606" s="1" t="s">
        <v>755</v>
      </c>
      <c r="J606" s="81">
        <v>35610</v>
      </c>
      <c r="K606" s="81" t="s">
        <v>1670</v>
      </c>
    </row>
    <row r="607" spans="1:11">
      <c r="A607" s="1">
        <v>1997</v>
      </c>
      <c r="B607" s="1" t="s">
        <v>850</v>
      </c>
      <c r="C607" s="1">
        <v>9</v>
      </c>
      <c r="D607" s="1" t="s">
        <v>851</v>
      </c>
      <c r="E607" s="1" t="s">
        <v>852</v>
      </c>
      <c r="F607" s="1">
        <v>52.078600000000002</v>
      </c>
      <c r="G607" s="1">
        <v>-1.01694</v>
      </c>
      <c r="H607" s="1" t="s">
        <v>853</v>
      </c>
      <c r="I607" s="1" t="s">
        <v>854</v>
      </c>
      <c r="J607" s="81">
        <v>35624</v>
      </c>
      <c r="K607" s="81" t="s">
        <v>1671</v>
      </c>
    </row>
    <row r="608" spans="1:11">
      <c r="A608" s="1">
        <v>1997</v>
      </c>
      <c r="B608" s="1" t="s">
        <v>893</v>
      </c>
      <c r="C608" s="1">
        <v>10</v>
      </c>
      <c r="D608" s="1" t="s">
        <v>1162</v>
      </c>
      <c r="E608" s="1" t="s">
        <v>1163</v>
      </c>
      <c r="F608" s="1">
        <v>49.327800000000003</v>
      </c>
      <c r="G608" s="1">
        <v>8.5658300000000001</v>
      </c>
      <c r="H608" s="1" t="s">
        <v>1164</v>
      </c>
      <c r="I608" s="1" t="s">
        <v>761</v>
      </c>
      <c r="J608" s="81">
        <v>35638</v>
      </c>
      <c r="K608" s="81" t="s">
        <v>1672</v>
      </c>
    </row>
    <row r="609" spans="1:11">
      <c r="A609" s="1">
        <v>1997</v>
      </c>
      <c r="B609" s="1" t="s">
        <v>1469</v>
      </c>
      <c r="C609" s="1">
        <v>11</v>
      </c>
      <c r="D609" s="1" t="s">
        <v>1470</v>
      </c>
      <c r="E609" s="1" t="s">
        <v>1471</v>
      </c>
      <c r="F609" s="1">
        <v>47.578899999999997</v>
      </c>
      <c r="G609" s="1">
        <v>19.2486</v>
      </c>
      <c r="H609" s="1" t="s">
        <v>1472</v>
      </c>
      <c r="I609" s="1" t="s">
        <v>1473</v>
      </c>
      <c r="J609" s="81">
        <v>35652</v>
      </c>
      <c r="K609" s="81" t="s">
        <v>1673</v>
      </c>
    </row>
    <row r="610" spans="1:11">
      <c r="A610" s="1">
        <v>1997</v>
      </c>
      <c r="B610" s="1" t="s">
        <v>872</v>
      </c>
      <c r="C610" s="1">
        <v>12</v>
      </c>
      <c r="D610" s="1" t="s">
        <v>873</v>
      </c>
      <c r="E610" s="1" t="s">
        <v>874</v>
      </c>
      <c r="F610" s="1">
        <v>50.437199999999997</v>
      </c>
      <c r="G610" s="1">
        <v>5.9713900000000004</v>
      </c>
      <c r="H610" s="1" t="s">
        <v>875</v>
      </c>
      <c r="I610" s="1" t="s">
        <v>244</v>
      </c>
      <c r="J610" s="81">
        <v>35666</v>
      </c>
      <c r="K610" s="81" t="s">
        <v>1674</v>
      </c>
    </row>
    <row r="611" spans="1:11">
      <c r="A611" s="1">
        <v>1997</v>
      </c>
      <c r="B611" s="1" t="s">
        <v>882</v>
      </c>
      <c r="C611" s="1">
        <v>13</v>
      </c>
      <c r="D611" s="1" t="s">
        <v>883</v>
      </c>
      <c r="E611" s="1" t="s">
        <v>884</v>
      </c>
      <c r="F611" s="1">
        <v>45.615600000000001</v>
      </c>
      <c r="G611" s="1">
        <v>9.28111</v>
      </c>
      <c r="H611" s="1" t="s">
        <v>885</v>
      </c>
      <c r="I611" s="1" t="s">
        <v>886</v>
      </c>
      <c r="J611" s="81">
        <v>35680</v>
      </c>
      <c r="K611" s="81" t="s">
        <v>1675</v>
      </c>
    </row>
    <row r="612" spans="1:11">
      <c r="A612" s="1">
        <v>1997</v>
      </c>
      <c r="B612" s="1" t="s">
        <v>1072</v>
      </c>
      <c r="C612" s="1">
        <v>14</v>
      </c>
      <c r="D612" s="1" t="s">
        <v>1166</v>
      </c>
      <c r="E612" s="1" t="s">
        <v>1167</v>
      </c>
      <c r="F612" s="1">
        <v>47.219700000000003</v>
      </c>
      <c r="G612" s="1">
        <v>14.764699999999999</v>
      </c>
      <c r="H612" s="1" t="s">
        <v>1168</v>
      </c>
      <c r="I612" s="1" t="s">
        <v>1076</v>
      </c>
      <c r="J612" s="81">
        <v>35694</v>
      </c>
      <c r="K612" s="81" t="s">
        <v>1676</v>
      </c>
    </row>
    <row r="613" spans="1:11">
      <c r="A613" s="1">
        <v>1997</v>
      </c>
      <c r="B613" s="1" t="s">
        <v>1677</v>
      </c>
      <c r="C613" s="1">
        <v>15</v>
      </c>
      <c r="D613" s="1" t="s">
        <v>894</v>
      </c>
      <c r="E613" s="1" t="s">
        <v>895</v>
      </c>
      <c r="F613" s="1">
        <v>50.335599999999999</v>
      </c>
      <c r="G613" s="1">
        <v>6.9474999999999998</v>
      </c>
      <c r="H613" s="1" t="s">
        <v>896</v>
      </c>
      <c r="I613" s="1" t="s">
        <v>761</v>
      </c>
      <c r="J613" s="81">
        <v>35701</v>
      </c>
      <c r="K613" s="81" t="s">
        <v>1678</v>
      </c>
    </row>
    <row r="614" spans="1:11">
      <c r="A614" s="1">
        <v>1997</v>
      </c>
      <c r="B614" s="1" t="s">
        <v>1280</v>
      </c>
      <c r="C614" s="1">
        <v>16</v>
      </c>
      <c r="D614" s="1" t="s">
        <v>1494</v>
      </c>
      <c r="E614" s="1" t="s">
        <v>1495</v>
      </c>
      <c r="F614" s="1">
        <v>34.8431</v>
      </c>
      <c r="G614" s="1">
        <v>136.541</v>
      </c>
      <c r="H614" s="1" t="s">
        <v>1496</v>
      </c>
      <c r="I614" s="1" t="s">
        <v>375</v>
      </c>
      <c r="J614" s="81">
        <v>35715</v>
      </c>
      <c r="K614" s="81" t="s">
        <v>1679</v>
      </c>
    </row>
    <row r="615" spans="1:11">
      <c r="A615" s="1">
        <v>1997</v>
      </c>
      <c r="B615" s="1" t="s">
        <v>1409</v>
      </c>
      <c r="C615" s="1">
        <v>17</v>
      </c>
      <c r="D615" s="1" t="s">
        <v>1457</v>
      </c>
      <c r="E615" s="1" t="s">
        <v>1458</v>
      </c>
      <c r="F615" s="1">
        <v>36.708300000000001</v>
      </c>
      <c r="G615" s="1">
        <v>-6.0341699999999996</v>
      </c>
      <c r="H615" s="1" t="s">
        <v>1459</v>
      </c>
      <c r="I615" s="1" t="s">
        <v>903</v>
      </c>
      <c r="J615" s="81">
        <v>35729</v>
      </c>
      <c r="K615" s="81" t="s">
        <v>1680</v>
      </c>
    </row>
    <row r="616" spans="1:11">
      <c r="A616" s="1">
        <v>1998</v>
      </c>
      <c r="B616" s="1" t="s">
        <v>1450</v>
      </c>
      <c r="C616" s="1">
        <v>1</v>
      </c>
      <c r="D616" s="1" t="s">
        <v>1644</v>
      </c>
      <c r="E616" s="1" t="s">
        <v>1645</v>
      </c>
      <c r="F616" s="1">
        <v>-37.849699999999999</v>
      </c>
      <c r="G616" s="1">
        <v>144.96799999999999</v>
      </c>
      <c r="H616" s="1" t="s">
        <v>1646</v>
      </c>
      <c r="I616" s="1" t="s">
        <v>1454</v>
      </c>
      <c r="J616" s="81">
        <v>35862</v>
      </c>
      <c r="K616" s="81" t="s">
        <v>1681</v>
      </c>
    </row>
    <row r="617" spans="1:11">
      <c r="A617" s="1">
        <v>1998</v>
      </c>
      <c r="B617" s="1" t="s">
        <v>1203</v>
      </c>
      <c r="C617" s="1">
        <v>2</v>
      </c>
      <c r="D617" s="1" t="s">
        <v>1204</v>
      </c>
      <c r="E617" s="1" t="s">
        <v>1205</v>
      </c>
      <c r="F617" s="1">
        <v>-23.703600000000002</v>
      </c>
      <c r="G617" s="1">
        <v>-46.6997</v>
      </c>
      <c r="H617" s="1" t="s">
        <v>1206</v>
      </c>
      <c r="I617" s="1" t="s">
        <v>1207</v>
      </c>
      <c r="J617" s="81">
        <v>35883</v>
      </c>
      <c r="K617" s="81" t="s">
        <v>1682</v>
      </c>
    </row>
    <row r="618" spans="1:11">
      <c r="A618" s="1">
        <v>1998</v>
      </c>
      <c r="B618" s="1" t="s">
        <v>921</v>
      </c>
      <c r="C618" s="1">
        <v>3</v>
      </c>
      <c r="D618" s="1" t="s">
        <v>922</v>
      </c>
      <c r="E618" s="1" t="s">
        <v>923</v>
      </c>
      <c r="F618" s="1">
        <v>-34.694299999999998</v>
      </c>
      <c r="G618" s="1">
        <v>-58.459299999999999</v>
      </c>
      <c r="H618" s="1" t="s">
        <v>253</v>
      </c>
      <c r="I618" s="1" t="s">
        <v>252</v>
      </c>
      <c r="J618" s="81">
        <v>35897</v>
      </c>
      <c r="K618" s="81" t="s">
        <v>1683</v>
      </c>
    </row>
    <row r="619" spans="1:11">
      <c r="A619" s="1">
        <v>1998</v>
      </c>
      <c r="B619" s="1" t="s">
        <v>1359</v>
      </c>
      <c r="C619" s="1">
        <v>4</v>
      </c>
      <c r="D619" s="1" t="s">
        <v>1350</v>
      </c>
      <c r="E619" s="1" t="s">
        <v>1351</v>
      </c>
      <c r="F619" s="1">
        <v>44.343899999999998</v>
      </c>
      <c r="G619" s="1">
        <v>11.716699999999999</v>
      </c>
      <c r="H619" s="1" t="s">
        <v>1352</v>
      </c>
      <c r="I619" s="1" t="s">
        <v>886</v>
      </c>
      <c r="J619" s="81">
        <v>35911</v>
      </c>
      <c r="K619" s="81" t="s">
        <v>1684</v>
      </c>
    </row>
    <row r="620" spans="1:11">
      <c r="A620" s="1">
        <v>1998</v>
      </c>
      <c r="B620" s="1" t="s">
        <v>899</v>
      </c>
      <c r="C620" s="1">
        <v>5</v>
      </c>
      <c r="D620" s="1" t="s">
        <v>1566</v>
      </c>
      <c r="E620" s="1" t="s">
        <v>1567</v>
      </c>
      <c r="F620" s="1">
        <v>41.57</v>
      </c>
      <c r="G620" s="1">
        <v>2.26111</v>
      </c>
      <c r="H620" s="1" t="s">
        <v>1568</v>
      </c>
      <c r="I620" s="1" t="s">
        <v>903</v>
      </c>
      <c r="J620" s="81">
        <v>35925</v>
      </c>
      <c r="K620" s="81" t="s">
        <v>1685</v>
      </c>
    </row>
    <row r="621" spans="1:11">
      <c r="A621" s="1">
        <v>1998</v>
      </c>
      <c r="B621" s="1" t="s">
        <v>856</v>
      </c>
      <c r="C621" s="1">
        <v>6</v>
      </c>
      <c r="D621" s="1" t="s">
        <v>857</v>
      </c>
      <c r="E621" s="1" t="s">
        <v>858</v>
      </c>
      <c r="F621" s="1">
        <v>43.734699999999997</v>
      </c>
      <c r="G621" s="1">
        <v>7.42056</v>
      </c>
      <c r="H621" s="1" t="s">
        <v>859</v>
      </c>
      <c r="I621" s="1" t="s">
        <v>860</v>
      </c>
      <c r="J621" s="81">
        <v>35939</v>
      </c>
      <c r="K621" s="81" t="s">
        <v>1686</v>
      </c>
    </row>
    <row r="622" spans="1:11">
      <c r="A622" s="1">
        <v>1998</v>
      </c>
      <c r="B622" s="1" t="s">
        <v>1115</v>
      </c>
      <c r="C622" s="1">
        <v>7</v>
      </c>
      <c r="D622" s="1" t="s">
        <v>1320</v>
      </c>
      <c r="E622" s="1" t="s">
        <v>1321</v>
      </c>
      <c r="F622" s="1">
        <v>45.5</v>
      </c>
      <c r="G622" s="1">
        <v>-73.522800000000004</v>
      </c>
      <c r="H622" s="1" t="s">
        <v>1322</v>
      </c>
      <c r="I622" s="1" t="s">
        <v>1119</v>
      </c>
      <c r="J622" s="81">
        <v>35953</v>
      </c>
      <c r="K622" s="81" t="s">
        <v>1687</v>
      </c>
    </row>
    <row r="623" spans="1:11">
      <c r="A623" s="1">
        <v>1998</v>
      </c>
      <c r="B623" s="1" t="s">
        <v>877</v>
      </c>
      <c r="C623" s="1">
        <v>8</v>
      </c>
      <c r="D623" s="1" t="s">
        <v>1556</v>
      </c>
      <c r="E623" s="1" t="s">
        <v>1557</v>
      </c>
      <c r="F623" s="1">
        <v>46.864199999999997</v>
      </c>
      <c r="G623" s="1">
        <v>3.1636099999999998</v>
      </c>
      <c r="H623" s="1" t="s">
        <v>1558</v>
      </c>
      <c r="I623" s="1" t="s">
        <v>755</v>
      </c>
      <c r="J623" s="81">
        <v>35974</v>
      </c>
      <c r="K623" s="81" t="s">
        <v>1688</v>
      </c>
    </row>
    <row r="624" spans="1:11">
      <c r="A624" s="1">
        <v>1998</v>
      </c>
      <c r="B624" s="1" t="s">
        <v>850</v>
      </c>
      <c r="C624" s="1">
        <v>9</v>
      </c>
      <c r="D624" s="1" t="s">
        <v>851</v>
      </c>
      <c r="E624" s="1" t="s">
        <v>852</v>
      </c>
      <c r="F624" s="1">
        <v>52.078600000000002</v>
      </c>
      <c r="G624" s="1">
        <v>-1.01694</v>
      </c>
      <c r="H624" s="1" t="s">
        <v>853</v>
      </c>
      <c r="I624" s="1" t="s">
        <v>854</v>
      </c>
      <c r="J624" s="81">
        <v>35988</v>
      </c>
      <c r="K624" s="81" t="s">
        <v>1689</v>
      </c>
    </row>
    <row r="625" spans="1:11">
      <c r="A625" s="1">
        <v>1998</v>
      </c>
      <c r="B625" s="1" t="s">
        <v>1072</v>
      </c>
      <c r="C625" s="1">
        <v>10</v>
      </c>
      <c r="D625" s="1" t="s">
        <v>1166</v>
      </c>
      <c r="E625" s="1" t="s">
        <v>1167</v>
      </c>
      <c r="F625" s="1">
        <v>47.219700000000003</v>
      </c>
      <c r="G625" s="1">
        <v>14.764699999999999</v>
      </c>
      <c r="H625" s="1" t="s">
        <v>1168</v>
      </c>
      <c r="I625" s="1" t="s">
        <v>1076</v>
      </c>
      <c r="J625" s="81">
        <v>36002</v>
      </c>
      <c r="K625" s="81" t="s">
        <v>1690</v>
      </c>
    </row>
    <row r="626" spans="1:11">
      <c r="A626" s="1">
        <v>1998</v>
      </c>
      <c r="B626" s="1" t="s">
        <v>893</v>
      </c>
      <c r="C626" s="1">
        <v>11</v>
      </c>
      <c r="D626" s="1" t="s">
        <v>1162</v>
      </c>
      <c r="E626" s="1" t="s">
        <v>1163</v>
      </c>
      <c r="F626" s="1">
        <v>49.327800000000003</v>
      </c>
      <c r="G626" s="1">
        <v>8.5658300000000001</v>
      </c>
      <c r="H626" s="1" t="s">
        <v>1164</v>
      </c>
      <c r="I626" s="1" t="s">
        <v>761</v>
      </c>
      <c r="J626" s="81">
        <v>36009</v>
      </c>
      <c r="K626" s="81" t="s">
        <v>1691</v>
      </c>
    </row>
    <row r="627" spans="1:11">
      <c r="A627" s="1">
        <v>1998</v>
      </c>
      <c r="B627" s="1" t="s">
        <v>1469</v>
      </c>
      <c r="C627" s="1">
        <v>12</v>
      </c>
      <c r="D627" s="1" t="s">
        <v>1470</v>
      </c>
      <c r="E627" s="1" t="s">
        <v>1471</v>
      </c>
      <c r="F627" s="1">
        <v>47.578899999999997</v>
      </c>
      <c r="G627" s="1">
        <v>19.2486</v>
      </c>
      <c r="H627" s="1" t="s">
        <v>1472</v>
      </c>
      <c r="I627" s="1" t="s">
        <v>1473</v>
      </c>
      <c r="J627" s="81">
        <v>36023</v>
      </c>
      <c r="K627" s="81" t="s">
        <v>1692</v>
      </c>
    </row>
    <row r="628" spans="1:11">
      <c r="A628" s="1">
        <v>1998</v>
      </c>
      <c r="B628" s="1" t="s">
        <v>872</v>
      </c>
      <c r="C628" s="1">
        <v>13</v>
      </c>
      <c r="D628" s="1" t="s">
        <v>873</v>
      </c>
      <c r="E628" s="1" t="s">
        <v>874</v>
      </c>
      <c r="F628" s="1">
        <v>50.437199999999997</v>
      </c>
      <c r="G628" s="1">
        <v>5.9713900000000004</v>
      </c>
      <c r="H628" s="1" t="s">
        <v>875</v>
      </c>
      <c r="I628" s="1" t="s">
        <v>244</v>
      </c>
      <c r="J628" s="81">
        <v>36037</v>
      </c>
      <c r="K628" s="81" t="s">
        <v>1693</v>
      </c>
    </row>
    <row r="629" spans="1:11">
      <c r="A629" s="1">
        <v>1998</v>
      </c>
      <c r="B629" s="1" t="s">
        <v>882</v>
      </c>
      <c r="C629" s="1">
        <v>14</v>
      </c>
      <c r="D629" s="1" t="s">
        <v>883</v>
      </c>
      <c r="E629" s="1" t="s">
        <v>884</v>
      </c>
      <c r="F629" s="1">
        <v>45.615600000000001</v>
      </c>
      <c r="G629" s="1">
        <v>9.28111</v>
      </c>
      <c r="H629" s="1" t="s">
        <v>885</v>
      </c>
      <c r="I629" s="1" t="s">
        <v>886</v>
      </c>
      <c r="J629" s="81">
        <v>36051</v>
      </c>
      <c r="K629" s="81" t="s">
        <v>1694</v>
      </c>
    </row>
    <row r="630" spans="1:11">
      <c r="A630" s="1">
        <v>1998</v>
      </c>
      <c r="B630" s="1" t="s">
        <v>1677</v>
      </c>
      <c r="C630" s="1">
        <v>15</v>
      </c>
      <c r="D630" s="1" t="s">
        <v>894</v>
      </c>
      <c r="E630" s="1" t="s">
        <v>895</v>
      </c>
      <c r="F630" s="1">
        <v>50.335599999999999</v>
      </c>
      <c r="G630" s="1">
        <v>6.9474999999999998</v>
      </c>
      <c r="H630" s="1" t="s">
        <v>896</v>
      </c>
      <c r="I630" s="1" t="s">
        <v>761</v>
      </c>
      <c r="J630" s="81">
        <v>36065</v>
      </c>
      <c r="K630" s="81" t="s">
        <v>1695</v>
      </c>
    </row>
    <row r="631" spans="1:11">
      <c r="A631" s="1">
        <v>1998</v>
      </c>
      <c r="B631" s="1" t="s">
        <v>1280</v>
      </c>
      <c r="C631" s="1">
        <v>16</v>
      </c>
      <c r="D631" s="1" t="s">
        <v>1494</v>
      </c>
      <c r="E631" s="1" t="s">
        <v>1495</v>
      </c>
      <c r="F631" s="1">
        <v>34.8431</v>
      </c>
      <c r="G631" s="1">
        <v>136.541</v>
      </c>
      <c r="H631" s="1" t="s">
        <v>1496</v>
      </c>
      <c r="I631" s="1" t="s">
        <v>375</v>
      </c>
      <c r="J631" s="81">
        <v>36100</v>
      </c>
      <c r="K631" s="81" t="s">
        <v>1696</v>
      </c>
    </row>
    <row r="632" spans="1:11">
      <c r="A632" s="1">
        <v>1999</v>
      </c>
      <c r="B632" s="1" t="s">
        <v>1450</v>
      </c>
      <c r="C632" s="1">
        <v>1</v>
      </c>
      <c r="D632" s="1" t="s">
        <v>1644</v>
      </c>
      <c r="E632" s="1" t="s">
        <v>1645</v>
      </c>
      <c r="F632" s="1">
        <v>-37.849699999999999</v>
      </c>
      <c r="G632" s="1">
        <v>144.96799999999999</v>
      </c>
      <c r="H632" s="1" t="s">
        <v>1646</v>
      </c>
      <c r="I632" s="1" t="s">
        <v>1454</v>
      </c>
      <c r="J632" s="81">
        <v>36226</v>
      </c>
      <c r="K632" s="81" t="s">
        <v>1697</v>
      </c>
    </row>
    <row r="633" spans="1:11">
      <c r="A633" s="1">
        <v>1999</v>
      </c>
      <c r="B633" s="1" t="s">
        <v>1203</v>
      </c>
      <c r="C633" s="1">
        <v>2</v>
      </c>
      <c r="D633" s="1" t="s">
        <v>1204</v>
      </c>
      <c r="E633" s="1" t="s">
        <v>1205</v>
      </c>
      <c r="F633" s="1">
        <v>-23.703600000000002</v>
      </c>
      <c r="G633" s="1">
        <v>-46.6997</v>
      </c>
      <c r="H633" s="1" t="s">
        <v>1206</v>
      </c>
      <c r="I633" s="1" t="s">
        <v>1207</v>
      </c>
      <c r="J633" s="81">
        <v>36261</v>
      </c>
      <c r="K633" s="81" t="s">
        <v>1698</v>
      </c>
    </row>
    <row r="634" spans="1:11">
      <c r="A634" s="1">
        <v>1999</v>
      </c>
      <c r="B634" s="1" t="s">
        <v>1359</v>
      </c>
      <c r="C634" s="1">
        <v>3</v>
      </c>
      <c r="D634" s="1" t="s">
        <v>1350</v>
      </c>
      <c r="E634" s="1" t="s">
        <v>1351</v>
      </c>
      <c r="F634" s="1">
        <v>44.343899999999998</v>
      </c>
      <c r="G634" s="1">
        <v>11.716699999999999</v>
      </c>
      <c r="H634" s="1" t="s">
        <v>1352</v>
      </c>
      <c r="I634" s="1" t="s">
        <v>886</v>
      </c>
      <c r="J634" s="81">
        <v>36282</v>
      </c>
      <c r="K634" s="81" t="s">
        <v>1699</v>
      </c>
    </row>
    <row r="635" spans="1:11">
      <c r="A635" s="1">
        <v>1999</v>
      </c>
      <c r="B635" s="1" t="s">
        <v>856</v>
      </c>
      <c r="C635" s="1">
        <v>4</v>
      </c>
      <c r="D635" s="1" t="s">
        <v>857</v>
      </c>
      <c r="E635" s="1" t="s">
        <v>858</v>
      </c>
      <c r="F635" s="1">
        <v>43.734699999999997</v>
      </c>
      <c r="G635" s="1">
        <v>7.42056</v>
      </c>
      <c r="H635" s="1" t="s">
        <v>859</v>
      </c>
      <c r="I635" s="1" t="s">
        <v>860</v>
      </c>
      <c r="J635" s="81">
        <v>36296</v>
      </c>
      <c r="K635" s="81" t="s">
        <v>1700</v>
      </c>
    </row>
    <row r="636" spans="1:11">
      <c r="A636" s="1">
        <v>1999</v>
      </c>
      <c r="B636" s="1" t="s">
        <v>899</v>
      </c>
      <c r="C636" s="1">
        <v>5</v>
      </c>
      <c r="D636" s="1" t="s">
        <v>1566</v>
      </c>
      <c r="E636" s="1" t="s">
        <v>1567</v>
      </c>
      <c r="F636" s="1">
        <v>41.57</v>
      </c>
      <c r="G636" s="1">
        <v>2.26111</v>
      </c>
      <c r="H636" s="1" t="s">
        <v>1568</v>
      </c>
      <c r="I636" s="1" t="s">
        <v>903</v>
      </c>
      <c r="J636" s="81">
        <v>36310</v>
      </c>
      <c r="K636" s="81" t="s">
        <v>1701</v>
      </c>
    </row>
    <row r="637" spans="1:11">
      <c r="A637" s="1">
        <v>1999</v>
      </c>
      <c r="B637" s="1" t="s">
        <v>1115</v>
      </c>
      <c r="C637" s="1">
        <v>6</v>
      </c>
      <c r="D637" s="1" t="s">
        <v>1320</v>
      </c>
      <c r="E637" s="1" t="s">
        <v>1321</v>
      </c>
      <c r="F637" s="1">
        <v>45.5</v>
      </c>
      <c r="G637" s="1">
        <v>-73.522800000000004</v>
      </c>
      <c r="H637" s="1" t="s">
        <v>1322</v>
      </c>
      <c r="I637" s="1" t="s">
        <v>1119</v>
      </c>
      <c r="J637" s="81">
        <v>36324</v>
      </c>
      <c r="K637" s="81" t="s">
        <v>1702</v>
      </c>
    </row>
    <row r="638" spans="1:11">
      <c r="A638" s="1">
        <v>1999</v>
      </c>
      <c r="B638" s="1" t="s">
        <v>877</v>
      </c>
      <c r="C638" s="1">
        <v>7</v>
      </c>
      <c r="D638" s="1" t="s">
        <v>1556</v>
      </c>
      <c r="E638" s="1" t="s">
        <v>1557</v>
      </c>
      <c r="F638" s="1">
        <v>46.864199999999997</v>
      </c>
      <c r="G638" s="1">
        <v>3.1636099999999998</v>
      </c>
      <c r="H638" s="1" t="s">
        <v>1558</v>
      </c>
      <c r="I638" s="1" t="s">
        <v>755</v>
      </c>
      <c r="J638" s="81">
        <v>36338</v>
      </c>
      <c r="K638" s="81" t="s">
        <v>1703</v>
      </c>
    </row>
    <row r="639" spans="1:11">
      <c r="A639" s="1">
        <v>1999</v>
      </c>
      <c r="B639" s="1" t="s">
        <v>850</v>
      </c>
      <c r="C639" s="1">
        <v>8</v>
      </c>
      <c r="D639" s="1" t="s">
        <v>851</v>
      </c>
      <c r="E639" s="1" t="s">
        <v>852</v>
      </c>
      <c r="F639" s="1">
        <v>52.078600000000002</v>
      </c>
      <c r="G639" s="1">
        <v>-1.01694</v>
      </c>
      <c r="H639" s="1" t="s">
        <v>853</v>
      </c>
      <c r="I639" s="1" t="s">
        <v>854</v>
      </c>
      <c r="J639" s="81">
        <v>36352</v>
      </c>
      <c r="K639" s="81" t="s">
        <v>1704</v>
      </c>
    </row>
    <row r="640" spans="1:11">
      <c r="A640" s="1">
        <v>1999</v>
      </c>
      <c r="B640" s="1" t="s">
        <v>1072</v>
      </c>
      <c r="C640" s="1">
        <v>9</v>
      </c>
      <c r="D640" s="1" t="s">
        <v>1166</v>
      </c>
      <c r="E640" s="1" t="s">
        <v>1167</v>
      </c>
      <c r="F640" s="1">
        <v>47.219700000000003</v>
      </c>
      <c r="G640" s="1">
        <v>14.764699999999999</v>
      </c>
      <c r="H640" s="1" t="s">
        <v>1168</v>
      </c>
      <c r="I640" s="1" t="s">
        <v>1076</v>
      </c>
      <c r="J640" s="81">
        <v>36366</v>
      </c>
      <c r="K640" s="81" t="s">
        <v>1705</v>
      </c>
    </row>
    <row r="641" spans="1:11">
      <c r="A641" s="1">
        <v>1999</v>
      </c>
      <c r="B641" s="1" t="s">
        <v>893</v>
      </c>
      <c r="C641" s="1">
        <v>10</v>
      </c>
      <c r="D641" s="1" t="s">
        <v>1162</v>
      </c>
      <c r="E641" s="1" t="s">
        <v>1163</v>
      </c>
      <c r="F641" s="1">
        <v>49.327800000000003</v>
      </c>
      <c r="G641" s="1">
        <v>8.5658300000000001</v>
      </c>
      <c r="H641" s="1" t="s">
        <v>1164</v>
      </c>
      <c r="I641" s="1" t="s">
        <v>761</v>
      </c>
      <c r="J641" s="81">
        <v>36373</v>
      </c>
      <c r="K641" s="81" t="s">
        <v>1706</v>
      </c>
    </row>
    <row r="642" spans="1:11">
      <c r="A642" s="1">
        <v>1999</v>
      </c>
      <c r="B642" s="1" t="s">
        <v>1469</v>
      </c>
      <c r="C642" s="1">
        <v>11</v>
      </c>
      <c r="D642" s="1" t="s">
        <v>1470</v>
      </c>
      <c r="E642" s="1" t="s">
        <v>1471</v>
      </c>
      <c r="F642" s="1">
        <v>47.578899999999997</v>
      </c>
      <c r="G642" s="1">
        <v>19.2486</v>
      </c>
      <c r="H642" s="1" t="s">
        <v>1472</v>
      </c>
      <c r="I642" s="1" t="s">
        <v>1473</v>
      </c>
      <c r="J642" s="81">
        <v>36387</v>
      </c>
      <c r="K642" s="81" t="s">
        <v>1707</v>
      </c>
    </row>
    <row r="643" spans="1:11">
      <c r="A643" s="1">
        <v>1999</v>
      </c>
      <c r="B643" s="1" t="s">
        <v>872</v>
      </c>
      <c r="C643" s="1">
        <v>12</v>
      </c>
      <c r="D643" s="1" t="s">
        <v>873</v>
      </c>
      <c r="E643" s="1" t="s">
        <v>874</v>
      </c>
      <c r="F643" s="1">
        <v>50.437199999999997</v>
      </c>
      <c r="G643" s="1">
        <v>5.9713900000000004</v>
      </c>
      <c r="H643" s="1" t="s">
        <v>875</v>
      </c>
      <c r="I643" s="1" t="s">
        <v>244</v>
      </c>
      <c r="J643" s="81">
        <v>36401</v>
      </c>
      <c r="K643" s="81" t="s">
        <v>1708</v>
      </c>
    </row>
    <row r="644" spans="1:11">
      <c r="A644" s="1">
        <v>1999</v>
      </c>
      <c r="B644" s="1" t="s">
        <v>882</v>
      </c>
      <c r="C644" s="1">
        <v>13</v>
      </c>
      <c r="D644" s="1" t="s">
        <v>883</v>
      </c>
      <c r="E644" s="1" t="s">
        <v>884</v>
      </c>
      <c r="F644" s="1">
        <v>45.615600000000001</v>
      </c>
      <c r="G644" s="1">
        <v>9.28111</v>
      </c>
      <c r="H644" s="1" t="s">
        <v>885</v>
      </c>
      <c r="I644" s="1" t="s">
        <v>886</v>
      </c>
      <c r="J644" s="81">
        <v>36415</v>
      </c>
      <c r="K644" s="81" t="s">
        <v>1709</v>
      </c>
    </row>
    <row r="645" spans="1:11">
      <c r="A645" s="1">
        <v>1999</v>
      </c>
      <c r="B645" s="1" t="s">
        <v>1409</v>
      </c>
      <c r="C645" s="1">
        <v>14</v>
      </c>
      <c r="D645" s="1" t="s">
        <v>894</v>
      </c>
      <c r="E645" s="1" t="s">
        <v>895</v>
      </c>
      <c r="F645" s="1">
        <v>50.335599999999999</v>
      </c>
      <c r="G645" s="1">
        <v>6.9474999999999998</v>
      </c>
      <c r="H645" s="1" t="s">
        <v>896</v>
      </c>
      <c r="I645" s="1" t="s">
        <v>761</v>
      </c>
      <c r="J645" s="81">
        <v>36429</v>
      </c>
      <c r="K645" s="81" t="s">
        <v>1710</v>
      </c>
    </row>
    <row r="646" spans="1:11">
      <c r="A646" s="1">
        <v>1999</v>
      </c>
      <c r="B646" s="1" t="s">
        <v>1711</v>
      </c>
      <c r="C646" s="1">
        <v>15</v>
      </c>
      <c r="D646" s="1" t="s">
        <v>1712</v>
      </c>
      <c r="E646" s="1" t="s">
        <v>1713</v>
      </c>
      <c r="F646" s="1">
        <v>2.7608299999999999</v>
      </c>
      <c r="G646" s="1">
        <v>101.738</v>
      </c>
      <c r="H646" s="1" t="s">
        <v>1714</v>
      </c>
      <c r="I646" s="1" t="s">
        <v>1715</v>
      </c>
      <c r="J646" s="81">
        <v>36450</v>
      </c>
      <c r="K646" s="81" t="s">
        <v>1716</v>
      </c>
    </row>
    <row r="647" spans="1:11">
      <c r="A647" s="1">
        <v>1999</v>
      </c>
      <c r="B647" s="1" t="s">
        <v>1280</v>
      </c>
      <c r="C647" s="1">
        <v>16</v>
      </c>
      <c r="D647" s="1" t="s">
        <v>1494</v>
      </c>
      <c r="E647" s="1" t="s">
        <v>1495</v>
      </c>
      <c r="F647" s="1">
        <v>34.8431</v>
      </c>
      <c r="G647" s="1">
        <v>136.541</v>
      </c>
      <c r="H647" s="1" t="s">
        <v>1496</v>
      </c>
      <c r="I647" s="1" t="s">
        <v>375</v>
      </c>
      <c r="J647" s="81">
        <v>36464</v>
      </c>
      <c r="K647" s="81" t="s">
        <v>1717</v>
      </c>
    </row>
    <row r="648" spans="1:11">
      <c r="A648" s="1">
        <v>2000</v>
      </c>
      <c r="B648" s="1" t="s">
        <v>1450</v>
      </c>
      <c r="C648" s="1">
        <v>1</v>
      </c>
      <c r="D648" s="1" t="s">
        <v>1644</v>
      </c>
      <c r="E648" s="1" t="s">
        <v>1645</v>
      </c>
      <c r="F648" s="1">
        <v>-37.849699999999999</v>
      </c>
      <c r="G648" s="1">
        <v>144.96799999999999</v>
      </c>
      <c r="H648" s="1" t="s">
        <v>1646</v>
      </c>
      <c r="I648" s="1" t="s">
        <v>1454</v>
      </c>
      <c r="J648" s="81">
        <v>36597</v>
      </c>
      <c r="K648" s="81" t="s">
        <v>1718</v>
      </c>
    </row>
    <row r="649" spans="1:11">
      <c r="A649" s="1">
        <v>2000</v>
      </c>
      <c r="B649" s="1" t="s">
        <v>1203</v>
      </c>
      <c r="C649" s="1">
        <v>2</v>
      </c>
      <c r="D649" s="1" t="s">
        <v>1204</v>
      </c>
      <c r="E649" s="1" t="s">
        <v>1205</v>
      </c>
      <c r="F649" s="1">
        <v>-23.703600000000002</v>
      </c>
      <c r="G649" s="1">
        <v>-46.6997</v>
      </c>
      <c r="H649" s="1" t="s">
        <v>1206</v>
      </c>
      <c r="I649" s="1" t="s">
        <v>1207</v>
      </c>
      <c r="J649" s="81">
        <v>36611</v>
      </c>
      <c r="K649" s="81" t="s">
        <v>1719</v>
      </c>
    </row>
    <row r="650" spans="1:11">
      <c r="A650" s="1">
        <v>2000</v>
      </c>
      <c r="B650" s="1" t="s">
        <v>1359</v>
      </c>
      <c r="C650" s="1">
        <v>3</v>
      </c>
      <c r="D650" s="1" t="s">
        <v>1350</v>
      </c>
      <c r="E650" s="1" t="s">
        <v>1351</v>
      </c>
      <c r="F650" s="1">
        <v>44.343899999999998</v>
      </c>
      <c r="G650" s="1">
        <v>11.716699999999999</v>
      </c>
      <c r="H650" s="1" t="s">
        <v>1352</v>
      </c>
      <c r="I650" s="1" t="s">
        <v>886</v>
      </c>
      <c r="J650" s="81">
        <v>36625</v>
      </c>
      <c r="K650" s="81" t="s">
        <v>1720</v>
      </c>
    </row>
    <row r="651" spans="1:11">
      <c r="A651" s="1">
        <v>2000</v>
      </c>
      <c r="B651" s="1" t="s">
        <v>850</v>
      </c>
      <c r="C651" s="1">
        <v>4</v>
      </c>
      <c r="D651" s="1" t="s">
        <v>851</v>
      </c>
      <c r="E651" s="1" t="s">
        <v>852</v>
      </c>
      <c r="F651" s="1">
        <v>52.078600000000002</v>
      </c>
      <c r="G651" s="1">
        <v>-1.01694</v>
      </c>
      <c r="H651" s="1" t="s">
        <v>853</v>
      </c>
      <c r="I651" s="1" t="s">
        <v>854</v>
      </c>
      <c r="J651" s="81">
        <v>36639</v>
      </c>
      <c r="K651" s="81" t="s">
        <v>1721</v>
      </c>
    </row>
    <row r="652" spans="1:11">
      <c r="A652" s="1">
        <v>2000</v>
      </c>
      <c r="B652" s="1" t="s">
        <v>899</v>
      </c>
      <c r="C652" s="1">
        <v>5</v>
      </c>
      <c r="D652" s="1" t="s">
        <v>1566</v>
      </c>
      <c r="E652" s="1" t="s">
        <v>1567</v>
      </c>
      <c r="F652" s="1">
        <v>41.57</v>
      </c>
      <c r="G652" s="1">
        <v>2.26111</v>
      </c>
      <c r="H652" s="1" t="s">
        <v>1568</v>
      </c>
      <c r="I652" s="1" t="s">
        <v>903</v>
      </c>
      <c r="J652" s="81">
        <v>36653</v>
      </c>
      <c r="K652" s="81" t="s">
        <v>1722</v>
      </c>
    </row>
    <row r="653" spans="1:11">
      <c r="A653" s="1">
        <v>2000</v>
      </c>
      <c r="B653" s="1" t="s">
        <v>1409</v>
      </c>
      <c r="C653" s="1">
        <v>6</v>
      </c>
      <c r="D653" s="1" t="s">
        <v>894</v>
      </c>
      <c r="E653" s="1" t="s">
        <v>895</v>
      </c>
      <c r="F653" s="1">
        <v>50.335599999999999</v>
      </c>
      <c r="G653" s="1">
        <v>6.9474999999999998</v>
      </c>
      <c r="H653" s="1" t="s">
        <v>896</v>
      </c>
      <c r="I653" s="1" t="s">
        <v>761</v>
      </c>
      <c r="J653" s="81">
        <v>36667</v>
      </c>
      <c r="K653" s="81" t="s">
        <v>1723</v>
      </c>
    </row>
    <row r="654" spans="1:11">
      <c r="A654" s="1">
        <v>2000</v>
      </c>
      <c r="B654" s="1" t="s">
        <v>856</v>
      </c>
      <c r="C654" s="1">
        <v>7</v>
      </c>
      <c r="D654" s="1" t="s">
        <v>857</v>
      </c>
      <c r="E654" s="1" t="s">
        <v>858</v>
      </c>
      <c r="F654" s="1">
        <v>43.734699999999997</v>
      </c>
      <c r="G654" s="1">
        <v>7.42056</v>
      </c>
      <c r="H654" s="1" t="s">
        <v>859</v>
      </c>
      <c r="I654" s="1" t="s">
        <v>860</v>
      </c>
      <c r="J654" s="81">
        <v>36681</v>
      </c>
      <c r="K654" s="81" t="s">
        <v>1724</v>
      </c>
    </row>
    <row r="655" spans="1:11">
      <c r="A655" s="1">
        <v>2000</v>
      </c>
      <c r="B655" s="1" t="s">
        <v>1115</v>
      </c>
      <c r="C655" s="1">
        <v>8</v>
      </c>
      <c r="D655" s="1" t="s">
        <v>1320</v>
      </c>
      <c r="E655" s="1" t="s">
        <v>1321</v>
      </c>
      <c r="F655" s="1">
        <v>45.5</v>
      </c>
      <c r="G655" s="1">
        <v>-73.522800000000004</v>
      </c>
      <c r="H655" s="1" t="s">
        <v>1322</v>
      </c>
      <c r="I655" s="1" t="s">
        <v>1119</v>
      </c>
      <c r="J655" s="81">
        <v>36695</v>
      </c>
      <c r="K655" s="81" t="s">
        <v>1725</v>
      </c>
    </row>
    <row r="656" spans="1:11">
      <c r="A656" s="1">
        <v>2000</v>
      </c>
      <c r="B656" s="1" t="s">
        <v>877</v>
      </c>
      <c r="C656" s="1">
        <v>9</v>
      </c>
      <c r="D656" s="1" t="s">
        <v>1556</v>
      </c>
      <c r="E656" s="1" t="s">
        <v>1557</v>
      </c>
      <c r="F656" s="1">
        <v>46.864199999999997</v>
      </c>
      <c r="G656" s="1">
        <v>3.1636099999999998</v>
      </c>
      <c r="H656" s="1" t="s">
        <v>1558</v>
      </c>
      <c r="I656" s="1" t="s">
        <v>755</v>
      </c>
      <c r="J656" s="81">
        <v>36709</v>
      </c>
      <c r="K656" s="81" t="s">
        <v>1726</v>
      </c>
    </row>
    <row r="657" spans="1:11">
      <c r="A657" s="1">
        <v>2000</v>
      </c>
      <c r="B657" s="1" t="s">
        <v>1072</v>
      </c>
      <c r="C657" s="1">
        <v>10</v>
      </c>
      <c r="D657" s="1" t="s">
        <v>1166</v>
      </c>
      <c r="E657" s="1" t="s">
        <v>1167</v>
      </c>
      <c r="F657" s="1">
        <v>47.219700000000003</v>
      </c>
      <c r="G657" s="1">
        <v>14.764699999999999</v>
      </c>
      <c r="H657" s="1" t="s">
        <v>1168</v>
      </c>
      <c r="I657" s="1" t="s">
        <v>1076</v>
      </c>
      <c r="J657" s="81">
        <v>36723</v>
      </c>
      <c r="K657" s="81" t="s">
        <v>1727</v>
      </c>
    </row>
    <row r="658" spans="1:11">
      <c r="A658" s="1">
        <v>2000</v>
      </c>
      <c r="B658" s="1" t="s">
        <v>893</v>
      </c>
      <c r="C658" s="1">
        <v>11</v>
      </c>
      <c r="D658" s="1" t="s">
        <v>1162</v>
      </c>
      <c r="E658" s="1" t="s">
        <v>1163</v>
      </c>
      <c r="F658" s="1">
        <v>49.327800000000003</v>
      </c>
      <c r="G658" s="1">
        <v>8.5658300000000001</v>
      </c>
      <c r="H658" s="1" t="s">
        <v>1164</v>
      </c>
      <c r="I658" s="1" t="s">
        <v>761</v>
      </c>
      <c r="J658" s="81">
        <v>36737</v>
      </c>
      <c r="K658" s="81" t="s">
        <v>1728</v>
      </c>
    </row>
    <row r="659" spans="1:11">
      <c r="A659" s="1">
        <v>2000</v>
      </c>
      <c r="B659" s="1" t="s">
        <v>1469</v>
      </c>
      <c r="C659" s="1">
        <v>12</v>
      </c>
      <c r="D659" s="1" t="s">
        <v>1470</v>
      </c>
      <c r="E659" s="1" t="s">
        <v>1471</v>
      </c>
      <c r="F659" s="1">
        <v>47.578899999999997</v>
      </c>
      <c r="G659" s="1">
        <v>19.2486</v>
      </c>
      <c r="H659" s="1" t="s">
        <v>1472</v>
      </c>
      <c r="I659" s="1" t="s">
        <v>1473</v>
      </c>
      <c r="J659" s="81">
        <v>36751</v>
      </c>
      <c r="K659" s="81" t="s">
        <v>1729</v>
      </c>
    </row>
    <row r="660" spans="1:11">
      <c r="A660" s="1">
        <v>2000</v>
      </c>
      <c r="B660" s="1" t="s">
        <v>872</v>
      </c>
      <c r="C660" s="1">
        <v>13</v>
      </c>
      <c r="D660" s="1" t="s">
        <v>873</v>
      </c>
      <c r="E660" s="1" t="s">
        <v>874</v>
      </c>
      <c r="F660" s="1">
        <v>50.437199999999997</v>
      </c>
      <c r="G660" s="1">
        <v>5.9713900000000004</v>
      </c>
      <c r="H660" s="1" t="s">
        <v>875</v>
      </c>
      <c r="I660" s="1" t="s">
        <v>244</v>
      </c>
      <c r="J660" s="81">
        <v>36765</v>
      </c>
      <c r="K660" s="81" t="s">
        <v>1730</v>
      </c>
    </row>
    <row r="661" spans="1:11">
      <c r="A661" s="1">
        <v>2000</v>
      </c>
      <c r="B661" s="1" t="s">
        <v>882</v>
      </c>
      <c r="C661" s="1">
        <v>14</v>
      </c>
      <c r="D661" s="1" t="s">
        <v>883</v>
      </c>
      <c r="E661" s="1" t="s">
        <v>884</v>
      </c>
      <c r="F661" s="1">
        <v>45.615600000000001</v>
      </c>
      <c r="G661" s="1">
        <v>9.28111</v>
      </c>
      <c r="H661" s="1" t="s">
        <v>885</v>
      </c>
      <c r="I661" s="1" t="s">
        <v>886</v>
      </c>
      <c r="J661" s="81">
        <v>36779</v>
      </c>
      <c r="K661" s="81" t="s">
        <v>1731</v>
      </c>
    </row>
    <row r="662" spans="1:11">
      <c r="A662" s="1">
        <v>2000</v>
      </c>
      <c r="B662" s="1" t="s">
        <v>1006</v>
      </c>
      <c r="C662" s="1">
        <v>15</v>
      </c>
      <c r="D662" s="1" t="s">
        <v>863</v>
      </c>
      <c r="E662" s="1" t="s">
        <v>864</v>
      </c>
      <c r="F662" s="1">
        <v>39.795000000000002</v>
      </c>
      <c r="G662" s="1">
        <v>-86.234700000000004</v>
      </c>
      <c r="H662" s="1" t="s">
        <v>865</v>
      </c>
      <c r="I662" s="1" t="s">
        <v>82</v>
      </c>
      <c r="J662" s="81">
        <v>36793</v>
      </c>
      <c r="K662" s="81" t="s">
        <v>1732</v>
      </c>
    </row>
    <row r="663" spans="1:11">
      <c r="A663" s="1">
        <v>2000</v>
      </c>
      <c r="B663" s="1" t="s">
        <v>1280</v>
      </c>
      <c r="C663" s="1">
        <v>16</v>
      </c>
      <c r="D663" s="1" t="s">
        <v>1494</v>
      </c>
      <c r="E663" s="1" t="s">
        <v>1495</v>
      </c>
      <c r="F663" s="1">
        <v>34.8431</v>
      </c>
      <c r="G663" s="1">
        <v>136.541</v>
      </c>
      <c r="H663" s="1" t="s">
        <v>1496</v>
      </c>
      <c r="I663" s="1" t="s">
        <v>375</v>
      </c>
      <c r="J663" s="81">
        <v>36807</v>
      </c>
      <c r="K663" s="81" t="s">
        <v>1733</v>
      </c>
    </row>
    <row r="664" spans="1:11">
      <c r="A664" s="1">
        <v>2000</v>
      </c>
      <c r="B664" s="1" t="s">
        <v>1711</v>
      </c>
      <c r="C664" s="1">
        <v>17</v>
      </c>
      <c r="D664" s="1" t="s">
        <v>1712</v>
      </c>
      <c r="E664" s="1" t="s">
        <v>1713</v>
      </c>
      <c r="F664" s="1">
        <v>2.7608299999999999</v>
      </c>
      <c r="G664" s="1">
        <v>101.738</v>
      </c>
      <c r="H664" s="1" t="s">
        <v>1714</v>
      </c>
      <c r="I664" s="1" t="s">
        <v>1715</v>
      </c>
      <c r="J664" s="81">
        <v>36821</v>
      </c>
      <c r="K664" s="81" t="s">
        <v>1734</v>
      </c>
    </row>
    <row r="665" spans="1:11">
      <c r="A665" s="1">
        <v>2001</v>
      </c>
      <c r="B665" s="1" t="s">
        <v>1450</v>
      </c>
      <c r="C665" s="1">
        <v>1</v>
      </c>
      <c r="D665" s="1" t="s">
        <v>1644</v>
      </c>
      <c r="E665" s="1" t="s">
        <v>1645</v>
      </c>
      <c r="F665" s="1">
        <v>-37.849699999999999</v>
      </c>
      <c r="G665" s="1">
        <v>144.96799999999999</v>
      </c>
      <c r="H665" s="1" t="s">
        <v>1646</v>
      </c>
      <c r="I665" s="1" t="s">
        <v>1454</v>
      </c>
      <c r="J665" s="81">
        <v>36954</v>
      </c>
      <c r="K665" s="81" t="s">
        <v>1735</v>
      </c>
    </row>
    <row r="666" spans="1:11">
      <c r="A666" s="1">
        <v>2001</v>
      </c>
      <c r="B666" s="1" t="s">
        <v>1711</v>
      </c>
      <c r="C666" s="1">
        <v>2</v>
      </c>
      <c r="D666" s="1" t="s">
        <v>1712</v>
      </c>
      <c r="E666" s="1" t="s">
        <v>1713</v>
      </c>
      <c r="F666" s="1">
        <v>2.7608299999999999</v>
      </c>
      <c r="G666" s="1">
        <v>101.738</v>
      </c>
      <c r="H666" s="1" t="s">
        <v>1714</v>
      </c>
      <c r="I666" s="1" t="s">
        <v>1715</v>
      </c>
      <c r="J666" s="81">
        <v>36968</v>
      </c>
      <c r="K666" s="81" t="s">
        <v>1736</v>
      </c>
    </row>
    <row r="667" spans="1:11">
      <c r="A667" s="1">
        <v>2001</v>
      </c>
      <c r="B667" s="1" t="s">
        <v>1203</v>
      </c>
      <c r="C667" s="1">
        <v>3</v>
      </c>
      <c r="D667" s="1" t="s">
        <v>1204</v>
      </c>
      <c r="E667" s="1" t="s">
        <v>1205</v>
      </c>
      <c r="F667" s="1">
        <v>-23.703600000000002</v>
      </c>
      <c r="G667" s="1">
        <v>-46.6997</v>
      </c>
      <c r="H667" s="1" t="s">
        <v>1206</v>
      </c>
      <c r="I667" s="1" t="s">
        <v>1207</v>
      </c>
      <c r="J667" s="81">
        <v>36982</v>
      </c>
      <c r="K667" s="81" t="s">
        <v>1737</v>
      </c>
    </row>
    <row r="668" spans="1:11">
      <c r="A668" s="1">
        <v>2001</v>
      </c>
      <c r="B668" s="1" t="s">
        <v>1359</v>
      </c>
      <c r="C668" s="1">
        <v>4</v>
      </c>
      <c r="D668" s="1" t="s">
        <v>1350</v>
      </c>
      <c r="E668" s="1" t="s">
        <v>1351</v>
      </c>
      <c r="F668" s="1">
        <v>44.343899999999998</v>
      </c>
      <c r="G668" s="1">
        <v>11.716699999999999</v>
      </c>
      <c r="H668" s="1" t="s">
        <v>1352</v>
      </c>
      <c r="I668" s="1" t="s">
        <v>886</v>
      </c>
      <c r="J668" s="81">
        <v>36996</v>
      </c>
      <c r="K668" s="81" t="s">
        <v>1738</v>
      </c>
    </row>
    <row r="669" spans="1:11">
      <c r="A669" s="1">
        <v>2001</v>
      </c>
      <c r="B669" s="1" t="s">
        <v>899</v>
      </c>
      <c r="C669" s="1">
        <v>5</v>
      </c>
      <c r="D669" s="1" t="s">
        <v>1566</v>
      </c>
      <c r="E669" s="1" t="s">
        <v>1567</v>
      </c>
      <c r="F669" s="1">
        <v>41.57</v>
      </c>
      <c r="G669" s="1">
        <v>2.26111</v>
      </c>
      <c r="H669" s="1" t="s">
        <v>1568</v>
      </c>
      <c r="I669" s="1" t="s">
        <v>903</v>
      </c>
      <c r="J669" s="81">
        <v>37010</v>
      </c>
      <c r="K669" s="81" t="s">
        <v>1739</v>
      </c>
    </row>
    <row r="670" spans="1:11">
      <c r="A670" s="1">
        <v>2001</v>
      </c>
      <c r="B670" s="1" t="s">
        <v>1072</v>
      </c>
      <c r="C670" s="1">
        <v>6</v>
      </c>
      <c r="D670" s="1" t="s">
        <v>1166</v>
      </c>
      <c r="E670" s="1" t="s">
        <v>1167</v>
      </c>
      <c r="F670" s="1">
        <v>47.219700000000003</v>
      </c>
      <c r="G670" s="1">
        <v>14.764699999999999</v>
      </c>
      <c r="H670" s="1" t="s">
        <v>1168</v>
      </c>
      <c r="I670" s="1" t="s">
        <v>1076</v>
      </c>
      <c r="J670" s="81">
        <v>37024</v>
      </c>
      <c r="K670" s="81" t="s">
        <v>1740</v>
      </c>
    </row>
    <row r="671" spans="1:11">
      <c r="A671" s="1">
        <v>2001</v>
      </c>
      <c r="B671" s="1" t="s">
        <v>856</v>
      </c>
      <c r="C671" s="1">
        <v>7</v>
      </c>
      <c r="D671" s="1" t="s">
        <v>857</v>
      </c>
      <c r="E671" s="1" t="s">
        <v>858</v>
      </c>
      <c r="F671" s="1">
        <v>43.734699999999997</v>
      </c>
      <c r="G671" s="1">
        <v>7.42056</v>
      </c>
      <c r="H671" s="1" t="s">
        <v>859</v>
      </c>
      <c r="I671" s="1" t="s">
        <v>860</v>
      </c>
      <c r="J671" s="81">
        <v>37038</v>
      </c>
      <c r="K671" s="81" t="s">
        <v>1741</v>
      </c>
    </row>
    <row r="672" spans="1:11">
      <c r="A672" s="1">
        <v>2001</v>
      </c>
      <c r="B672" s="1" t="s">
        <v>1115</v>
      </c>
      <c r="C672" s="1">
        <v>8</v>
      </c>
      <c r="D672" s="1" t="s">
        <v>1320</v>
      </c>
      <c r="E672" s="1" t="s">
        <v>1321</v>
      </c>
      <c r="F672" s="1">
        <v>45.5</v>
      </c>
      <c r="G672" s="1">
        <v>-73.522800000000004</v>
      </c>
      <c r="H672" s="1" t="s">
        <v>1322</v>
      </c>
      <c r="I672" s="1" t="s">
        <v>1119</v>
      </c>
      <c r="J672" s="81">
        <v>37052</v>
      </c>
      <c r="K672" s="81" t="s">
        <v>1742</v>
      </c>
    </row>
    <row r="673" spans="1:11">
      <c r="A673" s="1">
        <v>2001</v>
      </c>
      <c r="B673" s="1" t="s">
        <v>1409</v>
      </c>
      <c r="C673" s="1">
        <v>9</v>
      </c>
      <c r="D673" s="1" t="s">
        <v>894</v>
      </c>
      <c r="E673" s="1" t="s">
        <v>895</v>
      </c>
      <c r="F673" s="1">
        <v>50.335599999999999</v>
      </c>
      <c r="G673" s="1">
        <v>6.9474999999999998</v>
      </c>
      <c r="H673" s="1" t="s">
        <v>896</v>
      </c>
      <c r="I673" s="1" t="s">
        <v>761</v>
      </c>
      <c r="J673" s="81">
        <v>37066</v>
      </c>
      <c r="K673" s="81" t="s">
        <v>1743</v>
      </c>
    </row>
    <row r="674" spans="1:11">
      <c r="A674" s="1">
        <v>2001</v>
      </c>
      <c r="B674" s="1" t="s">
        <v>877</v>
      </c>
      <c r="C674" s="1">
        <v>10</v>
      </c>
      <c r="D674" s="1" t="s">
        <v>1556</v>
      </c>
      <c r="E674" s="1" t="s">
        <v>1557</v>
      </c>
      <c r="F674" s="1">
        <v>46.864199999999997</v>
      </c>
      <c r="G674" s="1">
        <v>3.1636099999999998</v>
      </c>
      <c r="H674" s="1" t="s">
        <v>1558</v>
      </c>
      <c r="I674" s="1" t="s">
        <v>755</v>
      </c>
      <c r="J674" s="81">
        <v>37073</v>
      </c>
      <c r="K674" s="81" t="s">
        <v>1744</v>
      </c>
    </row>
    <row r="675" spans="1:11">
      <c r="A675" s="1">
        <v>2001</v>
      </c>
      <c r="B675" s="1" t="s">
        <v>850</v>
      </c>
      <c r="C675" s="1">
        <v>11</v>
      </c>
      <c r="D675" s="1" t="s">
        <v>851</v>
      </c>
      <c r="E675" s="1" t="s">
        <v>852</v>
      </c>
      <c r="F675" s="1">
        <v>52.078600000000002</v>
      </c>
      <c r="G675" s="1">
        <v>-1.01694</v>
      </c>
      <c r="H675" s="1" t="s">
        <v>853</v>
      </c>
      <c r="I675" s="1" t="s">
        <v>854</v>
      </c>
      <c r="J675" s="81">
        <v>37087</v>
      </c>
      <c r="K675" s="81" t="s">
        <v>1745</v>
      </c>
    </row>
    <row r="676" spans="1:11">
      <c r="A676" s="1">
        <v>2001</v>
      </c>
      <c r="B676" s="1" t="s">
        <v>893</v>
      </c>
      <c r="C676" s="1">
        <v>12</v>
      </c>
      <c r="D676" s="1" t="s">
        <v>1162</v>
      </c>
      <c r="E676" s="1" t="s">
        <v>1163</v>
      </c>
      <c r="F676" s="1">
        <v>49.327800000000003</v>
      </c>
      <c r="G676" s="1">
        <v>8.5658300000000001</v>
      </c>
      <c r="H676" s="1" t="s">
        <v>1164</v>
      </c>
      <c r="I676" s="1" t="s">
        <v>761</v>
      </c>
      <c r="J676" s="81">
        <v>37101</v>
      </c>
      <c r="K676" s="81" t="s">
        <v>1746</v>
      </c>
    </row>
    <row r="677" spans="1:11">
      <c r="A677" s="1">
        <v>2001</v>
      </c>
      <c r="B677" s="1" t="s">
        <v>1469</v>
      </c>
      <c r="C677" s="1">
        <v>13</v>
      </c>
      <c r="D677" s="1" t="s">
        <v>1470</v>
      </c>
      <c r="E677" s="1" t="s">
        <v>1471</v>
      </c>
      <c r="F677" s="1">
        <v>47.578899999999997</v>
      </c>
      <c r="G677" s="1">
        <v>19.2486</v>
      </c>
      <c r="H677" s="1" t="s">
        <v>1472</v>
      </c>
      <c r="I677" s="1" t="s">
        <v>1473</v>
      </c>
      <c r="J677" s="81">
        <v>37122</v>
      </c>
      <c r="K677" s="81" t="s">
        <v>1747</v>
      </c>
    </row>
    <row r="678" spans="1:11">
      <c r="A678" s="1">
        <v>2001</v>
      </c>
      <c r="B678" s="1" t="s">
        <v>872</v>
      </c>
      <c r="C678" s="1">
        <v>14</v>
      </c>
      <c r="D678" s="1" t="s">
        <v>873</v>
      </c>
      <c r="E678" s="1" t="s">
        <v>874</v>
      </c>
      <c r="F678" s="1">
        <v>50.437199999999997</v>
      </c>
      <c r="G678" s="1">
        <v>5.9713900000000004</v>
      </c>
      <c r="H678" s="1" t="s">
        <v>875</v>
      </c>
      <c r="I678" s="1" t="s">
        <v>244</v>
      </c>
      <c r="J678" s="81">
        <v>37136</v>
      </c>
      <c r="K678" s="81" t="s">
        <v>1748</v>
      </c>
    </row>
    <row r="679" spans="1:11">
      <c r="A679" s="1">
        <v>2001</v>
      </c>
      <c r="B679" s="1" t="s">
        <v>882</v>
      </c>
      <c r="C679" s="1">
        <v>15</v>
      </c>
      <c r="D679" s="1" t="s">
        <v>883</v>
      </c>
      <c r="E679" s="1" t="s">
        <v>884</v>
      </c>
      <c r="F679" s="1">
        <v>45.615600000000001</v>
      </c>
      <c r="G679" s="1">
        <v>9.28111</v>
      </c>
      <c r="H679" s="1" t="s">
        <v>885</v>
      </c>
      <c r="I679" s="1" t="s">
        <v>886</v>
      </c>
      <c r="J679" s="81">
        <v>37150</v>
      </c>
      <c r="K679" s="81" t="s">
        <v>1749</v>
      </c>
    </row>
    <row r="680" spans="1:11">
      <c r="A680" s="1">
        <v>2001</v>
      </c>
      <c r="B680" s="1" t="s">
        <v>1006</v>
      </c>
      <c r="C680" s="1">
        <v>16</v>
      </c>
      <c r="D680" s="1" t="s">
        <v>863</v>
      </c>
      <c r="E680" s="1" t="s">
        <v>864</v>
      </c>
      <c r="F680" s="1">
        <v>39.795000000000002</v>
      </c>
      <c r="G680" s="1">
        <v>-86.234700000000004</v>
      </c>
      <c r="H680" s="1" t="s">
        <v>865</v>
      </c>
      <c r="I680" s="1" t="s">
        <v>82</v>
      </c>
      <c r="J680" s="81">
        <v>37164</v>
      </c>
      <c r="K680" s="81" t="s">
        <v>1750</v>
      </c>
    </row>
    <row r="681" spans="1:11">
      <c r="A681" s="1">
        <v>2001</v>
      </c>
      <c r="B681" s="1" t="s">
        <v>1280</v>
      </c>
      <c r="C681" s="1">
        <v>17</v>
      </c>
      <c r="D681" s="1" t="s">
        <v>1494</v>
      </c>
      <c r="E681" s="1" t="s">
        <v>1495</v>
      </c>
      <c r="F681" s="1">
        <v>34.8431</v>
      </c>
      <c r="G681" s="1">
        <v>136.541</v>
      </c>
      <c r="H681" s="1" t="s">
        <v>1496</v>
      </c>
      <c r="I681" s="1" t="s">
        <v>375</v>
      </c>
      <c r="J681" s="81">
        <v>37178</v>
      </c>
      <c r="K681" s="81" t="s">
        <v>1751</v>
      </c>
    </row>
    <row r="682" spans="1:11">
      <c r="A682" s="1">
        <v>2002</v>
      </c>
      <c r="B682" s="1" t="s">
        <v>1450</v>
      </c>
      <c r="C682" s="1">
        <v>1</v>
      </c>
      <c r="D682" s="1" t="s">
        <v>1644</v>
      </c>
      <c r="E682" s="1" t="s">
        <v>1645</v>
      </c>
      <c r="F682" s="1">
        <v>-37.849699999999999</v>
      </c>
      <c r="G682" s="1">
        <v>144.96799999999999</v>
      </c>
      <c r="H682" s="1" t="s">
        <v>1646</v>
      </c>
      <c r="I682" s="1" t="s">
        <v>1454</v>
      </c>
      <c r="J682" s="81">
        <v>37318</v>
      </c>
      <c r="K682" s="81" t="s">
        <v>1752</v>
      </c>
    </row>
    <row r="683" spans="1:11">
      <c r="A683" s="1">
        <v>2002</v>
      </c>
      <c r="B683" s="1" t="s">
        <v>1711</v>
      </c>
      <c r="C683" s="1">
        <v>2</v>
      </c>
      <c r="D683" s="1" t="s">
        <v>1712</v>
      </c>
      <c r="E683" s="1" t="s">
        <v>1713</v>
      </c>
      <c r="F683" s="1">
        <v>2.7608299999999999</v>
      </c>
      <c r="G683" s="1">
        <v>101.738</v>
      </c>
      <c r="H683" s="1" t="s">
        <v>1714</v>
      </c>
      <c r="I683" s="1" t="s">
        <v>1715</v>
      </c>
      <c r="J683" s="81">
        <v>37332</v>
      </c>
      <c r="K683" s="81" t="s">
        <v>1753</v>
      </c>
    </row>
    <row r="684" spans="1:11">
      <c r="A684" s="1">
        <v>2002</v>
      </c>
      <c r="B684" s="1" t="s">
        <v>1203</v>
      </c>
      <c r="C684" s="1">
        <v>3</v>
      </c>
      <c r="D684" s="1" t="s">
        <v>1204</v>
      </c>
      <c r="E684" s="1" t="s">
        <v>1205</v>
      </c>
      <c r="F684" s="1">
        <v>-23.703600000000002</v>
      </c>
      <c r="G684" s="1">
        <v>-46.6997</v>
      </c>
      <c r="H684" s="1" t="s">
        <v>1206</v>
      </c>
      <c r="I684" s="1" t="s">
        <v>1207</v>
      </c>
      <c r="J684" s="81">
        <v>37346</v>
      </c>
      <c r="K684" s="81" t="s">
        <v>1754</v>
      </c>
    </row>
    <row r="685" spans="1:11">
      <c r="A685" s="1">
        <v>2002</v>
      </c>
      <c r="B685" s="1" t="s">
        <v>1359</v>
      </c>
      <c r="C685" s="1">
        <v>4</v>
      </c>
      <c r="D685" s="1" t="s">
        <v>1350</v>
      </c>
      <c r="E685" s="1" t="s">
        <v>1351</v>
      </c>
      <c r="F685" s="1">
        <v>44.343899999999998</v>
      </c>
      <c r="G685" s="1">
        <v>11.716699999999999</v>
      </c>
      <c r="H685" s="1" t="s">
        <v>1352</v>
      </c>
      <c r="I685" s="1" t="s">
        <v>886</v>
      </c>
      <c r="J685" s="81">
        <v>37360</v>
      </c>
      <c r="K685" s="81" t="s">
        <v>1755</v>
      </c>
    </row>
    <row r="686" spans="1:11">
      <c r="A686" s="1">
        <v>2002</v>
      </c>
      <c r="B686" s="1" t="s">
        <v>899</v>
      </c>
      <c r="C686" s="1">
        <v>5</v>
      </c>
      <c r="D686" s="1" t="s">
        <v>1566</v>
      </c>
      <c r="E686" s="1" t="s">
        <v>1567</v>
      </c>
      <c r="F686" s="1">
        <v>41.57</v>
      </c>
      <c r="G686" s="1">
        <v>2.26111</v>
      </c>
      <c r="H686" s="1" t="s">
        <v>1568</v>
      </c>
      <c r="I686" s="1" t="s">
        <v>903</v>
      </c>
      <c r="J686" s="81">
        <v>37374</v>
      </c>
      <c r="K686" s="81" t="s">
        <v>1756</v>
      </c>
    </row>
    <row r="687" spans="1:11">
      <c r="A687" s="1">
        <v>2002</v>
      </c>
      <c r="B687" s="1" t="s">
        <v>1072</v>
      </c>
      <c r="C687" s="1">
        <v>6</v>
      </c>
      <c r="D687" s="1" t="s">
        <v>1166</v>
      </c>
      <c r="E687" s="1" t="s">
        <v>1167</v>
      </c>
      <c r="F687" s="1">
        <v>47.219700000000003</v>
      </c>
      <c r="G687" s="1">
        <v>14.764699999999999</v>
      </c>
      <c r="H687" s="1" t="s">
        <v>1168</v>
      </c>
      <c r="I687" s="1" t="s">
        <v>1076</v>
      </c>
      <c r="J687" s="81">
        <v>37388</v>
      </c>
      <c r="K687" s="81" t="s">
        <v>1757</v>
      </c>
    </row>
    <row r="688" spans="1:11">
      <c r="A688" s="1">
        <v>2002</v>
      </c>
      <c r="B688" s="1" t="s">
        <v>856</v>
      </c>
      <c r="C688" s="1">
        <v>7</v>
      </c>
      <c r="D688" s="1" t="s">
        <v>857</v>
      </c>
      <c r="E688" s="1" t="s">
        <v>858</v>
      </c>
      <c r="F688" s="1">
        <v>43.734699999999997</v>
      </c>
      <c r="G688" s="1">
        <v>7.42056</v>
      </c>
      <c r="H688" s="1" t="s">
        <v>859</v>
      </c>
      <c r="I688" s="1" t="s">
        <v>860</v>
      </c>
      <c r="J688" s="81">
        <v>37402</v>
      </c>
      <c r="K688" s="81" t="s">
        <v>1758</v>
      </c>
    </row>
    <row r="689" spans="1:11">
      <c r="A689" s="1">
        <v>2002</v>
      </c>
      <c r="B689" s="1" t="s">
        <v>1115</v>
      </c>
      <c r="C689" s="1">
        <v>8</v>
      </c>
      <c r="D689" s="1" t="s">
        <v>1320</v>
      </c>
      <c r="E689" s="1" t="s">
        <v>1321</v>
      </c>
      <c r="F689" s="1">
        <v>45.5</v>
      </c>
      <c r="G689" s="1">
        <v>-73.522800000000004</v>
      </c>
      <c r="H689" s="1" t="s">
        <v>1322</v>
      </c>
      <c r="I689" s="1" t="s">
        <v>1119</v>
      </c>
      <c r="J689" s="81">
        <v>37416</v>
      </c>
      <c r="K689" s="81" t="s">
        <v>1759</v>
      </c>
    </row>
    <row r="690" spans="1:11">
      <c r="A690" s="1">
        <v>2002</v>
      </c>
      <c r="B690" s="1" t="s">
        <v>1409</v>
      </c>
      <c r="C690" s="1">
        <v>9</v>
      </c>
      <c r="D690" s="1" t="s">
        <v>894</v>
      </c>
      <c r="E690" s="1" t="s">
        <v>895</v>
      </c>
      <c r="F690" s="1">
        <v>50.335599999999999</v>
      </c>
      <c r="G690" s="1">
        <v>6.9474999999999998</v>
      </c>
      <c r="H690" s="1" t="s">
        <v>896</v>
      </c>
      <c r="I690" s="1" t="s">
        <v>761</v>
      </c>
      <c r="J690" s="81">
        <v>37430</v>
      </c>
      <c r="K690" s="81" t="s">
        <v>1760</v>
      </c>
    </row>
    <row r="691" spans="1:11">
      <c r="A691" s="1">
        <v>2002</v>
      </c>
      <c r="B691" s="1" t="s">
        <v>850</v>
      </c>
      <c r="C691" s="1">
        <v>10</v>
      </c>
      <c r="D691" s="1" t="s">
        <v>851</v>
      </c>
      <c r="E691" s="1" t="s">
        <v>852</v>
      </c>
      <c r="F691" s="1">
        <v>52.078600000000002</v>
      </c>
      <c r="G691" s="1">
        <v>-1.01694</v>
      </c>
      <c r="H691" s="1" t="s">
        <v>853</v>
      </c>
      <c r="I691" s="1" t="s">
        <v>854</v>
      </c>
      <c r="J691" s="81">
        <v>37444</v>
      </c>
      <c r="K691" s="81" t="s">
        <v>1761</v>
      </c>
    </row>
    <row r="692" spans="1:11">
      <c r="A692" s="1">
        <v>2002</v>
      </c>
      <c r="B692" s="1" t="s">
        <v>877</v>
      </c>
      <c r="C692" s="1">
        <v>11</v>
      </c>
      <c r="D692" s="1" t="s">
        <v>1556</v>
      </c>
      <c r="E692" s="1" t="s">
        <v>1557</v>
      </c>
      <c r="F692" s="1">
        <v>46.864199999999997</v>
      </c>
      <c r="G692" s="1">
        <v>3.1636099999999998</v>
      </c>
      <c r="H692" s="1" t="s">
        <v>1558</v>
      </c>
      <c r="I692" s="1" t="s">
        <v>755</v>
      </c>
      <c r="J692" s="81">
        <v>37458</v>
      </c>
      <c r="K692" s="81" t="s">
        <v>1762</v>
      </c>
    </row>
    <row r="693" spans="1:11">
      <c r="A693" s="1">
        <v>2002</v>
      </c>
      <c r="B693" s="1" t="s">
        <v>893</v>
      </c>
      <c r="C693" s="1">
        <v>12</v>
      </c>
      <c r="D693" s="1" t="s">
        <v>1162</v>
      </c>
      <c r="E693" s="1" t="s">
        <v>1163</v>
      </c>
      <c r="F693" s="1">
        <v>49.327800000000003</v>
      </c>
      <c r="G693" s="1">
        <v>8.5658300000000001</v>
      </c>
      <c r="H693" s="1" t="s">
        <v>1164</v>
      </c>
      <c r="I693" s="1" t="s">
        <v>761</v>
      </c>
      <c r="J693" s="81">
        <v>37465</v>
      </c>
      <c r="K693" s="81" t="s">
        <v>1763</v>
      </c>
    </row>
    <row r="694" spans="1:11">
      <c r="A694" s="1">
        <v>2002</v>
      </c>
      <c r="B694" s="1" t="s">
        <v>1469</v>
      </c>
      <c r="C694" s="1">
        <v>13</v>
      </c>
      <c r="D694" s="1" t="s">
        <v>1470</v>
      </c>
      <c r="E694" s="1" t="s">
        <v>1471</v>
      </c>
      <c r="F694" s="1">
        <v>47.578899999999997</v>
      </c>
      <c r="G694" s="1">
        <v>19.2486</v>
      </c>
      <c r="H694" s="1" t="s">
        <v>1472</v>
      </c>
      <c r="I694" s="1" t="s">
        <v>1473</v>
      </c>
      <c r="J694" s="81">
        <v>37486</v>
      </c>
      <c r="K694" s="81" t="s">
        <v>1764</v>
      </c>
    </row>
    <row r="695" spans="1:11">
      <c r="A695" s="1">
        <v>2002</v>
      </c>
      <c r="B695" s="1" t="s">
        <v>872</v>
      </c>
      <c r="C695" s="1">
        <v>14</v>
      </c>
      <c r="D695" s="1" t="s">
        <v>873</v>
      </c>
      <c r="E695" s="1" t="s">
        <v>874</v>
      </c>
      <c r="F695" s="1">
        <v>50.437199999999997</v>
      </c>
      <c r="G695" s="1">
        <v>5.9713900000000004</v>
      </c>
      <c r="H695" s="1" t="s">
        <v>875</v>
      </c>
      <c r="I695" s="1" t="s">
        <v>244</v>
      </c>
      <c r="J695" s="81">
        <v>37500</v>
      </c>
      <c r="K695" s="81" t="s">
        <v>1765</v>
      </c>
    </row>
    <row r="696" spans="1:11">
      <c r="A696" s="1">
        <v>2002</v>
      </c>
      <c r="B696" s="1" t="s">
        <v>882</v>
      </c>
      <c r="C696" s="1">
        <v>15</v>
      </c>
      <c r="D696" s="1" t="s">
        <v>883</v>
      </c>
      <c r="E696" s="1" t="s">
        <v>884</v>
      </c>
      <c r="F696" s="1">
        <v>45.615600000000001</v>
      </c>
      <c r="G696" s="1">
        <v>9.28111</v>
      </c>
      <c r="H696" s="1" t="s">
        <v>885</v>
      </c>
      <c r="I696" s="1" t="s">
        <v>886</v>
      </c>
      <c r="J696" s="81">
        <v>37514</v>
      </c>
      <c r="K696" s="81" t="s">
        <v>1766</v>
      </c>
    </row>
    <row r="697" spans="1:11">
      <c r="A697" s="1">
        <v>2002</v>
      </c>
      <c r="B697" s="1" t="s">
        <v>1006</v>
      </c>
      <c r="C697" s="1">
        <v>16</v>
      </c>
      <c r="D697" s="1" t="s">
        <v>863</v>
      </c>
      <c r="E697" s="1" t="s">
        <v>864</v>
      </c>
      <c r="F697" s="1">
        <v>39.795000000000002</v>
      </c>
      <c r="G697" s="1">
        <v>-86.234700000000004</v>
      </c>
      <c r="H697" s="1" t="s">
        <v>865</v>
      </c>
      <c r="I697" s="1" t="s">
        <v>82</v>
      </c>
      <c r="J697" s="81">
        <v>37528</v>
      </c>
      <c r="K697" s="81" t="s">
        <v>1767</v>
      </c>
    </row>
    <row r="698" spans="1:11">
      <c r="A698" s="1">
        <v>2002</v>
      </c>
      <c r="B698" s="1" t="s">
        <v>1280</v>
      </c>
      <c r="C698" s="1">
        <v>17</v>
      </c>
      <c r="D698" s="1" t="s">
        <v>1494</v>
      </c>
      <c r="E698" s="1" t="s">
        <v>1495</v>
      </c>
      <c r="F698" s="1">
        <v>34.8431</v>
      </c>
      <c r="G698" s="1">
        <v>136.541</v>
      </c>
      <c r="H698" s="1" t="s">
        <v>1496</v>
      </c>
      <c r="I698" s="1" t="s">
        <v>375</v>
      </c>
      <c r="J698" s="81">
        <v>37542</v>
      </c>
      <c r="K698" s="81" t="s">
        <v>1768</v>
      </c>
    </row>
    <row r="699" spans="1:11">
      <c r="A699" s="1">
        <v>2003</v>
      </c>
      <c r="B699" s="1" t="s">
        <v>1450</v>
      </c>
      <c r="C699" s="1">
        <v>1</v>
      </c>
      <c r="D699" s="1" t="s">
        <v>1644</v>
      </c>
      <c r="E699" s="1" t="s">
        <v>1645</v>
      </c>
      <c r="F699" s="1">
        <v>-37.849699999999999</v>
      </c>
      <c r="G699" s="1">
        <v>144.96799999999999</v>
      </c>
      <c r="H699" s="1" t="s">
        <v>1646</v>
      </c>
      <c r="I699" s="1" t="s">
        <v>1454</v>
      </c>
      <c r="J699" s="81">
        <v>37689</v>
      </c>
      <c r="K699" s="81" t="s">
        <v>1769</v>
      </c>
    </row>
    <row r="700" spans="1:11">
      <c r="A700" s="1">
        <v>2003</v>
      </c>
      <c r="B700" s="1" t="s">
        <v>1711</v>
      </c>
      <c r="C700" s="1">
        <v>2</v>
      </c>
      <c r="D700" s="1" t="s">
        <v>1712</v>
      </c>
      <c r="E700" s="1" t="s">
        <v>1713</v>
      </c>
      <c r="F700" s="1">
        <v>2.7608299999999999</v>
      </c>
      <c r="G700" s="1">
        <v>101.738</v>
      </c>
      <c r="H700" s="1" t="s">
        <v>1714</v>
      </c>
      <c r="I700" s="1" t="s">
        <v>1715</v>
      </c>
      <c r="J700" s="81">
        <v>37703</v>
      </c>
      <c r="K700" s="81" t="s">
        <v>1770</v>
      </c>
    </row>
    <row r="701" spans="1:11">
      <c r="A701" s="1">
        <v>2003</v>
      </c>
      <c r="B701" s="1" t="s">
        <v>1203</v>
      </c>
      <c r="C701" s="1">
        <v>3</v>
      </c>
      <c r="D701" s="1" t="s">
        <v>1204</v>
      </c>
      <c r="E701" s="1" t="s">
        <v>1205</v>
      </c>
      <c r="F701" s="1">
        <v>-23.703600000000002</v>
      </c>
      <c r="G701" s="1">
        <v>-46.6997</v>
      </c>
      <c r="H701" s="1" t="s">
        <v>1206</v>
      </c>
      <c r="I701" s="1" t="s">
        <v>1207</v>
      </c>
      <c r="J701" s="81">
        <v>37717</v>
      </c>
      <c r="K701" s="81" t="s">
        <v>1771</v>
      </c>
    </row>
    <row r="702" spans="1:11">
      <c r="A702" s="1">
        <v>2003</v>
      </c>
      <c r="B702" s="1" t="s">
        <v>1359</v>
      </c>
      <c r="C702" s="1">
        <v>4</v>
      </c>
      <c r="D702" s="1" t="s">
        <v>1350</v>
      </c>
      <c r="E702" s="1" t="s">
        <v>1351</v>
      </c>
      <c r="F702" s="1">
        <v>44.343899999999998</v>
      </c>
      <c r="G702" s="1">
        <v>11.716699999999999</v>
      </c>
      <c r="H702" s="1" t="s">
        <v>1352</v>
      </c>
      <c r="I702" s="1" t="s">
        <v>886</v>
      </c>
      <c r="J702" s="81">
        <v>37731</v>
      </c>
      <c r="K702" s="81" t="s">
        <v>1772</v>
      </c>
    </row>
    <row r="703" spans="1:11">
      <c r="A703" s="1">
        <v>2003</v>
      </c>
      <c r="B703" s="1" t="s">
        <v>899</v>
      </c>
      <c r="C703" s="1">
        <v>5</v>
      </c>
      <c r="D703" s="1" t="s">
        <v>1566</v>
      </c>
      <c r="E703" s="1" t="s">
        <v>1567</v>
      </c>
      <c r="F703" s="1">
        <v>41.57</v>
      </c>
      <c r="G703" s="1">
        <v>2.26111</v>
      </c>
      <c r="H703" s="1" t="s">
        <v>1568</v>
      </c>
      <c r="I703" s="1" t="s">
        <v>903</v>
      </c>
      <c r="J703" s="81">
        <v>37745</v>
      </c>
      <c r="K703" s="81" t="s">
        <v>1773</v>
      </c>
    </row>
    <row r="704" spans="1:11">
      <c r="A704" s="1">
        <v>2003</v>
      </c>
      <c r="B704" s="1" t="s">
        <v>1072</v>
      </c>
      <c r="C704" s="1">
        <v>6</v>
      </c>
      <c r="D704" s="1" t="s">
        <v>1166</v>
      </c>
      <c r="E704" s="1" t="s">
        <v>1167</v>
      </c>
      <c r="F704" s="1">
        <v>47.219700000000003</v>
      </c>
      <c r="G704" s="1">
        <v>14.764699999999999</v>
      </c>
      <c r="H704" s="1" t="s">
        <v>1168</v>
      </c>
      <c r="I704" s="1" t="s">
        <v>1076</v>
      </c>
      <c r="J704" s="81">
        <v>37759</v>
      </c>
      <c r="K704" s="81" t="s">
        <v>1774</v>
      </c>
    </row>
    <row r="705" spans="1:11">
      <c r="A705" s="1">
        <v>2003</v>
      </c>
      <c r="B705" s="1" t="s">
        <v>856</v>
      </c>
      <c r="C705" s="1">
        <v>7</v>
      </c>
      <c r="D705" s="1" t="s">
        <v>857</v>
      </c>
      <c r="E705" s="1" t="s">
        <v>858</v>
      </c>
      <c r="F705" s="1">
        <v>43.734699999999997</v>
      </c>
      <c r="G705" s="1">
        <v>7.42056</v>
      </c>
      <c r="H705" s="1" t="s">
        <v>859</v>
      </c>
      <c r="I705" s="1" t="s">
        <v>860</v>
      </c>
      <c r="J705" s="81">
        <v>37773</v>
      </c>
      <c r="K705" s="81" t="s">
        <v>1775</v>
      </c>
    </row>
    <row r="706" spans="1:11">
      <c r="A706" s="1">
        <v>2003</v>
      </c>
      <c r="B706" s="1" t="s">
        <v>1115</v>
      </c>
      <c r="C706" s="1">
        <v>8</v>
      </c>
      <c r="D706" s="1" t="s">
        <v>1320</v>
      </c>
      <c r="E706" s="1" t="s">
        <v>1321</v>
      </c>
      <c r="F706" s="1">
        <v>45.5</v>
      </c>
      <c r="G706" s="1">
        <v>-73.522800000000004</v>
      </c>
      <c r="H706" s="1" t="s">
        <v>1322</v>
      </c>
      <c r="I706" s="1" t="s">
        <v>1119</v>
      </c>
      <c r="J706" s="81">
        <v>37787</v>
      </c>
      <c r="K706" s="81" t="s">
        <v>1776</v>
      </c>
    </row>
    <row r="707" spans="1:11">
      <c r="A707" s="1">
        <v>2003</v>
      </c>
      <c r="B707" s="1" t="s">
        <v>1409</v>
      </c>
      <c r="C707" s="1">
        <v>9</v>
      </c>
      <c r="D707" s="1" t="s">
        <v>894</v>
      </c>
      <c r="E707" s="1" t="s">
        <v>895</v>
      </c>
      <c r="F707" s="1">
        <v>50.335599999999999</v>
      </c>
      <c r="G707" s="1">
        <v>6.9474999999999998</v>
      </c>
      <c r="H707" s="1" t="s">
        <v>896</v>
      </c>
      <c r="I707" s="1" t="s">
        <v>761</v>
      </c>
      <c r="J707" s="81">
        <v>37801</v>
      </c>
      <c r="K707" s="81" t="s">
        <v>1777</v>
      </c>
    </row>
    <row r="708" spans="1:11">
      <c r="A708" s="1">
        <v>2003</v>
      </c>
      <c r="B708" s="1" t="s">
        <v>877</v>
      </c>
      <c r="C708" s="1">
        <v>10</v>
      </c>
      <c r="D708" s="1" t="s">
        <v>1556</v>
      </c>
      <c r="E708" s="1" t="s">
        <v>1557</v>
      </c>
      <c r="F708" s="1">
        <v>46.864199999999997</v>
      </c>
      <c r="G708" s="1">
        <v>3.1636099999999998</v>
      </c>
      <c r="H708" s="1" t="s">
        <v>1558</v>
      </c>
      <c r="I708" s="1" t="s">
        <v>755</v>
      </c>
      <c r="J708" s="81">
        <v>37808</v>
      </c>
      <c r="K708" s="81" t="s">
        <v>1778</v>
      </c>
    </row>
    <row r="709" spans="1:11">
      <c r="A709" s="1">
        <v>2003</v>
      </c>
      <c r="B709" s="1" t="s">
        <v>850</v>
      </c>
      <c r="C709" s="1">
        <v>11</v>
      </c>
      <c r="D709" s="1" t="s">
        <v>851</v>
      </c>
      <c r="E709" s="1" t="s">
        <v>852</v>
      </c>
      <c r="F709" s="1">
        <v>52.078600000000002</v>
      </c>
      <c r="G709" s="1">
        <v>-1.01694</v>
      </c>
      <c r="H709" s="1" t="s">
        <v>853</v>
      </c>
      <c r="I709" s="1" t="s">
        <v>854</v>
      </c>
      <c r="J709" s="81">
        <v>37822</v>
      </c>
      <c r="K709" s="81" t="s">
        <v>1779</v>
      </c>
    </row>
    <row r="710" spans="1:11">
      <c r="A710" s="1">
        <v>2003</v>
      </c>
      <c r="B710" s="1" t="s">
        <v>893</v>
      </c>
      <c r="C710" s="1">
        <v>12</v>
      </c>
      <c r="D710" s="1" t="s">
        <v>1162</v>
      </c>
      <c r="E710" s="1" t="s">
        <v>1163</v>
      </c>
      <c r="F710" s="1">
        <v>49.327800000000003</v>
      </c>
      <c r="G710" s="1">
        <v>8.5658300000000001</v>
      </c>
      <c r="H710" s="1" t="s">
        <v>1164</v>
      </c>
      <c r="I710" s="1" t="s">
        <v>761</v>
      </c>
      <c r="J710" s="81">
        <v>37836</v>
      </c>
      <c r="K710" s="81" t="s">
        <v>1780</v>
      </c>
    </row>
    <row r="711" spans="1:11">
      <c r="A711" s="1">
        <v>2003</v>
      </c>
      <c r="B711" s="1" t="s">
        <v>1469</v>
      </c>
      <c r="C711" s="1">
        <v>13</v>
      </c>
      <c r="D711" s="1" t="s">
        <v>1470</v>
      </c>
      <c r="E711" s="1" t="s">
        <v>1471</v>
      </c>
      <c r="F711" s="1">
        <v>47.578899999999997</v>
      </c>
      <c r="G711" s="1">
        <v>19.2486</v>
      </c>
      <c r="H711" s="1" t="s">
        <v>1472</v>
      </c>
      <c r="I711" s="1" t="s">
        <v>1473</v>
      </c>
      <c r="J711" s="81">
        <v>37857</v>
      </c>
      <c r="K711" s="81" t="s">
        <v>1781</v>
      </c>
    </row>
    <row r="712" spans="1:11">
      <c r="A712" s="1">
        <v>2003</v>
      </c>
      <c r="B712" s="1" t="s">
        <v>882</v>
      </c>
      <c r="C712" s="1">
        <v>14</v>
      </c>
      <c r="D712" s="1" t="s">
        <v>883</v>
      </c>
      <c r="E712" s="1" t="s">
        <v>884</v>
      </c>
      <c r="F712" s="1">
        <v>45.615600000000001</v>
      </c>
      <c r="G712" s="1">
        <v>9.28111</v>
      </c>
      <c r="H712" s="1" t="s">
        <v>885</v>
      </c>
      <c r="I712" s="1" t="s">
        <v>886</v>
      </c>
      <c r="J712" s="81">
        <v>37878</v>
      </c>
      <c r="K712" s="81" t="s">
        <v>1782</v>
      </c>
    </row>
    <row r="713" spans="1:11">
      <c r="A713" s="1">
        <v>2003</v>
      </c>
      <c r="B713" s="1" t="s">
        <v>1006</v>
      </c>
      <c r="C713" s="1">
        <v>15</v>
      </c>
      <c r="D713" s="1" t="s">
        <v>863</v>
      </c>
      <c r="E713" s="1" t="s">
        <v>864</v>
      </c>
      <c r="F713" s="1">
        <v>39.795000000000002</v>
      </c>
      <c r="G713" s="1">
        <v>-86.234700000000004</v>
      </c>
      <c r="H713" s="1" t="s">
        <v>865</v>
      </c>
      <c r="I713" s="1" t="s">
        <v>82</v>
      </c>
      <c r="J713" s="81">
        <v>37892</v>
      </c>
      <c r="K713" s="81" t="s">
        <v>1783</v>
      </c>
    </row>
    <row r="714" spans="1:11">
      <c r="A714" s="1">
        <v>2003</v>
      </c>
      <c r="B714" s="1" t="s">
        <v>1280</v>
      </c>
      <c r="C714" s="1">
        <v>16</v>
      </c>
      <c r="D714" s="1" t="s">
        <v>1494</v>
      </c>
      <c r="E714" s="1" t="s">
        <v>1495</v>
      </c>
      <c r="F714" s="1">
        <v>34.8431</v>
      </c>
      <c r="G714" s="1">
        <v>136.541</v>
      </c>
      <c r="H714" s="1" t="s">
        <v>1496</v>
      </c>
      <c r="I714" s="1" t="s">
        <v>375</v>
      </c>
      <c r="J714" s="81">
        <v>37906</v>
      </c>
      <c r="K714" s="81" t="s">
        <v>1784</v>
      </c>
    </row>
    <row r="715" spans="1:11">
      <c r="A715" s="1">
        <v>2004</v>
      </c>
      <c r="B715" s="1" t="s">
        <v>1450</v>
      </c>
      <c r="C715" s="1">
        <v>1</v>
      </c>
      <c r="D715" s="1" t="s">
        <v>1644</v>
      </c>
      <c r="E715" s="1" t="s">
        <v>1645</v>
      </c>
      <c r="F715" s="1">
        <v>-37.849699999999999</v>
      </c>
      <c r="G715" s="1">
        <v>144.96799999999999</v>
      </c>
      <c r="H715" s="1" t="s">
        <v>1646</v>
      </c>
      <c r="I715" s="1" t="s">
        <v>1454</v>
      </c>
      <c r="J715" s="81">
        <v>38053</v>
      </c>
      <c r="K715" s="81" t="s">
        <v>1785</v>
      </c>
    </row>
    <row r="716" spans="1:11">
      <c r="A716" s="1">
        <v>2004</v>
      </c>
      <c r="B716" s="1" t="s">
        <v>1711</v>
      </c>
      <c r="C716" s="1">
        <v>2</v>
      </c>
      <c r="D716" s="1" t="s">
        <v>1712</v>
      </c>
      <c r="E716" s="1" t="s">
        <v>1713</v>
      </c>
      <c r="F716" s="1">
        <v>2.7608299999999999</v>
      </c>
      <c r="G716" s="1">
        <v>101.738</v>
      </c>
      <c r="H716" s="1" t="s">
        <v>1714</v>
      </c>
      <c r="I716" s="1" t="s">
        <v>1715</v>
      </c>
      <c r="J716" s="81">
        <v>38067</v>
      </c>
      <c r="K716" s="81" t="s">
        <v>1786</v>
      </c>
    </row>
    <row r="717" spans="1:11">
      <c r="A717" s="1">
        <v>2004</v>
      </c>
      <c r="B717" s="1" t="s">
        <v>1787</v>
      </c>
      <c r="C717" s="1">
        <v>3</v>
      </c>
      <c r="D717" s="1" t="s">
        <v>1788</v>
      </c>
      <c r="E717" s="1" t="s">
        <v>1789</v>
      </c>
      <c r="F717" s="1">
        <v>26.032499999999999</v>
      </c>
      <c r="G717" s="1">
        <v>50.510599999999997</v>
      </c>
      <c r="H717" s="1" t="s">
        <v>1790</v>
      </c>
      <c r="I717" s="1" t="s">
        <v>1791</v>
      </c>
      <c r="J717" s="81">
        <v>38081</v>
      </c>
      <c r="K717" s="81" t="s">
        <v>1792</v>
      </c>
    </row>
    <row r="718" spans="1:11">
      <c r="A718" s="1">
        <v>2004</v>
      </c>
      <c r="B718" s="1" t="s">
        <v>1359</v>
      </c>
      <c r="C718" s="1">
        <v>4</v>
      </c>
      <c r="D718" s="1" t="s">
        <v>1350</v>
      </c>
      <c r="E718" s="1" t="s">
        <v>1351</v>
      </c>
      <c r="F718" s="1">
        <v>44.343899999999998</v>
      </c>
      <c r="G718" s="1">
        <v>11.716699999999999</v>
      </c>
      <c r="H718" s="1" t="s">
        <v>1352</v>
      </c>
      <c r="I718" s="1" t="s">
        <v>886</v>
      </c>
      <c r="J718" s="81">
        <v>38102</v>
      </c>
      <c r="K718" s="81" t="s">
        <v>1793</v>
      </c>
    </row>
    <row r="719" spans="1:11">
      <c r="A719" s="1">
        <v>2004</v>
      </c>
      <c r="B719" s="1" t="s">
        <v>899</v>
      </c>
      <c r="C719" s="1">
        <v>5</v>
      </c>
      <c r="D719" s="1" t="s">
        <v>1566</v>
      </c>
      <c r="E719" s="1" t="s">
        <v>1567</v>
      </c>
      <c r="F719" s="1">
        <v>41.57</v>
      </c>
      <c r="G719" s="1">
        <v>2.26111</v>
      </c>
      <c r="H719" s="1" t="s">
        <v>1568</v>
      </c>
      <c r="I719" s="1" t="s">
        <v>903</v>
      </c>
      <c r="J719" s="81">
        <v>38116</v>
      </c>
      <c r="K719" s="81" t="s">
        <v>1794</v>
      </c>
    </row>
    <row r="720" spans="1:11">
      <c r="A720" s="1">
        <v>2004</v>
      </c>
      <c r="B720" s="1" t="s">
        <v>856</v>
      </c>
      <c r="C720" s="1">
        <v>6</v>
      </c>
      <c r="D720" s="1" t="s">
        <v>857</v>
      </c>
      <c r="E720" s="1" t="s">
        <v>858</v>
      </c>
      <c r="F720" s="1">
        <v>43.734699999999997</v>
      </c>
      <c r="G720" s="1">
        <v>7.42056</v>
      </c>
      <c r="H720" s="1" t="s">
        <v>859</v>
      </c>
      <c r="I720" s="1" t="s">
        <v>860</v>
      </c>
      <c r="J720" s="81">
        <v>38130</v>
      </c>
      <c r="K720" s="81" t="s">
        <v>1795</v>
      </c>
    </row>
    <row r="721" spans="1:11">
      <c r="A721" s="1">
        <v>2004</v>
      </c>
      <c r="B721" s="1" t="s">
        <v>1409</v>
      </c>
      <c r="C721" s="1">
        <v>7</v>
      </c>
      <c r="D721" s="1" t="s">
        <v>894</v>
      </c>
      <c r="E721" s="1" t="s">
        <v>895</v>
      </c>
      <c r="F721" s="1">
        <v>50.335599999999999</v>
      </c>
      <c r="G721" s="1">
        <v>6.9474999999999998</v>
      </c>
      <c r="H721" s="1" t="s">
        <v>896</v>
      </c>
      <c r="I721" s="1" t="s">
        <v>761</v>
      </c>
      <c r="J721" s="81">
        <v>38137</v>
      </c>
      <c r="K721" s="81" t="s">
        <v>1796</v>
      </c>
    </row>
    <row r="722" spans="1:11">
      <c r="A722" s="1">
        <v>2004</v>
      </c>
      <c r="B722" s="1" t="s">
        <v>1115</v>
      </c>
      <c r="C722" s="1">
        <v>8</v>
      </c>
      <c r="D722" s="1" t="s">
        <v>1320</v>
      </c>
      <c r="E722" s="1" t="s">
        <v>1321</v>
      </c>
      <c r="F722" s="1">
        <v>45.5</v>
      </c>
      <c r="G722" s="1">
        <v>-73.522800000000004</v>
      </c>
      <c r="H722" s="1" t="s">
        <v>1322</v>
      </c>
      <c r="I722" s="1" t="s">
        <v>1119</v>
      </c>
      <c r="J722" s="81">
        <v>38151</v>
      </c>
      <c r="K722" s="81" t="s">
        <v>1797</v>
      </c>
    </row>
    <row r="723" spans="1:11">
      <c r="A723" s="1">
        <v>2004</v>
      </c>
      <c r="B723" s="1" t="s">
        <v>1006</v>
      </c>
      <c r="C723" s="1">
        <v>9</v>
      </c>
      <c r="D723" s="1" t="s">
        <v>863</v>
      </c>
      <c r="E723" s="1" t="s">
        <v>864</v>
      </c>
      <c r="F723" s="1">
        <v>39.795000000000002</v>
      </c>
      <c r="G723" s="1">
        <v>-86.234700000000004</v>
      </c>
      <c r="H723" s="1" t="s">
        <v>865</v>
      </c>
      <c r="I723" s="1" t="s">
        <v>82</v>
      </c>
      <c r="J723" s="81">
        <v>38158</v>
      </c>
      <c r="K723" s="81" t="s">
        <v>1798</v>
      </c>
    </row>
    <row r="724" spans="1:11">
      <c r="A724" s="1">
        <v>2004</v>
      </c>
      <c r="B724" s="1" t="s">
        <v>877</v>
      </c>
      <c r="C724" s="1">
        <v>10</v>
      </c>
      <c r="D724" s="1" t="s">
        <v>1556</v>
      </c>
      <c r="E724" s="1" t="s">
        <v>1557</v>
      </c>
      <c r="F724" s="1">
        <v>46.864199999999997</v>
      </c>
      <c r="G724" s="1">
        <v>3.1636099999999998</v>
      </c>
      <c r="H724" s="1" t="s">
        <v>1558</v>
      </c>
      <c r="I724" s="1" t="s">
        <v>755</v>
      </c>
      <c r="J724" s="81">
        <v>38172</v>
      </c>
      <c r="K724" s="81" t="s">
        <v>1799</v>
      </c>
    </row>
    <row r="725" spans="1:11">
      <c r="A725" s="1">
        <v>2004</v>
      </c>
      <c r="B725" s="1" t="s">
        <v>850</v>
      </c>
      <c r="C725" s="1">
        <v>11</v>
      </c>
      <c r="D725" s="1" t="s">
        <v>851</v>
      </c>
      <c r="E725" s="1" t="s">
        <v>852</v>
      </c>
      <c r="F725" s="1">
        <v>52.078600000000002</v>
      </c>
      <c r="G725" s="1">
        <v>-1.01694</v>
      </c>
      <c r="H725" s="1" t="s">
        <v>853</v>
      </c>
      <c r="I725" s="1" t="s">
        <v>854</v>
      </c>
      <c r="J725" s="81">
        <v>38179</v>
      </c>
      <c r="K725" s="81" t="s">
        <v>1800</v>
      </c>
    </row>
    <row r="726" spans="1:11">
      <c r="A726" s="1">
        <v>2004</v>
      </c>
      <c r="B726" s="1" t="s">
        <v>893</v>
      </c>
      <c r="C726" s="1">
        <v>12</v>
      </c>
      <c r="D726" s="1" t="s">
        <v>1162</v>
      </c>
      <c r="E726" s="1" t="s">
        <v>1163</v>
      </c>
      <c r="F726" s="1">
        <v>49.327800000000003</v>
      </c>
      <c r="G726" s="1">
        <v>8.5658300000000001</v>
      </c>
      <c r="H726" s="1" t="s">
        <v>1164</v>
      </c>
      <c r="I726" s="1" t="s">
        <v>761</v>
      </c>
      <c r="J726" s="81">
        <v>38193</v>
      </c>
      <c r="K726" s="81" t="s">
        <v>1801</v>
      </c>
    </row>
    <row r="727" spans="1:11">
      <c r="A727" s="1">
        <v>2004</v>
      </c>
      <c r="B727" s="1" t="s">
        <v>1469</v>
      </c>
      <c r="C727" s="1">
        <v>13</v>
      </c>
      <c r="D727" s="1" t="s">
        <v>1470</v>
      </c>
      <c r="E727" s="1" t="s">
        <v>1471</v>
      </c>
      <c r="F727" s="1">
        <v>47.578899999999997</v>
      </c>
      <c r="G727" s="1">
        <v>19.2486</v>
      </c>
      <c r="H727" s="1" t="s">
        <v>1472</v>
      </c>
      <c r="I727" s="1" t="s">
        <v>1473</v>
      </c>
      <c r="J727" s="81">
        <v>38214</v>
      </c>
      <c r="K727" s="81" t="s">
        <v>1802</v>
      </c>
    </row>
    <row r="728" spans="1:11">
      <c r="A728" s="1">
        <v>2004</v>
      </c>
      <c r="B728" s="1" t="s">
        <v>872</v>
      </c>
      <c r="C728" s="1">
        <v>14</v>
      </c>
      <c r="D728" s="1" t="s">
        <v>873</v>
      </c>
      <c r="E728" s="1" t="s">
        <v>874</v>
      </c>
      <c r="F728" s="1">
        <v>50.437199999999997</v>
      </c>
      <c r="G728" s="1">
        <v>5.9713900000000004</v>
      </c>
      <c r="H728" s="1" t="s">
        <v>875</v>
      </c>
      <c r="I728" s="1" t="s">
        <v>244</v>
      </c>
      <c r="J728" s="81">
        <v>38228</v>
      </c>
      <c r="K728" s="81" t="s">
        <v>1803</v>
      </c>
    </row>
    <row r="729" spans="1:11">
      <c r="A729" s="1">
        <v>2004</v>
      </c>
      <c r="B729" s="1" t="s">
        <v>882</v>
      </c>
      <c r="C729" s="1">
        <v>15</v>
      </c>
      <c r="D729" s="1" t="s">
        <v>883</v>
      </c>
      <c r="E729" s="1" t="s">
        <v>884</v>
      </c>
      <c r="F729" s="1">
        <v>45.615600000000001</v>
      </c>
      <c r="G729" s="1">
        <v>9.28111</v>
      </c>
      <c r="H729" s="1" t="s">
        <v>885</v>
      </c>
      <c r="I729" s="1" t="s">
        <v>886</v>
      </c>
      <c r="J729" s="81">
        <v>38242</v>
      </c>
      <c r="K729" s="81" t="s">
        <v>1804</v>
      </c>
    </row>
    <row r="730" spans="1:11">
      <c r="A730" s="1">
        <v>2004</v>
      </c>
      <c r="B730" s="1" t="s">
        <v>1805</v>
      </c>
      <c r="C730" s="1">
        <v>16</v>
      </c>
      <c r="D730" s="1" t="s">
        <v>1806</v>
      </c>
      <c r="E730" s="1" t="s">
        <v>1807</v>
      </c>
      <c r="F730" s="1">
        <v>31.338899999999999</v>
      </c>
      <c r="G730" s="1">
        <v>121.22</v>
      </c>
      <c r="H730" s="1" t="s">
        <v>1808</v>
      </c>
      <c r="I730" s="1" t="s">
        <v>255</v>
      </c>
      <c r="J730" s="81">
        <v>38256</v>
      </c>
      <c r="K730" s="81" t="s">
        <v>1809</v>
      </c>
    </row>
    <row r="731" spans="1:11">
      <c r="A731" s="1">
        <v>2004</v>
      </c>
      <c r="B731" s="1" t="s">
        <v>1280</v>
      </c>
      <c r="C731" s="1">
        <v>17</v>
      </c>
      <c r="D731" s="1" t="s">
        <v>1494</v>
      </c>
      <c r="E731" s="1" t="s">
        <v>1495</v>
      </c>
      <c r="F731" s="1">
        <v>34.8431</v>
      </c>
      <c r="G731" s="1">
        <v>136.541</v>
      </c>
      <c r="H731" s="1" t="s">
        <v>1496</v>
      </c>
      <c r="I731" s="1" t="s">
        <v>375</v>
      </c>
      <c r="J731" s="81">
        <v>38270</v>
      </c>
      <c r="K731" s="81" t="s">
        <v>1810</v>
      </c>
    </row>
    <row r="732" spans="1:11">
      <c r="A732" s="1">
        <v>2004</v>
      </c>
      <c r="B732" s="1" t="s">
        <v>1203</v>
      </c>
      <c r="C732" s="1">
        <v>18</v>
      </c>
      <c r="D732" s="1" t="s">
        <v>1204</v>
      </c>
      <c r="E732" s="1" t="s">
        <v>1205</v>
      </c>
      <c r="F732" s="1">
        <v>-23.703600000000002</v>
      </c>
      <c r="G732" s="1">
        <v>-46.6997</v>
      </c>
      <c r="H732" s="1" t="s">
        <v>1206</v>
      </c>
      <c r="I732" s="1" t="s">
        <v>1207</v>
      </c>
      <c r="J732" s="81">
        <v>38284</v>
      </c>
      <c r="K732" s="81" t="s">
        <v>1811</v>
      </c>
    </row>
    <row r="733" spans="1:11">
      <c r="A733" s="1">
        <v>2005</v>
      </c>
      <c r="B733" s="1" t="s">
        <v>1450</v>
      </c>
      <c r="C733" s="1">
        <v>1</v>
      </c>
      <c r="D733" s="1" t="s">
        <v>1644</v>
      </c>
      <c r="E733" s="1" t="s">
        <v>1645</v>
      </c>
      <c r="F733" s="1">
        <v>-37.849699999999999</v>
      </c>
      <c r="G733" s="1">
        <v>144.96799999999999</v>
      </c>
      <c r="H733" s="1" t="s">
        <v>1646</v>
      </c>
      <c r="I733" s="1" t="s">
        <v>1454</v>
      </c>
      <c r="J733" s="81">
        <v>38417</v>
      </c>
      <c r="K733" s="81" t="s">
        <v>1812</v>
      </c>
    </row>
    <row r="734" spans="1:11">
      <c r="A734" s="1">
        <v>2005</v>
      </c>
      <c r="B734" s="1" t="s">
        <v>1711</v>
      </c>
      <c r="C734" s="1">
        <v>2</v>
      </c>
      <c r="D734" s="1" t="s">
        <v>1712</v>
      </c>
      <c r="E734" s="1" t="s">
        <v>1713</v>
      </c>
      <c r="F734" s="1">
        <v>2.7608299999999999</v>
      </c>
      <c r="G734" s="1">
        <v>101.738</v>
      </c>
      <c r="H734" s="1" t="s">
        <v>1714</v>
      </c>
      <c r="I734" s="1" t="s">
        <v>1715</v>
      </c>
      <c r="J734" s="81">
        <v>38431</v>
      </c>
      <c r="K734" s="81" t="s">
        <v>1813</v>
      </c>
    </row>
    <row r="735" spans="1:11">
      <c r="A735" s="1">
        <v>2005</v>
      </c>
      <c r="B735" s="1" t="s">
        <v>1787</v>
      </c>
      <c r="C735" s="1">
        <v>3</v>
      </c>
      <c r="D735" s="1" t="s">
        <v>1788</v>
      </c>
      <c r="E735" s="1" t="s">
        <v>1789</v>
      </c>
      <c r="F735" s="1">
        <v>26.032499999999999</v>
      </c>
      <c r="G735" s="1">
        <v>50.510599999999997</v>
      </c>
      <c r="H735" s="1" t="s">
        <v>1790</v>
      </c>
      <c r="I735" s="1" t="s">
        <v>1791</v>
      </c>
      <c r="J735" s="81">
        <v>38445</v>
      </c>
      <c r="K735" s="81" t="s">
        <v>1814</v>
      </c>
    </row>
    <row r="736" spans="1:11">
      <c r="A736" s="1">
        <v>2005</v>
      </c>
      <c r="B736" s="1" t="s">
        <v>1359</v>
      </c>
      <c r="C736" s="1">
        <v>4</v>
      </c>
      <c r="D736" s="1" t="s">
        <v>1350</v>
      </c>
      <c r="E736" s="1" t="s">
        <v>1351</v>
      </c>
      <c r="F736" s="1">
        <v>44.343899999999998</v>
      </c>
      <c r="G736" s="1">
        <v>11.716699999999999</v>
      </c>
      <c r="H736" s="1" t="s">
        <v>1352</v>
      </c>
      <c r="I736" s="1" t="s">
        <v>886</v>
      </c>
      <c r="J736" s="81">
        <v>38466</v>
      </c>
      <c r="K736" s="81" t="s">
        <v>1815</v>
      </c>
    </row>
    <row r="737" spans="1:11">
      <c r="A737" s="1">
        <v>2005</v>
      </c>
      <c r="B737" s="1" t="s">
        <v>899</v>
      </c>
      <c r="C737" s="1">
        <v>5</v>
      </c>
      <c r="D737" s="1" t="s">
        <v>1566</v>
      </c>
      <c r="E737" s="1" t="s">
        <v>1567</v>
      </c>
      <c r="F737" s="1">
        <v>41.57</v>
      </c>
      <c r="G737" s="1">
        <v>2.26111</v>
      </c>
      <c r="H737" s="1" t="s">
        <v>1568</v>
      </c>
      <c r="I737" s="1" t="s">
        <v>903</v>
      </c>
      <c r="J737" s="81">
        <v>38480</v>
      </c>
      <c r="K737" s="81" t="s">
        <v>1816</v>
      </c>
    </row>
    <row r="738" spans="1:11">
      <c r="A738" s="1">
        <v>2005</v>
      </c>
      <c r="B738" s="1" t="s">
        <v>856</v>
      </c>
      <c r="C738" s="1">
        <v>6</v>
      </c>
      <c r="D738" s="1" t="s">
        <v>857</v>
      </c>
      <c r="E738" s="1" t="s">
        <v>858</v>
      </c>
      <c r="F738" s="1">
        <v>43.734699999999997</v>
      </c>
      <c r="G738" s="1">
        <v>7.42056</v>
      </c>
      <c r="H738" s="1" t="s">
        <v>859</v>
      </c>
      <c r="I738" s="1" t="s">
        <v>860</v>
      </c>
      <c r="J738" s="81">
        <v>38494</v>
      </c>
      <c r="K738" s="81" t="s">
        <v>1817</v>
      </c>
    </row>
    <row r="739" spans="1:11">
      <c r="A739" s="1">
        <v>2005</v>
      </c>
      <c r="B739" s="1" t="s">
        <v>1409</v>
      </c>
      <c r="C739" s="1">
        <v>7</v>
      </c>
      <c r="D739" s="1" t="s">
        <v>894</v>
      </c>
      <c r="E739" s="1" t="s">
        <v>895</v>
      </c>
      <c r="F739" s="1">
        <v>50.335599999999999</v>
      </c>
      <c r="G739" s="1">
        <v>6.9474999999999998</v>
      </c>
      <c r="H739" s="1" t="s">
        <v>896</v>
      </c>
      <c r="I739" s="1" t="s">
        <v>761</v>
      </c>
      <c r="J739" s="81">
        <v>38501</v>
      </c>
      <c r="K739" s="81" t="s">
        <v>1818</v>
      </c>
    </row>
    <row r="740" spans="1:11">
      <c r="A740" s="1">
        <v>2005</v>
      </c>
      <c r="B740" s="1" t="s">
        <v>1115</v>
      </c>
      <c r="C740" s="1">
        <v>8</v>
      </c>
      <c r="D740" s="1" t="s">
        <v>1320</v>
      </c>
      <c r="E740" s="1" t="s">
        <v>1321</v>
      </c>
      <c r="F740" s="1">
        <v>45.5</v>
      </c>
      <c r="G740" s="1">
        <v>-73.522800000000004</v>
      </c>
      <c r="H740" s="1" t="s">
        <v>1322</v>
      </c>
      <c r="I740" s="1" t="s">
        <v>1119</v>
      </c>
      <c r="J740" s="81">
        <v>38515</v>
      </c>
      <c r="K740" s="81" t="s">
        <v>1819</v>
      </c>
    </row>
    <row r="741" spans="1:11">
      <c r="A741" s="1">
        <v>2005</v>
      </c>
      <c r="B741" s="1" t="s">
        <v>1006</v>
      </c>
      <c r="C741" s="1">
        <v>9</v>
      </c>
      <c r="D741" s="1" t="s">
        <v>863</v>
      </c>
      <c r="E741" s="1" t="s">
        <v>864</v>
      </c>
      <c r="F741" s="1">
        <v>39.795000000000002</v>
      </c>
      <c r="G741" s="1">
        <v>-86.234700000000004</v>
      </c>
      <c r="H741" s="1" t="s">
        <v>865</v>
      </c>
      <c r="I741" s="1" t="s">
        <v>82</v>
      </c>
      <c r="J741" s="81">
        <v>38522</v>
      </c>
      <c r="K741" s="81" t="s">
        <v>1820</v>
      </c>
    </row>
    <row r="742" spans="1:11">
      <c r="A742" s="1">
        <v>2005</v>
      </c>
      <c r="B742" s="1" t="s">
        <v>877</v>
      </c>
      <c r="C742" s="1">
        <v>10</v>
      </c>
      <c r="D742" s="1" t="s">
        <v>1556</v>
      </c>
      <c r="E742" s="1" t="s">
        <v>1557</v>
      </c>
      <c r="F742" s="1">
        <v>46.864199999999997</v>
      </c>
      <c r="G742" s="1">
        <v>3.1636099999999998</v>
      </c>
      <c r="H742" s="1" t="s">
        <v>1558</v>
      </c>
      <c r="I742" s="1" t="s">
        <v>755</v>
      </c>
      <c r="J742" s="81">
        <v>38536</v>
      </c>
      <c r="K742" s="81" t="s">
        <v>1821</v>
      </c>
    </row>
    <row r="743" spans="1:11">
      <c r="A743" s="1">
        <v>2005</v>
      </c>
      <c r="B743" s="1" t="s">
        <v>850</v>
      </c>
      <c r="C743" s="1">
        <v>11</v>
      </c>
      <c r="D743" s="1" t="s">
        <v>851</v>
      </c>
      <c r="E743" s="1" t="s">
        <v>852</v>
      </c>
      <c r="F743" s="1">
        <v>52.078600000000002</v>
      </c>
      <c r="G743" s="1">
        <v>-1.01694</v>
      </c>
      <c r="H743" s="1" t="s">
        <v>853</v>
      </c>
      <c r="I743" s="1" t="s">
        <v>854</v>
      </c>
      <c r="J743" s="81">
        <v>38543</v>
      </c>
      <c r="K743" s="81" t="s">
        <v>1822</v>
      </c>
    </row>
    <row r="744" spans="1:11">
      <c r="A744" s="1">
        <v>2005</v>
      </c>
      <c r="B744" s="1" t="s">
        <v>893</v>
      </c>
      <c r="C744" s="1">
        <v>12</v>
      </c>
      <c r="D744" s="1" t="s">
        <v>1162</v>
      </c>
      <c r="E744" s="1" t="s">
        <v>1163</v>
      </c>
      <c r="F744" s="1">
        <v>49.327800000000003</v>
      </c>
      <c r="G744" s="1">
        <v>8.5658300000000001</v>
      </c>
      <c r="H744" s="1" t="s">
        <v>1164</v>
      </c>
      <c r="I744" s="1" t="s">
        <v>761</v>
      </c>
      <c r="J744" s="81">
        <v>38557</v>
      </c>
      <c r="K744" s="81" t="s">
        <v>1823</v>
      </c>
    </row>
    <row r="745" spans="1:11">
      <c r="A745" s="1">
        <v>2005</v>
      </c>
      <c r="B745" s="1" t="s">
        <v>1469</v>
      </c>
      <c r="C745" s="1">
        <v>13</v>
      </c>
      <c r="D745" s="1" t="s">
        <v>1470</v>
      </c>
      <c r="E745" s="1" t="s">
        <v>1471</v>
      </c>
      <c r="F745" s="1">
        <v>47.578899999999997</v>
      </c>
      <c r="G745" s="1">
        <v>19.2486</v>
      </c>
      <c r="H745" s="1" t="s">
        <v>1472</v>
      </c>
      <c r="I745" s="1" t="s">
        <v>1473</v>
      </c>
      <c r="J745" s="81">
        <v>38564</v>
      </c>
      <c r="K745" s="81" t="s">
        <v>1824</v>
      </c>
    </row>
    <row r="746" spans="1:11">
      <c r="A746" s="1">
        <v>2005</v>
      </c>
      <c r="B746" s="1" t="s">
        <v>1825</v>
      </c>
      <c r="C746" s="1">
        <v>14</v>
      </c>
      <c r="D746" s="1" t="s">
        <v>1826</v>
      </c>
      <c r="E746" s="1" t="s">
        <v>1827</v>
      </c>
      <c r="F746" s="1">
        <v>40.951700000000002</v>
      </c>
      <c r="G746" s="1">
        <v>29.405000000000001</v>
      </c>
      <c r="H746" s="1" t="s">
        <v>1828</v>
      </c>
      <c r="I746" s="1" t="s">
        <v>1829</v>
      </c>
      <c r="J746" s="81">
        <v>38585</v>
      </c>
      <c r="K746" s="81" t="s">
        <v>1830</v>
      </c>
    </row>
    <row r="747" spans="1:11">
      <c r="A747" s="1">
        <v>2005</v>
      </c>
      <c r="B747" s="1" t="s">
        <v>882</v>
      </c>
      <c r="C747" s="1">
        <v>15</v>
      </c>
      <c r="D747" s="1" t="s">
        <v>883</v>
      </c>
      <c r="E747" s="1" t="s">
        <v>884</v>
      </c>
      <c r="F747" s="1">
        <v>45.615600000000001</v>
      </c>
      <c r="G747" s="1">
        <v>9.28111</v>
      </c>
      <c r="H747" s="1" t="s">
        <v>885</v>
      </c>
      <c r="I747" s="1" t="s">
        <v>886</v>
      </c>
      <c r="J747" s="81">
        <v>38599</v>
      </c>
      <c r="K747" s="81" t="s">
        <v>1831</v>
      </c>
    </row>
    <row r="748" spans="1:11">
      <c r="A748" s="1">
        <v>2005</v>
      </c>
      <c r="B748" s="1" t="s">
        <v>1832</v>
      </c>
      <c r="C748" s="1">
        <v>16</v>
      </c>
      <c r="D748" s="1" t="s">
        <v>873</v>
      </c>
      <c r="E748" s="1" t="s">
        <v>874</v>
      </c>
      <c r="F748" s="1">
        <v>50.437199999999997</v>
      </c>
      <c r="G748" s="1">
        <v>5.9713900000000004</v>
      </c>
      <c r="H748" s="1" t="s">
        <v>875</v>
      </c>
      <c r="I748" s="1" t="s">
        <v>244</v>
      </c>
      <c r="J748" s="81">
        <v>38606</v>
      </c>
      <c r="K748" s="81" t="s">
        <v>1833</v>
      </c>
    </row>
    <row r="749" spans="1:11">
      <c r="A749" s="1">
        <v>2005</v>
      </c>
      <c r="B749" s="1" t="s">
        <v>1203</v>
      </c>
      <c r="C749" s="1">
        <v>17</v>
      </c>
      <c r="D749" s="1" t="s">
        <v>1204</v>
      </c>
      <c r="E749" s="1" t="s">
        <v>1205</v>
      </c>
      <c r="F749" s="1">
        <v>-23.703600000000002</v>
      </c>
      <c r="G749" s="1">
        <v>-46.6997</v>
      </c>
      <c r="H749" s="1" t="s">
        <v>1206</v>
      </c>
      <c r="I749" s="1" t="s">
        <v>1207</v>
      </c>
      <c r="J749" s="81">
        <v>38620</v>
      </c>
      <c r="K749" s="81" t="s">
        <v>1834</v>
      </c>
    </row>
    <row r="750" spans="1:11">
      <c r="A750" s="1">
        <v>2005</v>
      </c>
      <c r="B750" s="1" t="s">
        <v>1280</v>
      </c>
      <c r="C750" s="1">
        <v>18</v>
      </c>
      <c r="D750" s="1" t="s">
        <v>1494</v>
      </c>
      <c r="E750" s="1" t="s">
        <v>1495</v>
      </c>
      <c r="F750" s="1">
        <v>34.8431</v>
      </c>
      <c r="G750" s="1">
        <v>136.541</v>
      </c>
      <c r="H750" s="1" t="s">
        <v>1496</v>
      </c>
      <c r="I750" s="1" t="s">
        <v>375</v>
      </c>
      <c r="J750" s="81">
        <v>38634</v>
      </c>
      <c r="K750" s="81" t="s">
        <v>1835</v>
      </c>
    </row>
    <row r="751" spans="1:11">
      <c r="A751" s="1">
        <v>2005</v>
      </c>
      <c r="B751" s="1" t="s">
        <v>1805</v>
      </c>
      <c r="C751" s="1">
        <v>19</v>
      </c>
      <c r="D751" s="1" t="s">
        <v>1806</v>
      </c>
      <c r="E751" s="1" t="s">
        <v>1807</v>
      </c>
      <c r="F751" s="1">
        <v>31.338899999999999</v>
      </c>
      <c r="G751" s="1">
        <v>121.22</v>
      </c>
      <c r="H751" s="1" t="s">
        <v>1808</v>
      </c>
      <c r="I751" s="1" t="s">
        <v>255</v>
      </c>
      <c r="J751" s="81">
        <v>38641</v>
      </c>
      <c r="K751" s="81" t="s">
        <v>1836</v>
      </c>
    </row>
    <row r="752" spans="1:11">
      <c r="A752" s="1">
        <v>2006</v>
      </c>
      <c r="B752" s="1" t="s">
        <v>1787</v>
      </c>
      <c r="C752" s="1">
        <v>1</v>
      </c>
      <c r="D752" s="1" t="s">
        <v>1788</v>
      </c>
      <c r="E752" s="1" t="s">
        <v>1789</v>
      </c>
      <c r="F752" s="1">
        <v>26.032499999999999</v>
      </c>
      <c r="G752" s="1">
        <v>50.510599999999997</v>
      </c>
      <c r="H752" s="1" t="s">
        <v>1790</v>
      </c>
      <c r="I752" s="1" t="s">
        <v>1791</v>
      </c>
      <c r="J752" s="81">
        <v>38788</v>
      </c>
      <c r="K752" s="81" t="s">
        <v>1837</v>
      </c>
    </row>
    <row r="753" spans="1:11">
      <c r="A753" s="1">
        <v>2006</v>
      </c>
      <c r="B753" s="1" t="s">
        <v>1711</v>
      </c>
      <c r="C753" s="1">
        <v>2</v>
      </c>
      <c r="D753" s="1" t="s">
        <v>1712</v>
      </c>
      <c r="E753" s="1" t="s">
        <v>1713</v>
      </c>
      <c r="F753" s="1">
        <v>2.7608299999999999</v>
      </c>
      <c r="G753" s="1">
        <v>101.738</v>
      </c>
      <c r="H753" s="1" t="s">
        <v>1714</v>
      </c>
      <c r="I753" s="1" t="s">
        <v>1715</v>
      </c>
      <c r="J753" s="81">
        <v>38795</v>
      </c>
      <c r="K753" s="81" t="s">
        <v>1838</v>
      </c>
    </row>
    <row r="754" spans="1:11">
      <c r="A754" s="1">
        <v>2006</v>
      </c>
      <c r="B754" s="1" t="s">
        <v>1450</v>
      </c>
      <c r="C754" s="1">
        <v>3</v>
      </c>
      <c r="D754" s="1" t="s">
        <v>1644</v>
      </c>
      <c r="E754" s="1" t="s">
        <v>1645</v>
      </c>
      <c r="F754" s="1">
        <v>-37.849699999999999</v>
      </c>
      <c r="G754" s="1">
        <v>144.96799999999999</v>
      </c>
      <c r="H754" s="1" t="s">
        <v>1646</v>
      </c>
      <c r="I754" s="1" t="s">
        <v>1454</v>
      </c>
      <c r="J754" s="81">
        <v>38809</v>
      </c>
      <c r="K754" s="81" t="s">
        <v>1839</v>
      </c>
    </row>
    <row r="755" spans="1:11">
      <c r="A755" s="1">
        <v>2006</v>
      </c>
      <c r="B755" s="1" t="s">
        <v>1359</v>
      </c>
      <c r="C755" s="1">
        <v>4</v>
      </c>
      <c r="D755" s="1" t="s">
        <v>1350</v>
      </c>
      <c r="E755" s="1" t="s">
        <v>1351</v>
      </c>
      <c r="F755" s="1">
        <v>44.343899999999998</v>
      </c>
      <c r="G755" s="1">
        <v>11.716699999999999</v>
      </c>
      <c r="H755" s="1" t="s">
        <v>1352</v>
      </c>
      <c r="I755" s="1" t="s">
        <v>886</v>
      </c>
      <c r="J755" s="81">
        <v>38830</v>
      </c>
      <c r="K755" s="81" t="s">
        <v>1840</v>
      </c>
    </row>
    <row r="756" spans="1:11">
      <c r="A756" s="1">
        <v>2006</v>
      </c>
      <c r="B756" s="1" t="s">
        <v>1409</v>
      </c>
      <c r="C756" s="1">
        <v>5</v>
      </c>
      <c r="D756" s="1" t="s">
        <v>894</v>
      </c>
      <c r="E756" s="1" t="s">
        <v>895</v>
      </c>
      <c r="F756" s="1">
        <v>50.335599999999999</v>
      </c>
      <c r="G756" s="1">
        <v>6.9474999999999998</v>
      </c>
      <c r="H756" s="1" t="s">
        <v>896</v>
      </c>
      <c r="I756" s="1" t="s">
        <v>761</v>
      </c>
      <c r="J756" s="81">
        <v>38844</v>
      </c>
      <c r="K756" s="81" t="s">
        <v>1841</v>
      </c>
    </row>
    <row r="757" spans="1:11">
      <c r="A757" s="1">
        <v>2006</v>
      </c>
      <c r="B757" s="1" t="s">
        <v>899</v>
      </c>
      <c r="C757" s="1">
        <v>6</v>
      </c>
      <c r="D757" s="1" t="s">
        <v>1566</v>
      </c>
      <c r="E757" s="1" t="s">
        <v>1567</v>
      </c>
      <c r="F757" s="1">
        <v>41.57</v>
      </c>
      <c r="G757" s="1">
        <v>2.26111</v>
      </c>
      <c r="H757" s="1" t="s">
        <v>1568</v>
      </c>
      <c r="I757" s="1" t="s">
        <v>903</v>
      </c>
      <c r="J757" s="81">
        <v>38851</v>
      </c>
      <c r="K757" s="81" t="s">
        <v>1842</v>
      </c>
    </row>
    <row r="758" spans="1:11">
      <c r="A758" s="1">
        <v>2006</v>
      </c>
      <c r="B758" s="1" t="s">
        <v>856</v>
      </c>
      <c r="C758" s="1">
        <v>7</v>
      </c>
      <c r="D758" s="1" t="s">
        <v>857</v>
      </c>
      <c r="E758" s="1" t="s">
        <v>858</v>
      </c>
      <c r="F758" s="1">
        <v>43.734699999999997</v>
      </c>
      <c r="G758" s="1">
        <v>7.42056</v>
      </c>
      <c r="H758" s="1" t="s">
        <v>859</v>
      </c>
      <c r="I758" s="1" t="s">
        <v>860</v>
      </c>
      <c r="J758" s="81">
        <v>38865</v>
      </c>
      <c r="K758" s="81" t="s">
        <v>1843</v>
      </c>
    </row>
    <row r="759" spans="1:11">
      <c r="A759" s="1">
        <v>2006</v>
      </c>
      <c r="B759" s="1" t="s">
        <v>850</v>
      </c>
      <c r="C759" s="1">
        <v>8</v>
      </c>
      <c r="D759" s="1" t="s">
        <v>851</v>
      </c>
      <c r="E759" s="1" t="s">
        <v>852</v>
      </c>
      <c r="F759" s="1">
        <v>52.078600000000002</v>
      </c>
      <c r="G759" s="1">
        <v>-1.01694</v>
      </c>
      <c r="H759" s="1" t="s">
        <v>853</v>
      </c>
      <c r="I759" s="1" t="s">
        <v>854</v>
      </c>
      <c r="J759" s="81">
        <v>38879</v>
      </c>
      <c r="K759" s="81" t="s">
        <v>1844</v>
      </c>
    </row>
    <row r="760" spans="1:11">
      <c r="A760" s="1">
        <v>2006</v>
      </c>
      <c r="B760" s="1" t="s">
        <v>1115</v>
      </c>
      <c r="C760" s="1">
        <v>9</v>
      </c>
      <c r="D760" s="1" t="s">
        <v>1320</v>
      </c>
      <c r="E760" s="1" t="s">
        <v>1321</v>
      </c>
      <c r="F760" s="1">
        <v>45.5</v>
      </c>
      <c r="G760" s="1">
        <v>-73.522800000000004</v>
      </c>
      <c r="H760" s="1" t="s">
        <v>1322</v>
      </c>
      <c r="I760" s="1" t="s">
        <v>1119</v>
      </c>
      <c r="J760" s="81">
        <v>38893</v>
      </c>
      <c r="K760" s="81" t="s">
        <v>1845</v>
      </c>
    </row>
    <row r="761" spans="1:11">
      <c r="A761" s="1">
        <v>2006</v>
      </c>
      <c r="B761" s="1" t="s">
        <v>1006</v>
      </c>
      <c r="C761" s="1">
        <v>10</v>
      </c>
      <c r="D761" s="1" t="s">
        <v>863</v>
      </c>
      <c r="E761" s="1" t="s">
        <v>864</v>
      </c>
      <c r="F761" s="1">
        <v>39.795000000000002</v>
      </c>
      <c r="G761" s="1">
        <v>-86.234700000000004</v>
      </c>
      <c r="H761" s="1" t="s">
        <v>865</v>
      </c>
      <c r="I761" s="1" t="s">
        <v>82</v>
      </c>
      <c r="J761" s="81">
        <v>38900</v>
      </c>
      <c r="K761" s="81" t="s">
        <v>1846</v>
      </c>
    </row>
    <row r="762" spans="1:11">
      <c r="A762" s="1">
        <v>2006</v>
      </c>
      <c r="B762" s="1" t="s">
        <v>877</v>
      </c>
      <c r="C762" s="1">
        <v>11</v>
      </c>
      <c r="D762" s="1" t="s">
        <v>1556</v>
      </c>
      <c r="E762" s="1" t="s">
        <v>1557</v>
      </c>
      <c r="F762" s="1">
        <v>46.864199999999997</v>
      </c>
      <c r="G762" s="1">
        <v>3.1636099999999998</v>
      </c>
      <c r="H762" s="1" t="s">
        <v>1558</v>
      </c>
      <c r="I762" s="1" t="s">
        <v>755</v>
      </c>
      <c r="J762" s="81">
        <v>38914</v>
      </c>
      <c r="K762" s="81" t="s">
        <v>1847</v>
      </c>
    </row>
    <row r="763" spans="1:11">
      <c r="A763" s="1">
        <v>2006</v>
      </c>
      <c r="B763" s="1" t="s">
        <v>893</v>
      </c>
      <c r="C763" s="1">
        <v>12</v>
      </c>
      <c r="D763" s="1" t="s">
        <v>1162</v>
      </c>
      <c r="E763" s="1" t="s">
        <v>1163</v>
      </c>
      <c r="F763" s="1">
        <v>49.327800000000003</v>
      </c>
      <c r="G763" s="1">
        <v>8.5658300000000001</v>
      </c>
      <c r="H763" s="1" t="s">
        <v>1164</v>
      </c>
      <c r="I763" s="1" t="s">
        <v>761</v>
      </c>
      <c r="J763" s="81">
        <v>38928</v>
      </c>
      <c r="K763" s="81" t="s">
        <v>1848</v>
      </c>
    </row>
    <row r="764" spans="1:11">
      <c r="A764" s="1">
        <v>2006</v>
      </c>
      <c r="B764" s="1" t="s">
        <v>1469</v>
      </c>
      <c r="C764" s="1">
        <v>13</v>
      </c>
      <c r="D764" s="1" t="s">
        <v>1470</v>
      </c>
      <c r="E764" s="1" t="s">
        <v>1471</v>
      </c>
      <c r="F764" s="1">
        <v>47.578899999999997</v>
      </c>
      <c r="G764" s="1">
        <v>19.2486</v>
      </c>
      <c r="H764" s="1" t="s">
        <v>1472</v>
      </c>
      <c r="I764" s="1" t="s">
        <v>1473</v>
      </c>
      <c r="J764" s="81">
        <v>38935</v>
      </c>
      <c r="K764" s="81" t="s">
        <v>1849</v>
      </c>
    </row>
    <row r="765" spans="1:11">
      <c r="A765" s="1">
        <v>2006</v>
      </c>
      <c r="B765" s="1" t="s">
        <v>1825</v>
      </c>
      <c r="C765" s="1">
        <v>14</v>
      </c>
      <c r="D765" s="1" t="s">
        <v>1826</v>
      </c>
      <c r="E765" s="1" t="s">
        <v>1827</v>
      </c>
      <c r="F765" s="1">
        <v>40.951700000000002</v>
      </c>
      <c r="G765" s="1">
        <v>29.405000000000001</v>
      </c>
      <c r="H765" s="1" t="s">
        <v>1828</v>
      </c>
      <c r="I765" s="1" t="s">
        <v>1829</v>
      </c>
      <c r="J765" s="81">
        <v>38956</v>
      </c>
      <c r="K765" s="81" t="s">
        <v>1850</v>
      </c>
    </row>
    <row r="766" spans="1:11">
      <c r="A766" s="1">
        <v>2006</v>
      </c>
      <c r="B766" s="1" t="s">
        <v>882</v>
      </c>
      <c r="C766" s="1">
        <v>15</v>
      </c>
      <c r="D766" s="1" t="s">
        <v>883</v>
      </c>
      <c r="E766" s="1" t="s">
        <v>884</v>
      </c>
      <c r="F766" s="1">
        <v>45.615600000000001</v>
      </c>
      <c r="G766" s="1">
        <v>9.28111</v>
      </c>
      <c r="H766" s="1" t="s">
        <v>885</v>
      </c>
      <c r="I766" s="1" t="s">
        <v>886</v>
      </c>
      <c r="J766" s="81">
        <v>38970</v>
      </c>
      <c r="K766" s="81" t="s">
        <v>1851</v>
      </c>
    </row>
    <row r="767" spans="1:11">
      <c r="A767" s="1">
        <v>2006</v>
      </c>
      <c r="B767" s="1" t="s">
        <v>1805</v>
      </c>
      <c r="C767" s="1">
        <v>16</v>
      </c>
      <c r="D767" s="1" t="s">
        <v>1806</v>
      </c>
      <c r="E767" s="1" t="s">
        <v>1807</v>
      </c>
      <c r="F767" s="1">
        <v>31.338899999999999</v>
      </c>
      <c r="G767" s="1">
        <v>121.22</v>
      </c>
      <c r="H767" s="1" t="s">
        <v>1808</v>
      </c>
      <c r="I767" s="1" t="s">
        <v>255</v>
      </c>
      <c r="J767" s="81">
        <v>38991</v>
      </c>
      <c r="K767" s="81" t="s">
        <v>1852</v>
      </c>
    </row>
    <row r="768" spans="1:11">
      <c r="A768" s="1">
        <v>2006</v>
      </c>
      <c r="B768" s="1" t="s">
        <v>1280</v>
      </c>
      <c r="C768" s="1">
        <v>17</v>
      </c>
      <c r="D768" s="1" t="s">
        <v>1494</v>
      </c>
      <c r="E768" s="1" t="s">
        <v>1495</v>
      </c>
      <c r="F768" s="1">
        <v>34.8431</v>
      </c>
      <c r="G768" s="1">
        <v>136.541</v>
      </c>
      <c r="H768" s="1" t="s">
        <v>1496</v>
      </c>
      <c r="I768" s="1" t="s">
        <v>375</v>
      </c>
      <c r="J768" s="81">
        <v>38998</v>
      </c>
      <c r="K768" s="81" t="s">
        <v>1853</v>
      </c>
    </row>
    <row r="769" spans="1:11">
      <c r="A769" s="1">
        <v>2006</v>
      </c>
      <c r="B769" s="1" t="s">
        <v>1203</v>
      </c>
      <c r="C769" s="1">
        <v>18</v>
      </c>
      <c r="D769" s="1" t="s">
        <v>1204</v>
      </c>
      <c r="E769" s="1" t="s">
        <v>1205</v>
      </c>
      <c r="F769" s="1">
        <v>-23.703600000000002</v>
      </c>
      <c r="G769" s="1">
        <v>-46.6997</v>
      </c>
      <c r="H769" s="1" t="s">
        <v>1206</v>
      </c>
      <c r="I769" s="1" t="s">
        <v>1207</v>
      </c>
      <c r="J769" s="81">
        <v>39012</v>
      </c>
      <c r="K769" s="81" t="s">
        <v>1854</v>
      </c>
    </row>
    <row r="770" spans="1:11">
      <c r="A770" s="1">
        <v>2007</v>
      </c>
      <c r="B770" s="1" t="s">
        <v>1450</v>
      </c>
      <c r="C770" s="1">
        <v>1</v>
      </c>
      <c r="D770" s="1" t="s">
        <v>1644</v>
      </c>
      <c r="E770" s="1" t="s">
        <v>1645</v>
      </c>
      <c r="F770" s="1">
        <v>-37.849699999999999</v>
      </c>
      <c r="G770" s="1">
        <v>144.96799999999999</v>
      </c>
      <c r="H770" s="1" t="s">
        <v>1646</v>
      </c>
      <c r="I770" s="1" t="s">
        <v>1454</v>
      </c>
      <c r="J770" s="81">
        <v>39159</v>
      </c>
      <c r="K770" s="81" t="s">
        <v>1855</v>
      </c>
    </row>
    <row r="771" spans="1:11">
      <c r="A771" s="1">
        <v>2007</v>
      </c>
      <c r="B771" s="1" t="s">
        <v>1711</v>
      </c>
      <c r="C771" s="1">
        <v>2</v>
      </c>
      <c r="D771" s="1" t="s">
        <v>1712</v>
      </c>
      <c r="E771" s="1" t="s">
        <v>1713</v>
      </c>
      <c r="F771" s="1">
        <v>2.7608299999999999</v>
      </c>
      <c r="G771" s="1">
        <v>101.738</v>
      </c>
      <c r="H771" s="1" t="s">
        <v>1714</v>
      </c>
      <c r="I771" s="1" t="s">
        <v>1715</v>
      </c>
      <c r="J771" s="81">
        <v>39180</v>
      </c>
      <c r="K771" s="81" t="s">
        <v>1856</v>
      </c>
    </row>
    <row r="772" spans="1:11">
      <c r="A772" s="1">
        <v>2007</v>
      </c>
      <c r="B772" s="1" t="s">
        <v>1787</v>
      </c>
      <c r="C772" s="1">
        <v>3</v>
      </c>
      <c r="D772" s="1" t="s">
        <v>1788</v>
      </c>
      <c r="E772" s="1" t="s">
        <v>1789</v>
      </c>
      <c r="F772" s="1">
        <v>26.032499999999999</v>
      </c>
      <c r="G772" s="1">
        <v>50.510599999999997</v>
      </c>
      <c r="H772" s="1" t="s">
        <v>1790</v>
      </c>
      <c r="I772" s="1" t="s">
        <v>1791</v>
      </c>
      <c r="J772" s="81">
        <v>39187</v>
      </c>
      <c r="K772" s="81" t="s">
        <v>1857</v>
      </c>
    </row>
    <row r="773" spans="1:11">
      <c r="A773" s="1">
        <v>2007</v>
      </c>
      <c r="B773" s="1" t="s">
        <v>899</v>
      </c>
      <c r="C773" s="1">
        <v>4</v>
      </c>
      <c r="D773" s="1" t="s">
        <v>1566</v>
      </c>
      <c r="E773" s="1" t="s">
        <v>1567</v>
      </c>
      <c r="F773" s="1">
        <v>41.57</v>
      </c>
      <c r="G773" s="1">
        <v>2.26111</v>
      </c>
      <c r="H773" s="1" t="s">
        <v>1568</v>
      </c>
      <c r="I773" s="1" t="s">
        <v>903</v>
      </c>
      <c r="J773" s="81">
        <v>39215</v>
      </c>
      <c r="K773" s="81" t="s">
        <v>1858</v>
      </c>
    </row>
    <row r="774" spans="1:11">
      <c r="A774" s="1">
        <v>2007</v>
      </c>
      <c r="B774" s="1" t="s">
        <v>856</v>
      </c>
      <c r="C774" s="1">
        <v>5</v>
      </c>
      <c r="D774" s="1" t="s">
        <v>857</v>
      </c>
      <c r="E774" s="1" t="s">
        <v>858</v>
      </c>
      <c r="F774" s="1">
        <v>43.734699999999997</v>
      </c>
      <c r="G774" s="1">
        <v>7.42056</v>
      </c>
      <c r="H774" s="1" t="s">
        <v>859</v>
      </c>
      <c r="I774" s="1" t="s">
        <v>860</v>
      </c>
      <c r="J774" s="81">
        <v>39229</v>
      </c>
      <c r="K774" s="81" t="s">
        <v>1859</v>
      </c>
    </row>
    <row r="775" spans="1:11">
      <c r="A775" s="1">
        <v>2007</v>
      </c>
      <c r="B775" s="1" t="s">
        <v>1115</v>
      </c>
      <c r="C775" s="1">
        <v>6</v>
      </c>
      <c r="D775" s="1" t="s">
        <v>1320</v>
      </c>
      <c r="E775" s="1" t="s">
        <v>1321</v>
      </c>
      <c r="F775" s="1">
        <v>45.5</v>
      </c>
      <c r="G775" s="1">
        <v>-73.522800000000004</v>
      </c>
      <c r="H775" s="1" t="s">
        <v>1322</v>
      </c>
      <c r="I775" s="1" t="s">
        <v>1119</v>
      </c>
      <c r="J775" s="81">
        <v>39243</v>
      </c>
      <c r="K775" s="81" t="s">
        <v>1860</v>
      </c>
    </row>
    <row r="776" spans="1:11">
      <c r="A776" s="1">
        <v>2007</v>
      </c>
      <c r="B776" s="1" t="s">
        <v>1006</v>
      </c>
      <c r="C776" s="1">
        <v>7</v>
      </c>
      <c r="D776" s="1" t="s">
        <v>863</v>
      </c>
      <c r="E776" s="1" t="s">
        <v>864</v>
      </c>
      <c r="F776" s="1">
        <v>39.795000000000002</v>
      </c>
      <c r="G776" s="1">
        <v>-86.234700000000004</v>
      </c>
      <c r="H776" s="1" t="s">
        <v>865</v>
      </c>
      <c r="I776" s="1" t="s">
        <v>82</v>
      </c>
      <c r="J776" s="81">
        <v>39250</v>
      </c>
      <c r="K776" s="81" t="s">
        <v>1861</v>
      </c>
    </row>
    <row r="777" spans="1:11">
      <c r="A777" s="1">
        <v>2007</v>
      </c>
      <c r="B777" s="1" t="s">
        <v>877</v>
      </c>
      <c r="C777" s="1">
        <v>8</v>
      </c>
      <c r="D777" s="1" t="s">
        <v>1556</v>
      </c>
      <c r="E777" s="1" t="s">
        <v>1557</v>
      </c>
      <c r="F777" s="1">
        <v>46.864199999999997</v>
      </c>
      <c r="G777" s="1">
        <v>3.1636099999999998</v>
      </c>
      <c r="H777" s="1" t="s">
        <v>1558</v>
      </c>
      <c r="I777" s="1" t="s">
        <v>755</v>
      </c>
      <c r="J777" s="81">
        <v>39264</v>
      </c>
      <c r="K777" s="81" t="s">
        <v>1862</v>
      </c>
    </row>
    <row r="778" spans="1:11">
      <c r="A778" s="1">
        <v>2007</v>
      </c>
      <c r="B778" s="1" t="s">
        <v>850</v>
      </c>
      <c r="C778" s="1">
        <v>9</v>
      </c>
      <c r="D778" s="1" t="s">
        <v>851</v>
      </c>
      <c r="E778" s="1" t="s">
        <v>852</v>
      </c>
      <c r="F778" s="1">
        <v>52.078600000000002</v>
      </c>
      <c r="G778" s="1">
        <v>-1.01694</v>
      </c>
      <c r="H778" s="1" t="s">
        <v>853</v>
      </c>
      <c r="I778" s="1" t="s">
        <v>854</v>
      </c>
      <c r="J778" s="81">
        <v>39271</v>
      </c>
      <c r="K778" s="81" t="s">
        <v>1863</v>
      </c>
    </row>
    <row r="779" spans="1:11">
      <c r="A779" s="1">
        <v>2007</v>
      </c>
      <c r="B779" s="1" t="s">
        <v>1409</v>
      </c>
      <c r="C779" s="1">
        <v>10</v>
      </c>
      <c r="D779" s="1" t="s">
        <v>894</v>
      </c>
      <c r="E779" s="1" t="s">
        <v>895</v>
      </c>
      <c r="F779" s="1">
        <v>50.335599999999999</v>
      </c>
      <c r="G779" s="1">
        <v>6.9474999999999998</v>
      </c>
      <c r="H779" s="1" t="s">
        <v>896</v>
      </c>
      <c r="I779" s="1" t="s">
        <v>761</v>
      </c>
      <c r="J779" s="81">
        <v>39285</v>
      </c>
      <c r="K779" s="81" t="s">
        <v>1864</v>
      </c>
    </row>
    <row r="780" spans="1:11">
      <c r="A780" s="1">
        <v>2007</v>
      </c>
      <c r="B780" s="1" t="s">
        <v>1469</v>
      </c>
      <c r="C780" s="1">
        <v>11</v>
      </c>
      <c r="D780" s="1" t="s">
        <v>1470</v>
      </c>
      <c r="E780" s="1" t="s">
        <v>1471</v>
      </c>
      <c r="F780" s="1">
        <v>47.578899999999997</v>
      </c>
      <c r="G780" s="1">
        <v>19.2486</v>
      </c>
      <c r="H780" s="1" t="s">
        <v>1472</v>
      </c>
      <c r="I780" s="1" t="s">
        <v>1473</v>
      </c>
      <c r="J780" s="81">
        <v>39299</v>
      </c>
      <c r="K780" s="81" t="s">
        <v>1865</v>
      </c>
    </row>
    <row r="781" spans="1:11">
      <c r="A781" s="1">
        <v>2007</v>
      </c>
      <c r="B781" s="1" t="s">
        <v>1825</v>
      </c>
      <c r="C781" s="1">
        <v>12</v>
      </c>
      <c r="D781" s="1" t="s">
        <v>1826</v>
      </c>
      <c r="E781" s="1" t="s">
        <v>1827</v>
      </c>
      <c r="F781" s="1">
        <v>40.951700000000002</v>
      </c>
      <c r="G781" s="1">
        <v>29.405000000000001</v>
      </c>
      <c r="H781" s="1" t="s">
        <v>1828</v>
      </c>
      <c r="I781" s="1" t="s">
        <v>1829</v>
      </c>
      <c r="J781" s="81">
        <v>39320</v>
      </c>
      <c r="K781" s="81" t="s">
        <v>1866</v>
      </c>
    </row>
    <row r="782" spans="1:11">
      <c r="A782" s="1">
        <v>2007</v>
      </c>
      <c r="B782" s="1" t="s">
        <v>882</v>
      </c>
      <c r="C782" s="1">
        <v>13</v>
      </c>
      <c r="D782" s="1" t="s">
        <v>883</v>
      </c>
      <c r="E782" s="1" t="s">
        <v>884</v>
      </c>
      <c r="F782" s="1">
        <v>45.615600000000001</v>
      </c>
      <c r="G782" s="1">
        <v>9.28111</v>
      </c>
      <c r="H782" s="1" t="s">
        <v>885</v>
      </c>
      <c r="I782" s="1" t="s">
        <v>886</v>
      </c>
      <c r="J782" s="81">
        <v>39334</v>
      </c>
      <c r="K782" s="81" t="s">
        <v>1867</v>
      </c>
    </row>
    <row r="783" spans="1:11">
      <c r="A783" s="1">
        <v>2007</v>
      </c>
      <c r="B783" s="1" t="s">
        <v>872</v>
      </c>
      <c r="C783" s="1">
        <v>14</v>
      </c>
      <c r="D783" s="1" t="s">
        <v>873</v>
      </c>
      <c r="E783" s="1" t="s">
        <v>874</v>
      </c>
      <c r="F783" s="1">
        <v>50.437199999999997</v>
      </c>
      <c r="G783" s="1">
        <v>5.9713900000000004</v>
      </c>
      <c r="H783" s="1" t="s">
        <v>875</v>
      </c>
      <c r="I783" s="1" t="s">
        <v>244</v>
      </c>
      <c r="J783" s="81">
        <v>39341</v>
      </c>
      <c r="K783" s="81" t="s">
        <v>1868</v>
      </c>
    </row>
    <row r="784" spans="1:11">
      <c r="A784" s="1">
        <v>2007</v>
      </c>
      <c r="B784" s="1" t="s">
        <v>1280</v>
      </c>
      <c r="C784" s="1">
        <v>15</v>
      </c>
      <c r="D784" s="1" t="s">
        <v>1281</v>
      </c>
      <c r="E784" s="1" t="s">
        <v>1282</v>
      </c>
      <c r="F784" s="1">
        <v>35.371699999999997</v>
      </c>
      <c r="G784" s="1">
        <v>138.92699999999999</v>
      </c>
      <c r="H784" s="1" t="s">
        <v>1283</v>
      </c>
      <c r="I784" s="1" t="s">
        <v>375</v>
      </c>
      <c r="J784" s="81">
        <v>39355</v>
      </c>
      <c r="K784" s="81" t="s">
        <v>1869</v>
      </c>
    </row>
    <row r="785" spans="1:11">
      <c r="A785" s="1">
        <v>2007</v>
      </c>
      <c r="B785" s="1" t="s">
        <v>1805</v>
      </c>
      <c r="C785" s="1">
        <v>16</v>
      </c>
      <c r="D785" s="1" t="s">
        <v>1806</v>
      </c>
      <c r="E785" s="1" t="s">
        <v>1807</v>
      </c>
      <c r="F785" s="1">
        <v>31.338899999999999</v>
      </c>
      <c r="G785" s="1">
        <v>121.22</v>
      </c>
      <c r="H785" s="1" t="s">
        <v>1808</v>
      </c>
      <c r="I785" s="1" t="s">
        <v>255</v>
      </c>
      <c r="J785" s="81">
        <v>39362</v>
      </c>
      <c r="K785" s="81" t="s">
        <v>1870</v>
      </c>
    </row>
    <row r="786" spans="1:11">
      <c r="A786" s="1">
        <v>2007</v>
      </c>
      <c r="B786" s="1" t="s">
        <v>1203</v>
      </c>
      <c r="C786" s="1">
        <v>17</v>
      </c>
      <c r="D786" s="1" t="s">
        <v>1204</v>
      </c>
      <c r="E786" s="1" t="s">
        <v>1205</v>
      </c>
      <c r="F786" s="1">
        <v>-23.703600000000002</v>
      </c>
      <c r="G786" s="1">
        <v>-46.6997</v>
      </c>
      <c r="H786" s="1" t="s">
        <v>1206</v>
      </c>
      <c r="I786" s="1" t="s">
        <v>1207</v>
      </c>
      <c r="J786" s="81">
        <v>39376</v>
      </c>
      <c r="K786" s="81" t="s">
        <v>1871</v>
      </c>
    </row>
    <row r="787" spans="1:11">
      <c r="A787" s="1">
        <v>2008</v>
      </c>
      <c r="B787" s="1" t="s">
        <v>1450</v>
      </c>
      <c r="C787" s="1">
        <v>1</v>
      </c>
      <c r="D787" s="1" t="s">
        <v>1644</v>
      </c>
      <c r="E787" s="1" t="s">
        <v>1645</v>
      </c>
      <c r="F787" s="1">
        <v>-37.849699999999999</v>
      </c>
      <c r="G787" s="1">
        <v>144.96799999999999</v>
      </c>
      <c r="H787" s="1" t="s">
        <v>1646</v>
      </c>
      <c r="I787" s="1" t="s">
        <v>1454</v>
      </c>
      <c r="J787" s="81">
        <v>39523</v>
      </c>
      <c r="K787" s="81" t="s">
        <v>1872</v>
      </c>
    </row>
    <row r="788" spans="1:11">
      <c r="A788" s="1">
        <v>2008</v>
      </c>
      <c r="B788" s="1" t="s">
        <v>1711</v>
      </c>
      <c r="C788" s="1">
        <v>2</v>
      </c>
      <c r="D788" s="1" t="s">
        <v>1712</v>
      </c>
      <c r="E788" s="1" t="s">
        <v>1713</v>
      </c>
      <c r="F788" s="1">
        <v>2.7608299999999999</v>
      </c>
      <c r="G788" s="1">
        <v>101.738</v>
      </c>
      <c r="H788" s="1" t="s">
        <v>1714</v>
      </c>
      <c r="I788" s="1" t="s">
        <v>1715</v>
      </c>
      <c r="J788" s="81">
        <v>39530</v>
      </c>
      <c r="K788" s="81" t="s">
        <v>1873</v>
      </c>
    </row>
    <row r="789" spans="1:11">
      <c r="A789" s="1">
        <v>2008</v>
      </c>
      <c r="B789" s="1" t="s">
        <v>1787</v>
      </c>
      <c r="C789" s="1">
        <v>3</v>
      </c>
      <c r="D789" s="1" t="s">
        <v>1788</v>
      </c>
      <c r="E789" s="1" t="s">
        <v>1789</v>
      </c>
      <c r="F789" s="1">
        <v>26.032499999999999</v>
      </c>
      <c r="G789" s="1">
        <v>50.510599999999997</v>
      </c>
      <c r="H789" s="1" t="s">
        <v>1790</v>
      </c>
      <c r="I789" s="1" t="s">
        <v>1791</v>
      </c>
      <c r="J789" s="81">
        <v>39544</v>
      </c>
      <c r="K789" s="81" t="s">
        <v>1874</v>
      </c>
    </row>
    <row r="790" spans="1:11">
      <c r="A790" s="1">
        <v>2008</v>
      </c>
      <c r="B790" s="1" t="s">
        <v>899</v>
      </c>
      <c r="C790" s="1">
        <v>4</v>
      </c>
      <c r="D790" s="1" t="s">
        <v>1566</v>
      </c>
      <c r="E790" s="1" t="s">
        <v>1567</v>
      </c>
      <c r="F790" s="1">
        <v>41.57</v>
      </c>
      <c r="G790" s="1">
        <v>2.26111</v>
      </c>
      <c r="H790" s="1" t="s">
        <v>1568</v>
      </c>
      <c r="I790" s="1" t="s">
        <v>903</v>
      </c>
      <c r="J790" s="81">
        <v>39565</v>
      </c>
      <c r="K790" s="81" t="s">
        <v>1875</v>
      </c>
    </row>
    <row r="791" spans="1:11">
      <c r="A791" s="1">
        <v>2008</v>
      </c>
      <c r="B791" s="1" t="s">
        <v>1825</v>
      </c>
      <c r="C791" s="1">
        <v>5</v>
      </c>
      <c r="D791" s="1" t="s">
        <v>1826</v>
      </c>
      <c r="E791" s="1" t="s">
        <v>1827</v>
      </c>
      <c r="F791" s="1">
        <v>40.951700000000002</v>
      </c>
      <c r="G791" s="1">
        <v>29.405000000000001</v>
      </c>
      <c r="H791" s="1" t="s">
        <v>1828</v>
      </c>
      <c r="I791" s="1" t="s">
        <v>1829</v>
      </c>
      <c r="J791" s="81">
        <v>39579</v>
      </c>
      <c r="K791" s="81" t="s">
        <v>1876</v>
      </c>
    </row>
    <row r="792" spans="1:11">
      <c r="A792" s="1">
        <v>2008</v>
      </c>
      <c r="B792" s="1" t="s">
        <v>856</v>
      </c>
      <c r="C792" s="1">
        <v>6</v>
      </c>
      <c r="D792" s="1" t="s">
        <v>857</v>
      </c>
      <c r="E792" s="1" t="s">
        <v>858</v>
      </c>
      <c r="F792" s="1">
        <v>43.734699999999997</v>
      </c>
      <c r="G792" s="1">
        <v>7.42056</v>
      </c>
      <c r="H792" s="1" t="s">
        <v>859</v>
      </c>
      <c r="I792" s="1" t="s">
        <v>860</v>
      </c>
      <c r="J792" s="81">
        <v>39593</v>
      </c>
      <c r="K792" s="81" t="s">
        <v>1877</v>
      </c>
    </row>
    <row r="793" spans="1:11">
      <c r="A793" s="1">
        <v>2008</v>
      </c>
      <c r="B793" s="1" t="s">
        <v>1115</v>
      </c>
      <c r="C793" s="1">
        <v>7</v>
      </c>
      <c r="D793" s="1" t="s">
        <v>1320</v>
      </c>
      <c r="E793" s="1" t="s">
        <v>1321</v>
      </c>
      <c r="F793" s="1">
        <v>45.5</v>
      </c>
      <c r="G793" s="1">
        <v>-73.522800000000004</v>
      </c>
      <c r="H793" s="1" t="s">
        <v>1322</v>
      </c>
      <c r="I793" s="1" t="s">
        <v>1119</v>
      </c>
      <c r="J793" s="81">
        <v>39607</v>
      </c>
      <c r="K793" s="81" t="s">
        <v>1878</v>
      </c>
    </row>
    <row r="794" spans="1:11">
      <c r="A794" s="1">
        <v>2008</v>
      </c>
      <c r="B794" s="1" t="s">
        <v>877</v>
      </c>
      <c r="C794" s="1">
        <v>8</v>
      </c>
      <c r="D794" s="1" t="s">
        <v>1556</v>
      </c>
      <c r="E794" s="1" t="s">
        <v>1557</v>
      </c>
      <c r="F794" s="1">
        <v>46.864199999999997</v>
      </c>
      <c r="G794" s="1">
        <v>3.1636099999999998</v>
      </c>
      <c r="H794" s="1" t="s">
        <v>1558</v>
      </c>
      <c r="I794" s="1" t="s">
        <v>755</v>
      </c>
      <c r="J794" s="81">
        <v>39621</v>
      </c>
      <c r="K794" s="81" t="s">
        <v>1879</v>
      </c>
    </row>
    <row r="795" spans="1:11">
      <c r="A795" s="1">
        <v>2008</v>
      </c>
      <c r="B795" s="1" t="s">
        <v>850</v>
      </c>
      <c r="C795" s="1">
        <v>9</v>
      </c>
      <c r="D795" s="1" t="s">
        <v>851</v>
      </c>
      <c r="E795" s="1" t="s">
        <v>852</v>
      </c>
      <c r="F795" s="1">
        <v>52.078600000000002</v>
      </c>
      <c r="G795" s="1">
        <v>-1.01694</v>
      </c>
      <c r="H795" s="1" t="s">
        <v>853</v>
      </c>
      <c r="I795" s="1" t="s">
        <v>854</v>
      </c>
      <c r="J795" s="81">
        <v>39635</v>
      </c>
      <c r="K795" s="81" t="s">
        <v>1880</v>
      </c>
    </row>
    <row r="796" spans="1:11">
      <c r="A796" s="1">
        <v>2008</v>
      </c>
      <c r="B796" s="1" t="s">
        <v>893</v>
      </c>
      <c r="C796" s="1">
        <v>10</v>
      </c>
      <c r="D796" s="1" t="s">
        <v>1162</v>
      </c>
      <c r="E796" s="1" t="s">
        <v>1163</v>
      </c>
      <c r="F796" s="1">
        <v>49.327800000000003</v>
      </c>
      <c r="G796" s="1">
        <v>8.5658300000000001</v>
      </c>
      <c r="H796" s="1" t="s">
        <v>1164</v>
      </c>
      <c r="I796" s="1" t="s">
        <v>761</v>
      </c>
      <c r="J796" s="81">
        <v>39649</v>
      </c>
      <c r="K796" s="81" t="s">
        <v>1881</v>
      </c>
    </row>
    <row r="797" spans="1:11">
      <c r="A797" s="1">
        <v>2008</v>
      </c>
      <c r="B797" s="1" t="s">
        <v>1469</v>
      </c>
      <c r="C797" s="1">
        <v>11</v>
      </c>
      <c r="D797" s="1" t="s">
        <v>1470</v>
      </c>
      <c r="E797" s="1" t="s">
        <v>1471</v>
      </c>
      <c r="F797" s="1">
        <v>47.578899999999997</v>
      </c>
      <c r="G797" s="1">
        <v>19.2486</v>
      </c>
      <c r="H797" s="1" t="s">
        <v>1472</v>
      </c>
      <c r="I797" s="1" t="s">
        <v>1473</v>
      </c>
      <c r="J797" s="81">
        <v>39663</v>
      </c>
      <c r="K797" s="81" t="s">
        <v>1882</v>
      </c>
    </row>
    <row r="798" spans="1:11">
      <c r="A798" s="1">
        <v>2008</v>
      </c>
      <c r="B798" s="1" t="s">
        <v>1409</v>
      </c>
      <c r="C798" s="1">
        <v>12</v>
      </c>
      <c r="D798" s="1" t="s">
        <v>1883</v>
      </c>
      <c r="E798" s="1" t="s">
        <v>1884</v>
      </c>
      <c r="F798" s="1">
        <v>39.4589</v>
      </c>
      <c r="G798" s="1">
        <v>-0.33166699999999999</v>
      </c>
      <c r="H798" s="1" t="s">
        <v>1885</v>
      </c>
      <c r="I798" s="1" t="s">
        <v>903</v>
      </c>
      <c r="J798" s="81">
        <v>39684</v>
      </c>
      <c r="K798" s="81" t="s">
        <v>1886</v>
      </c>
    </row>
    <row r="799" spans="1:11">
      <c r="A799" s="1">
        <v>2008</v>
      </c>
      <c r="B799" s="1" t="s">
        <v>872</v>
      </c>
      <c r="C799" s="1">
        <v>13</v>
      </c>
      <c r="D799" s="1" t="s">
        <v>873</v>
      </c>
      <c r="E799" s="1" t="s">
        <v>874</v>
      </c>
      <c r="F799" s="1">
        <v>50.437199999999997</v>
      </c>
      <c r="G799" s="1">
        <v>5.9713900000000004</v>
      </c>
      <c r="H799" s="1" t="s">
        <v>875</v>
      </c>
      <c r="I799" s="1" t="s">
        <v>244</v>
      </c>
      <c r="J799" s="81">
        <v>39698</v>
      </c>
      <c r="K799" s="81" t="s">
        <v>1887</v>
      </c>
    </row>
    <row r="800" spans="1:11">
      <c r="A800" s="1">
        <v>2008</v>
      </c>
      <c r="B800" s="1" t="s">
        <v>882</v>
      </c>
      <c r="C800" s="1">
        <v>14</v>
      </c>
      <c r="D800" s="1" t="s">
        <v>883</v>
      </c>
      <c r="E800" s="1" t="s">
        <v>884</v>
      </c>
      <c r="F800" s="1">
        <v>45.615600000000001</v>
      </c>
      <c r="G800" s="1">
        <v>9.28111</v>
      </c>
      <c r="H800" s="1" t="s">
        <v>885</v>
      </c>
      <c r="I800" s="1" t="s">
        <v>886</v>
      </c>
      <c r="J800" s="81">
        <v>39705</v>
      </c>
      <c r="K800" s="81" t="s">
        <v>1888</v>
      </c>
    </row>
    <row r="801" spans="1:11">
      <c r="A801" s="1">
        <v>2008</v>
      </c>
      <c r="B801" s="1" t="s">
        <v>1889</v>
      </c>
      <c r="C801" s="1">
        <v>15</v>
      </c>
      <c r="D801" s="1" t="s">
        <v>1890</v>
      </c>
      <c r="E801" s="1" t="s">
        <v>1891</v>
      </c>
      <c r="F801" s="1">
        <v>1.2914000000000001</v>
      </c>
      <c r="G801" s="1">
        <v>103.864</v>
      </c>
      <c r="H801" s="1" t="s">
        <v>1892</v>
      </c>
      <c r="I801" s="1" t="s">
        <v>1893</v>
      </c>
      <c r="J801" s="81">
        <v>39719</v>
      </c>
      <c r="K801" s="81" t="s">
        <v>1894</v>
      </c>
    </row>
    <row r="802" spans="1:11">
      <c r="A802" s="1">
        <v>2008</v>
      </c>
      <c r="B802" s="1" t="s">
        <v>1280</v>
      </c>
      <c r="C802" s="1">
        <v>16</v>
      </c>
      <c r="D802" s="1" t="s">
        <v>1281</v>
      </c>
      <c r="E802" s="1" t="s">
        <v>1282</v>
      </c>
      <c r="F802" s="1">
        <v>35.371699999999997</v>
      </c>
      <c r="G802" s="1">
        <v>138.92699999999999</v>
      </c>
      <c r="H802" s="1" t="s">
        <v>1283</v>
      </c>
      <c r="I802" s="1" t="s">
        <v>375</v>
      </c>
      <c r="J802" s="81">
        <v>39733</v>
      </c>
      <c r="K802" s="81" t="s">
        <v>1895</v>
      </c>
    </row>
    <row r="803" spans="1:11">
      <c r="A803" s="1">
        <v>2008</v>
      </c>
      <c r="B803" s="1" t="s">
        <v>1805</v>
      </c>
      <c r="C803" s="1">
        <v>17</v>
      </c>
      <c r="D803" s="1" t="s">
        <v>1806</v>
      </c>
      <c r="E803" s="1" t="s">
        <v>1807</v>
      </c>
      <c r="F803" s="1">
        <v>31.338899999999999</v>
      </c>
      <c r="G803" s="1">
        <v>121.22</v>
      </c>
      <c r="H803" s="1" t="s">
        <v>1808</v>
      </c>
      <c r="I803" s="1" t="s">
        <v>255</v>
      </c>
      <c r="J803" s="81">
        <v>39740</v>
      </c>
      <c r="K803" s="81" t="s">
        <v>1896</v>
      </c>
    </row>
    <row r="804" spans="1:11">
      <c r="A804" s="1">
        <v>2008</v>
      </c>
      <c r="B804" s="1" t="s">
        <v>1203</v>
      </c>
      <c r="C804" s="1">
        <v>18</v>
      </c>
      <c r="D804" s="1" t="s">
        <v>1204</v>
      </c>
      <c r="E804" s="1" t="s">
        <v>1205</v>
      </c>
      <c r="F804" s="1">
        <v>-23.703600000000002</v>
      </c>
      <c r="G804" s="1">
        <v>-46.6997</v>
      </c>
      <c r="H804" s="1" t="s">
        <v>1206</v>
      </c>
      <c r="I804" s="1" t="s">
        <v>1207</v>
      </c>
      <c r="J804" s="81">
        <v>39754</v>
      </c>
      <c r="K804" s="81" t="s">
        <v>1897</v>
      </c>
    </row>
    <row r="805" spans="1:11">
      <c r="A805" s="1">
        <v>2009</v>
      </c>
      <c r="B805" s="1" t="s">
        <v>1450</v>
      </c>
      <c r="C805" s="1">
        <v>1</v>
      </c>
      <c r="D805" s="1" t="s">
        <v>1644</v>
      </c>
      <c r="E805" s="1" t="s">
        <v>1645</v>
      </c>
      <c r="F805" s="1">
        <v>-37.849699999999999</v>
      </c>
      <c r="G805" s="1">
        <v>144.96799999999999</v>
      </c>
      <c r="H805" s="1" t="s">
        <v>1646</v>
      </c>
      <c r="I805" s="1" t="s">
        <v>1454</v>
      </c>
      <c r="J805" s="81">
        <v>39901</v>
      </c>
      <c r="K805" s="81" t="s">
        <v>1898</v>
      </c>
    </row>
    <row r="806" spans="1:11">
      <c r="A806" s="1">
        <v>2009</v>
      </c>
      <c r="B806" s="1" t="s">
        <v>1711</v>
      </c>
      <c r="C806" s="1">
        <v>2</v>
      </c>
      <c r="D806" s="1" t="s">
        <v>1712</v>
      </c>
      <c r="E806" s="1" t="s">
        <v>1713</v>
      </c>
      <c r="F806" s="1">
        <v>2.7608299999999999</v>
      </c>
      <c r="G806" s="1">
        <v>101.738</v>
      </c>
      <c r="H806" s="1" t="s">
        <v>1714</v>
      </c>
      <c r="I806" s="1" t="s">
        <v>1715</v>
      </c>
      <c r="J806" s="81">
        <v>39908</v>
      </c>
      <c r="K806" s="81" t="s">
        <v>1899</v>
      </c>
    </row>
    <row r="807" spans="1:11">
      <c r="A807" s="1">
        <v>2009</v>
      </c>
      <c r="B807" s="1" t="s">
        <v>1805</v>
      </c>
      <c r="C807" s="1">
        <v>3</v>
      </c>
      <c r="D807" s="1" t="s">
        <v>1806</v>
      </c>
      <c r="E807" s="1" t="s">
        <v>1807</v>
      </c>
      <c r="F807" s="1">
        <v>31.338899999999999</v>
      </c>
      <c r="G807" s="1">
        <v>121.22</v>
      </c>
      <c r="H807" s="1" t="s">
        <v>1808</v>
      </c>
      <c r="I807" s="1" t="s">
        <v>255</v>
      </c>
      <c r="J807" s="81">
        <v>39922</v>
      </c>
      <c r="K807" s="81" t="s">
        <v>1900</v>
      </c>
    </row>
    <row r="808" spans="1:11">
      <c r="A808" s="1">
        <v>2009</v>
      </c>
      <c r="B808" s="1" t="s">
        <v>1787</v>
      </c>
      <c r="C808" s="1">
        <v>4</v>
      </c>
      <c r="D808" s="1" t="s">
        <v>1788</v>
      </c>
      <c r="E808" s="1" t="s">
        <v>1789</v>
      </c>
      <c r="F808" s="1">
        <v>26.032499999999999</v>
      </c>
      <c r="G808" s="1">
        <v>50.510599999999997</v>
      </c>
      <c r="H808" s="1" t="s">
        <v>1790</v>
      </c>
      <c r="I808" s="1" t="s">
        <v>1791</v>
      </c>
      <c r="J808" s="81">
        <v>39929</v>
      </c>
      <c r="K808" s="81" t="s">
        <v>1901</v>
      </c>
    </row>
    <row r="809" spans="1:11">
      <c r="A809" s="1">
        <v>2009</v>
      </c>
      <c r="B809" s="1" t="s">
        <v>899</v>
      </c>
      <c r="C809" s="1">
        <v>5</v>
      </c>
      <c r="D809" s="1" t="s">
        <v>1566</v>
      </c>
      <c r="E809" s="1" t="s">
        <v>1567</v>
      </c>
      <c r="F809" s="1">
        <v>41.57</v>
      </c>
      <c r="G809" s="1">
        <v>2.26111</v>
      </c>
      <c r="H809" s="1" t="s">
        <v>1568</v>
      </c>
      <c r="I809" s="1" t="s">
        <v>903</v>
      </c>
      <c r="J809" s="81">
        <v>39943</v>
      </c>
      <c r="K809" s="81" t="s">
        <v>1902</v>
      </c>
    </row>
    <row r="810" spans="1:11">
      <c r="A810" s="1">
        <v>2009</v>
      </c>
      <c r="B810" s="1" t="s">
        <v>856</v>
      </c>
      <c r="C810" s="1">
        <v>6</v>
      </c>
      <c r="D810" s="1" t="s">
        <v>857</v>
      </c>
      <c r="E810" s="1" t="s">
        <v>858</v>
      </c>
      <c r="F810" s="1">
        <v>43.734699999999997</v>
      </c>
      <c r="G810" s="1">
        <v>7.42056</v>
      </c>
      <c r="H810" s="1" t="s">
        <v>859</v>
      </c>
      <c r="I810" s="1" t="s">
        <v>860</v>
      </c>
      <c r="J810" s="81">
        <v>39957</v>
      </c>
      <c r="K810" s="81" t="s">
        <v>1903</v>
      </c>
    </row>
    <row r="811" spans="1:11">
      <c r="A811" s="1">
        <v>2009</v>
      </c>
      <c r="B811" s="1" t="s">
        <v>1825</v>
      </c>
      <c r="C811" s="1">
        <v>7</v>
      </c>
      <c r="D811" s="1" t="s">
        <v>1826</v>
      </c>
      <c r="E811" s="1" t="s">
        <v>1827</v>
      </c>
      <c r="F811" s="1">
        <v>40.951700000000002</v>
      </c>
      <c r="G811" s="1">
        <v>29.405000000000001</v>
      </c>
      <c r="H811" s="1" t="s">
        <v>1828</v>
      </c>
      <c r="I811" s="1" t="s">
        <v>1829</v>
      </c>
      <c r="J811" s="81">
        <v>39971</v>
      </c>
      <c r="K811" s="81" t="s">
        <v>1904</v>
      </c>
    </row>
    <row r="812" spans="1:11">
      <c r="A812" s="1">
        <v>2009</v>
      </c>
      <c r="B812" s="1" t="s">
        <v>850</v>
      </c>
      <c r="C812" s="1">
        <v>8</v>
      </c>
      <c r="D812" s="1" t="s">
        <v>851</v>
      </c>
      <c r="E812" s="1" t="s">
        <v>852</v>
      </c>
      <c r="F812" s="1">
        <v>52.078600000000002</v>
      </c>
      <c r="G812" s="1">
        <v>-1.01694</v>
      </c>
      <c r="H812" s="1" t="s">
        <v>853</v>
      </c>
      <c r="I812" s="1" t="s">
        <v>854</v>
      </c>
      <c r="J812" s="81">
        <v>39985</v>
      </c>
      <c r="K812" s="81" t="s">
        <v>1905</v>
      </c>
    </row>
    <row r="813" spans="1:11">
      <c r="A813" s="1">
        <v>2009</v>
      </c>
      <c r="B813" s="1" t="s">
        <v>893</v>
      </c>
      <c r="C813" s="1">
        <v>9</v>
      </c>
      <c r="D813" s="1" t="s">
        <v>894</v>
      </c>
      <c r="E813" s="1" t="s">
        <v>895</v>
      </c>
      <c r="F813" s="1">
        <v>50.335599999999999</v>
      </c>
      <c r="G813" s="1">
        <v>6.9474999999999998</v>
      </c>
      <c r="H813" s="1" t="s">
        <v>896</v>
      </c>
      <c r="I813" s="1" t="s">
        <v>761</v>
      </c>
      <c r="J813" s="81">
        <v>40006</v>
      </c>
      <c r="K813" s="81" t="s">
        <v>1906</v>
      </c>
    </row>
    <row r="814" spans="1:11">
      <c r="A814" s="1">
        <v>2009</v>
      </c>
      <c r="B814" s="1" t="s">
        <v>1469</v>
      </c>
      <c r="C814" s="1">
        <v>10</v>
      </c>
      <c r="D814" s="1" t="s">
        <v>1470</v>
      </c>
      <c r="E814" s="1" t="s">
        <v>1471</v>
      </c>
      <c r="F814" s="1">
        <v>47.578899999999997</v>
      </c>
      <c r="G814" s="1">
        <v>19.2486</v>
      </c>
      <c r="H814" s="1" t="s">
        <v>1472</v>
      </c>
      <c r="I814" s="1" t="s">
        <v>1473</v>
      </c>
      <c r="J814" s="81">
        <v>40020</v>
      </c>
      <c r="K814" s="81" t="s">
        <v>1907</v>
      </c>
    </row>
    <row r="815" spans="1:11">
      <c r="A815" s="1">
        <v>2009</v>
      </c>
      <c r="B815" s="1" t="s">
        <v>1409</v>
      </c>
      <c r="C815" s="1">
        <v>11</v>
      </c>
      <c r="D815" s="1" t="s">
        <v>1883</v>
      </c>
      <c r="E815" s="1" t="s">
        <v>1884</v>
      </c>
      <c r="F815" s="1">
        <v>39.4589</v>
      </c>
      <c r="G815" s="1">
        <v>-0.33166699999999999</v>
      </c>
      <c r="H815" s="1" t="s">
        <v>1885</v>
      </c>
      <c r="I815" s="1" t="s">
        <v>903</v>
      </c>
      <c r="J815" s="81">
        <v>40048</v>
      </c>
      <c r="K815" s="81" t="s">
        <v>1908</v>
      </c>
    </row>
    <row r="816" spans="1:11">
      <c r="A816" s="1">
        <v>2009</v>
      </c>
      <c r="B816" s="1" t="s">
        <v>872</v>
      </c>
      <c r="C816" s="1">
        <v>12</v>
      </c>
      <c r="D816" s="1" t="s">
        <v>873</v>
      </c>
      <c r="E816" s="1" t="s">
        <v>874</v>
      </c>
      <c r="F816" s="1">
        <v>50.437199999999997</v>
      </c>
      <c r="G816" s="1">
        <v>5.9713900000000004</v>
      </c>
      <c r="H816" s="1" t="s">
        <v>875</v>
      </c>
      <c r="I816" s="1" t="s">
        <v>244</v>
      </c>
      <c r="J816" s="81">
        <v>40055</v>
      </c>
      <c r="K816" s="81" t="s">
        <v>1909</v>
      </c>
    </row>
    <row r="817" spans="1:11">
      <c r="A817" s="1">
        <v>2009</v>
      </c>
      <c r="B817" s="1" t="s">
        <v>882</v>
      </c>
      <c r="C817" s="1">
        <v>13</v>
      </c>
      <c r="D817" s="1" t="s">
        <v>883</v>
      </c>
      <c r="E817" s="1" t="s">
        <v>884</v>
      </c>
      <c r="F817" s="1">
        <v>45.615600000000001</v>
      </c>
      <c r="G817" s="1">
        <v>9.28111</v>
      </c>
      <c r="H817" s="1" t="s">
        <v>885</v>
      </c>
      <c r="I817" s="1" t="s">
        <v>886</v>
      </c>
      <c r="J817" s="81">
        <v>40069</v>
      </c>
      <c r="K817" s="81" t="s">
        <v>1910</v>
      </c>
    </row>
    <row r="818" spans="1:11">
      <c r="A818" s="1">
        <v>2009</v>
      </c>
      <c r="B818" s="1" t="s">
        <v>1889</v>
      </c>
      <c r="C818" s="1">
        <v>14</v>
      </c>
      <c r="D818" s="1" t="s">
        <v>1890</v>
      </c>
      <c r="E818" s="1" t="s">
        <v>1891</v>
      </c>
      <c r="F818" s="1">
        <v>1.2914000000000001</v>
      </c>
      <c r="G818" s="1">
        <v>103.864</v>
      </c>
      <c r="H818" s="1" t="s">
        <v>1892</v>
      </c>
      <c r="I818" s="1" t="s">
        <v>1893</v>
      </c>
      <c r="J818" s="81">
        <v>40083</v>
      </c>
      <c r="K818" s="81" t="s">
        <v>1911</v>
      </c>
    </row>
    <row r="819" spans="1:11">
      <c r="A819" s="1">
        <v>2009</v>
      </c>
      <c r="B819" s="1" t="s">
        <v>1280</v>
      </c>
      <c r="C819" s="1">
        <v>15</v>
      </c>
      <c r="D819" s="1" t="s">
        <v>1494</v>
      </c>
      <c r="E819" s="1" t="s">
        <v>1495</v>
      </c>
      <c r="F819" s="1">
        <v>34.8431</v>
      </c>
      <c r="G819" s="1">
        <v>136.541</v>
      </c>
      <c r="H819" s="1" t="s">
        <v>1496</v>
      </c>
      <c r="I819" s="1" t="s">
        <v>375</v>
      </c>
      <c r="J819" s="81">
        <v>40090</v>
      </c>
      <c r="K819" s="81" t="s">
        <v>1912</v>
      </c>
    </row>
    <row r="820" spans="1:11">
      <c r="A820" s="1">
        <v>2009</v>
      </c>
      <c r="B820" s="1" t="s">
        <v>1203</v>
      </c>
      <c r="C820" s="1">
        <v>16</v>
      </c>
      <c r="D820" s="1" t="s">
        <v>1204</v>
      </c>
      <c r="E820" s="1" t="s">
        <v>1205</v>
      </c>
      <c r="F820" s="1">
        <v>-23.703600000000002</v>
      </c>
      <c r="G820" s="1">
        <v>-46.6997</v>
      </c>
      <c r="H820" s="1" t="s">
        <v>1206</v>
      </c>
      <c r="I820" s="1" t="s">
        <v>1207</v>
      </c>
      <c r="J820" s="81">
        <v>40104</v>
      </c>
      <c r="K820" s="81" t="s">
        <v>1913</v>
      </c>
    </row>
    <row r="821" spans="1:11">
      <c r="A821" s="1">
        <v>2009</v>
      </c>
      <c r="B821" s="1" t="s">
        <v>1914</v>
      </c>
      <c r="C821" s="1">
        <v>17</v>
      </c>
      <c r="D821" s="1" t="s">
        <v>1915</v>
      </c>
      <c r="E821" s="1" t="s">
        <v>1916</v>
      </c>
      <c r="F821" s="1">
        <v>24.467199999999998</v>
      </c>
      <c r="G821" s="1">
        <v>54.603099999999998</v>
      </c>
      <c r="H821" s="1" t="s">
        <v>1917</v>
      </c>
      <c r="I821" s="1" t="s">
        <v>1918</v>
      </c>
      <c r="J821" s="81">
        <v>40118</v>
      </c>
      <c r="K821" s="81" t="s">
        <v>1919</v>
      </c>
    </row>
    <row r="822" spans="1:11">
      <c r="A822" s="1">
        <v>2010</v>
      </c>
      <c r="B822" s="1" t="s">
        <v>1920</v>
      </c>
      <c r="C822" s="1">
        <v>1</v>
      </c>
      <c r="D822" s="1" t="s">
        <v>1788</v>
      </c>
      <c r="E822" s="1" t="s">
        <v>1789</v>
      </c>
      <c r="F822" s="1">
        <v>26.032499999999999</v>
      </c>
      <c r="G822" s="1">
        <v>50.510599999999997</v>
      </c>
      <c r="H822" s="1" t="s">
        <v>1790</v>
      </c>
      <c r="I822" s="1" t="s">
        <v>1791</v>
      </c>
      <c r="J822" s="81">
        <v>40251</v>
      </c>
      <c r="K822" s="81" t="s">
        <v>1921</v>
      </c>
    </row>
    <row r="823" spans="1:11">
      <c r="A823" s="1">
        <v>2010</v>
      </c>
      <c r="B823" s="1" t="s">
        <v>1922</v>
      </c>
      <c r="C823" s="1">
        <v>2</v>
      </c>
      <c r="D823" s="1" t="s">
        <v>1644</v>
      </c>
      <c r="E823" s="1" t="s">
        <v>1645</v>
      </c>
      <c r="F823" s="1">
        <v>-37.849699999999999</v>
      </c>
      <c r="G823" s="1">
        <v>144.96799999999999</v>
      </c>
      <c r="H823" s="1" t="s">
        <v>1646</v>
      </c>
      <c r="I823" s="1" t="s">
        <v>1454</v>
      </c>
      <c r="J823" s="81">
        <v>40265</v>
      </c>
      <c r="K823" s="81" t="s">
        <v>1923</v>
      </c>
    </row>
    <row r="824" spans="1:11">
      <c r="A824" s="1">
        <v>2010</v>
      </c>
      <c r="B824" s="1" t="s">
        <v>1924</v>
      </c>
      <c r="C824" s="1">
        <v>3</v>
      </c>
      <c r="D824" s="1" t="s">
        <v>1712</v>
      </c>
      <c r="E824" s="1" t="s">
        <v>1713</v>
      </c>
      <c r="F824" s="1">
        <v>2.7608299999999999</v>
      </c>
      <c r="G824" s="1">
        <v>101.738</v>
      </c>
      <c r="H824" s="1" t="s">
        <v>1714</v>
      </c>
      <c r="I824" s="1" t="s">
        <v>1715</v>
      </c>
      <c r="J824" s="81">
        <v>40272</v>
      </c>
      <c r="K824" s="81" t="s">
        <v>1925</v>
      </c>
    </row>
    <row r="825" spans="1:11">
      <c r="A825" s="1">
        <v>2010</v>
      </c>
      <c r="B825" s="1" t="s">
        <v>1926</v>
      </c>
      <c r="C825" s="1">
        <v>4</v>
      </c>
      <c r="D825" s="1" t="s">
        <v>1806</v>
      </c>
      <c r="E825" s="1" t="s">
        <v>1807</v>
      </c>
      <c r="F825" s="1">
        <v>31.338899999999999</v>
      </c>
      <c r="G825" s="1">
        <v>121.22</v>
      </c>
      <c r="H825" s="1" t="s">
        <v>1808</v>
      </c>
      <c r="I825" s="1" t="s">
        <v>255</v>
      </c>
      <c r="J825" s="81">
        <v>40286</v>
      </c>
      <c r="K825" s="81" t="s">
        <v>1927</v>
      </c>
    </row>
    <row r="826" spans="1:11">
      <c r="A826" s="1">
        <v>2010</v>
      </c>
      <c r="B826" s="1" t="s">
        <v>1928</v>
      </c>
      <c r="C826" s="1">
        <v>5</v>
      </c>
      <c r="D826" s="1" t="s">
        <v>1566</v>
      </c>
      <c r="E826" s="1" t="s">
        <v>1567</v>
      </c>
      <c r="F826" s="1">
        <v>41.57</v>
      </c>
      <c r="G826" s="1">
        <v>2.26111</v>
      </c>
      <c r="H826" s="1" t="s">
        <v>1568</v>
      </c>
      <c r="I826" s="1" t="s">
        <v>903</v>
      </c>
      <c r="J826" s="81">
        <v>40307</v>
      </c>
      <c r="K826" s="81" t="s">
        <v>1929</v>
      </c>
    </row>
    <row r="827" spans="1:11">
      <c r="A827" s="1">
        <v>2010</v>
      </c>
      <c r="B827" s="1" t="s">
        <v>1930</v>
      </c>
      <c r="C827" s="1">
        <v>6</v>
      </c>
      <c r="D827" s="1" t="s">
        <v>857</v>
      </c>
      <c r="E827" s="1" t="s">
        <v>858</v>
      </c>
      <c r="F827" s="1">
        <v>43.734699999999997</v>
      </c>
      <c r="G827" s="1">
        <v>7.42056</v>
      </c>
      <c r="H827" s="1" t="s">
        <v>859</v>
      </c>
      <c r="I827" s="1" t="s">
        <v>860</v>
      </c>
      <c r="J827" s="81">
        <v>40314</v>
      </c>
      <c r="K827" s="81" t="s">
        <v>1931</v>
      </c>
    </row>
    <row r="828" spans="1:11">
      <c r="A828" s="1">
        <v>2010</v>
      </c>
      <c r="B828" s="1" t="s">
        <v>1932</v>
      </c>
      <c r="C828" s="1">
        <v>7</v>
      </c>
      <c r="D828" s="1" t="s">
        <v>1826</v>
      </c>
      <c r="E828" s="1" t="s">
        <v>1827</v>
      </c>
      <c r="F828" s="1">
        <v>40.951700000000002</v>
      </c>
      <c r="G828" s="1">
        <v>29.405000000000001</v>
      </c>
      <c r="H828" s="1" t="s">
        <v>1828</v>
      </c>
      <c r="I828" s="1" t="s">
        <v>1829</v>
      </c>
      <c r="J828" s="81">
        <v>40328</v>
      </c>
      <c r="K828" s="81" t="s">
        <v>1933</v>
      </c>
    </row>
    <row r="829" spans="1:11">
      <c r="A829" s="1">
        <v>2010</v>
      </c>
      <c r="B829" s="1" t="s">
        <v>1934</v>
      </c>
      <c r="C829" s="1">
        <v>8</v>
      </c>
      <c r="D829" s="1" t="s">
        <v>1320</v>
      </c>
      <c r="E829" s="1" t="s">
        <v>1321</v>
      </c>
      <c r="F829" s="1">
        <v>45.5</v>
      </c>
      <c r="G829" s="1">
        <v>-73.522800000000004</v>
      </c>
      <c r="H829" s="1" t="s">
        <v>1322</v>
      </c>
      <c r="I829" s="1" t="s">
        <v>1119</v>
      </c>
      <c r="J829" s="81">
        <v>40342</v>
      </c>
      <c r="K829" s="81" t="s">
        <v>1935</v>
      </c>
    </row>
    <row r="830" spans="1:11">
      <c r="A830" s="1">
        <v>2010</v>
      </c>
      <c r="B830" s="1" t="s">
        <v>1936</v>
      </c>
      <c r="C830" s="1">
        <v>9</v>
      </c>
      <c r="D830" s="1" t="s">
        <v>1883</v>
      </c>
      <c r="E830" s="1" t="s">
        <v>1884</v>
      </c>
      <c r="F830" s="1">
        <v>39.4589</v>
      </c>
      <c r="G830" s="1">
        <v>-0.33166699999999999</v>
      </c>
      <c r="H830" s="1" t="s">
        <v>1885</v>
      </c>
      <c r="I830" s="1" t="s">
        <v>903</v>
      </c>
      <c r="J830" s="81">
        <v>40356</v>
      </c>
      <c r="K830" s="81" t="s">
        <v>1937</v>
      </c>
    </row>
    <row r="831" spans="1:11">
      <c r="A831" s="1">
        <v>2010</v>
      </c>
      <c r="B831" s="1" t="s">
        <v>1938</v>
      </c>
      <c r="C831" s="1">
        <v>10</v>
      </c>
      <c r="D831" s="1" t="s">
        <v>851</v>
      </c>
      <c r="E831" s="1" t="s">
        <v>852</v>
      </c>
      <c r="F831" s="1">
        <v>52.078600000000002</v>
      </c>
      <c r="G831" s="1">
        <v>-1.01694</v>
      </c>
      <c r="H831" s="1" t="s">
        <v>853</v>
      </c>
      <c r="I831" s="1" t="s">
        <v>854</v>
      </c>
      <c r="J831" s="81">
        <v>40370</v>
      </c>
      <c r="K831" s="81" t="s">
        <v>1939</v>
      </c>
    </row>
    <row r="832" spans="1:11">
      <c r="A832" s="1">
        <v>2010</v>
      </c>
      <c r="B832" s="1" t="s">
        <v>1940</v>
      </c>
      <c r="C832" s="1">
        <v>11</v>
      </c>
      <c r="D832" s="1" t="s">
        <v>1162</v>
      </c>
      <c r="E832" s="1" t="s">
        <v>1163</v>
      </c>
      <c r="F832" s="1">
        <v>49.327800000000003</v>
      </c>
      <c r="G832" s="1">
        <v>8.5658300000000001</v>
      </c>
      <c r="H832" s="1" t="s">
        <v>1164</v>
      </c>
      <c r="I832" s="1" t="s">
        <v>761</v>
      </c>
      <c r="J832" s="81">
        <v>40384</v>
      </c>
      <c r="K832" s="81" t="s">
        <v>1941</v>
      </c>
    </row>
    <row r="833" spans="1:11">
      <c r="A833" s="1">
        <v>2010</v>
      </c>
      <c r="B833" s="1" t="s">
        <v>1942</v>
      </c>
      <c r="C833" s="1">
        <v>12</v>
      </c>
      <c r="D833" s="1" t="s">
        <v>1470</v>
      </c>
      <c r="E833" s="1" t="s">
        <v>1471</v>
      </c>
      <c r="F833" s="1">
        <v>47.578899999999997</v>
      </c>
      <c r="G833" s="1">
        <v>19.2486</v>
      </c>
      <c r="H833" s="1" t="s">
        <v>1472</v>
      </c>
      <c r="I833" s="1" t="s">
        <v>1473</v>
      </c>
      <c r="J833" s="81">
        <v>40391</v>
      </c>
      <c r="K833" s="81" t="s">
        <v>1943</v>
      </c>
    </row>
    <row r="834" spans="1:11">
      <c r="A834" s="1">
        <v>2010</v>
      </c>
      <c r="B834" s="1" t="s">
        <v>1944</v>
      </c>
      <c r="C834" s="1">
        <v>13</v>
      </c>
      <c r="D834" s="1" t="s">
        <v>873</v>
      </c>
      <c r="E834" s="1" t="s">
        <v>874</v>
      </c>
      <c r="F834" s="1">
        <v>50.437199999999997</v>
      </c>
      <c r="G834" s="1">
        <v>5.9713900000000004</v>
      </c>
      <c r="H834" s="1" t="s">
        <v>875</v>
      </c>
      <c r="I834" s="1" t="s">
        <v>244</v>
      </c>
      <c r="J834" s="81">
        <v>40419</v>
      </c>
      <c r="K834" s="81" t="s">
        <v>1945</v>
      </c>
    </row>
    <row r="835" spans="1:11">
      <c r="A835" s="1">
        <v>2010</v>
      </c>
      <c r="B835" s="1" t="s">
        <v>1946</v>
      </c>
      <c r="C835" s="1">
        <v>14</v>
      </c>
      <c r="D835" s="1" t="s">
        <v>883</v>
      </c>
      <c r="E835" s="1" t="s">
        <v>884</v>
      </c>
      <c r="F835" s="1">
        <v>45.615600000000001</v>
      </c>
      <c r="G835" s="1">
        <v>9.28111</v>
      </c>
      <c r="H835" s="1" t="s">
        <v>885</v>
      </c>
      <c r="I835" s="1" t="s">
        <v>886</v>
      </c>
      <c r="J835" s="81">
        <v>40433</v>
      </c>
      <c r="K835" s="81" t="s">
        <v>1947</v>
      </c>
    </row>
    <row r="836" spans="1:11">
      <c r="A836" s="1">
        <v>2010</v>
      </c>
      <c r="B836" s="1" t="s">
        <v>1948</v>
      </c>
      <c r="C836" s="1">
        <v>15</v>
      </c>
      <c r="D836" s="1" t="s">
        <v>1890</v>
      </c>
      <c r="E836" s="1" t="s">
        <v>1891</v>
      </c>
      <c r="F836" s="1">
        <v>1.2914000000000001</v>
      </c>
      <c r="G836" s="1">
        <v>103.864</v>
      </c>
      <c r="H836" s="1" t="s">
        <v>1892</v>
      </c>
      <c r="I836" s="1" t="s">
        <v>1893</v>
      </c>
      <c r="J836" s="81">
        <v>40447</v>
      </c>
      <c r="K836" s="81" t="s">
        <v>1949</v>
      </c>
    </row>
    <row r="837" spans="1:11">
      <c r="A837" s="1">
        <v>2010</v>
      </c>
      <c r="B837" s="1" t="s">
        <v>1950</v>
      </c>
      <c r="C837" s="1">
        <v>16</v>
      </c>
      <c r="D837" s="1" t="s">
        <v>1494</v>
      </c>
      <c r="E837" s="1" t="s">
        <v>1495</v>
      </c>
      <c r="F837" s="1">
        <v>34.8431</v>
      </c>
      <c r="G837" s="1">
        <v>136.541</v>
      </c>
      <c r="H837" s="1" t="s">
        <v>1496</v>
      </c>
      <c r="I837" s="1" t="s">
        <v>375</v>
      </c>
      <c r="J837" s="81">
        <v>40461</v>
      </c>
      <c r="K837" s="81" t="s">
        <v>1951</v>
      </c>
    </row>
    <row r="838" spans="1:11">
      <c r="A838" s="1">
        <v>2010</v>
      </c>
      <c r="B838" s="1" t="s">
        <v>1952</v>
      </c>
      <c r="C838" s="1">
        <v>17</v>
      </c>
      <c r="D838" s="1" t="s">
        <v>1953</v>
      </c>
      <c r="E838" s="1" t="s">
        <v>1954</v>
      </c>
      <c r="F838" s="1">
        <v>34.7333</v>
      </c>
      <c r="G838" s="1">
        <v>126.417</v>
      </c>
      <c r="H838" s="1" t="s">
        <v>1955</v>
      </c>
      <c r="I838" s="1" t="s">
        <v>1956</v>
      </c>
      <c r="J838" s="81">
        <v>40475</v>
      </c>
      <c r="K838" s="81" t="s">
        <v>1957</v>
      </c>
    </row>
    <row r="839" spans="1:11">
      <c r="A839" s="1">
        <v>2010</v>
      </c>
      <c r="B839" s="1" t="s">
        <v>1203</v>
      </c>
      <c r="C839" s="1">
        <v>18</v>
      </c>
      <c r="D839" s="1" t="s">
        <v>1204</v>
      </c>
      <c r="E839" s="1" t="s">
        <v>1205</v>
      </c>
      <c r="F839" s="1">
        <v>-23.703600000000002</v>
      </c>
      <c r="G839" s="1">
        <v>-46.6997</v>
      </c>
      <c r="H839" s="1" t="s">
        <v>1206</v>
      </c>
      <c r="I839" s="1" t="s">
        <v>1207</v>
      </c>
      <c r="J839" s="81">
        <v>40489</v>
      </c>
      <c r="K839" s="81" t="s">
        <v>1958</v>
      </c>
    </row>
    <row r="840" spans="1:11">
      <c r="A840" s="1">
        <v>2010</v>
      </c>
      <c r="B840" s="1" t="s">
        <v>1914</v>
      </c>
      <c r="C840" s="1">
        <v>19</v>
      </c>
      <c r="D840" s="1" t="s">
        <v>1915</v>
      </c>
      <c r="E840" s="1" t="s">
        <v>1916</v>
      </c>
      <c r="F840" s="1">
        <v>24.467199999999998</v>
      </c>
      <c r="G840" s="1">
        <v>54.603099999999998</v>
      </c>
      <c r="H840" s="1" t="s">
        <v>1917</v>
      </c>
      <c r="I840" s="1" t="s">
        <v>1918</v>
      </c>
      <c r="J840" s="81">
        <v>40496</v>
      </c>
      <c r="K840" s="81" t="s">
        <v>1959</v>
      </c>
    </row>
    <row r="841" spans="1:11">
      <c r="A841" s="1">
        <v>2011</v>
      </c>
      <c r="B841" s="1" t="s">
        <v>1922</v>
      </c>
      <c r="C841" s="1">
        <v>1</v>
      </c>
      <c r="D841" s="1" t="s">
        <v>1644</v>
      </c>
      <c r="E841" s="1" t="s">
        <v>1645</v>
      </c>
      <c r="F841" s="1">
        <v>-37.849699999999999</v>
      </c>
      <c r="G841" s="1">
        <v>144.96799999999999</v>
      </c>
      <c r="H841" s="1" t="s">
        <v>1646</v>
      </c>
      <c r="I841" s="1" t="s">
        <v>1454</v>
      </c>
      <c r="J841" s="81">
        <v>40629</v>
      </c>
      <c r="K841" s="81" t="s">
        <v>1960</v>
      </c>
    </row>
    <row r="842" spans="1:11">
      <c r="A842" s="1">
        <v>2011</v>
      </c>
      <c r="B842" s="1" t="s">
        <v>1924</v>
      </c>
      <c r="C842" s="1">
        <v>2</v>
      </c>
      <c r="D842" s="1" t="s">
        <v>1712</v>
      </c>
      <c r="E842" s="1" t="s">
        <v>1713</v>
      </c>
      <c r="F842" s="1">
        <v>2.7608299999999999</v>
      </c>
      <c r="G842" s="1">
        <v>101.738</v>
      </c>
      <c r="H842" s="1" t="s">
        <v>1714</v>
      </c>
      <c r="I842" s="1" t="s">
        <v>1715</v>
      </c>
      <c r="J842" s="81">
        <v>40643</v>
      </c>
      <c r="K842" s="81" t="s">
        <v>1961</v>
      </c>
    </row>
    <row r="843" spans="1:11">
      <c r="A843" s="1">
        <v>2011</v>
      </c>
      <c r="B843" s="1" t="s">
        <v>1926</v>
      </c>
      <c r="C843" s="1">
        <v>3</v>
      </c>
      <c r="D843" s="1" t="s">
        <v>1806</v>
      </c>
      <c r="E843" s="1" t="s">
        <v>1807</v>
      </c>
      <c r="F843" s="1">
        <v>31.338899999999999</v>
      </c>
      <c r="G843" s="1">
        <v>121.22</v>
      </c>
      <c r="H843" s="1" t="s">
        <v>1808</v>
      </c>
      <c r="I843" s="1" t="s">
        <v>255</v>
      </c>
      <c r="J843" s="81">
        <v>40650</v>
      </c>
      <c r="K843" s="81" t="s">
        <v>1962</v>
      </c>
    </row>
    <row r="844" spans="1:11">
      <c r="A844" s="1">
        <v>2011</v>
      </c>
      <c r="B844" s="1" t="s">
        <v>1932</v>
      </c>
      <c r="C844" s="1">
        <v>4</v>
      </c>
      <c r="D844" s="1" t="s">
        <v>1826</v>
      </c>
      <c r="E844" s="1" t="s">
        <v>1827</v>
      </c>
      <c r="F844" s="1">
        <v>40.951700000000002</v>
      </c>
      <c r="G844" s="1">
        <v>29.405000000000001</v>
      </c>
      <c r="H844" s="1" t="s">
        <v>1828</v>
      </c>
      <c r="I844" s="1" t="s">
        <v>1829</v>
      </c>
      <c r="J844" s="81">
        <v>40671</v>
      </c>
      <c r="K844" s="81" t="s">
        <v>1963</v>
      </c>
    </row>
    <row r="845" spans="1:11">
      <c r="A845" s="1">
        <v>2011</v>
      </c>
      <c r="B845" s="1" t="s">
        <v>1928</v>
      </c>
      <c r="C845" s="1">
        <v>5</v>
      </c>
      <c r="D845" s="1" t="s">
        <v>1566</v>
      </c>
      <c r="E845" s="1" t="s">
        <v>1567</v>
      </c>
      <c r="F845" s="1">
        <v>41.57</v>
      </c>
      <c r="G845" s="1">
        <v>2.26111</v>
      </c>
      <c r="H845" s="1" t="s">
        <v>1568</v>
      </c>
      <c r="I845" s="1" t="s">
        <v>903</v>
      </c>
      <c r="J845" s="81">
        <v>40685</v>
      </c>
      <c r="K845" s="81" t="s">
        <v>1964</v>
      </c>
    </row>
    <row r="846" spans="1:11">
      <c r="A846" s="1">
        <v>2011</v>
      </c>
      <c r="B846" s="1" t="s">
        <v>1930</v>
      </c>
      <c r="C846" s="1">
        <v>6</v>
      </c>
      <c r="D846" s="1" t="s">
        <v>857</v>
      </c>
      <c r="E846" s="1" t="s">
        <v>858</v>
      </c>
      <c r="F846" s="1">
        <v>43.734699999999997</v>
      </c>
      <c r="G846" s="1">
        <v>7.42056</v>
      </c>
      <c r="H846" s="1" t="s">
        <v>859</v>
      </c>
      <c r="I846" s="1" t="s">
        <v>860</v>
      </c>
      <c r="J846" s="81">
        <v>40692</v>
      </c>
      <c r="K846" s="81" t="s">
        <v>1965</v>
      </c>
    </row>
    <row r="847" spans="1:11">
      <c r="A847" s="1">
        <v>2011</v>
      </c>
      <c r="B847" s="1" t="s">
        <v>1934</v>
      </c>
      <c r="C847" s="1">
        <v>7</v>
      </c>
      <c r="D847" s="1" t="s">
        <v>1320</v>
      </c>
      <c r="E847" s="1" t="s">
        <v>1321</v>
      </c>
      <c r="F847" s="1">
        <v>45.5</v>
      </c>
      <c r="G847" s="1">
        <v>-73.522800000000004</v>
      </c>
      <c r="H847" s="1" t="s">
        <v>1322</v>
      </c>
      <c r="I847" s="1" t="s">
        <v>1119</v>
      </c>
      <c r="J847" s="81">
        <v>40706</v>
      </c>
      <c r="K847" s="81" t="s">
        <v>1966</v>
      </c>
    </row>
    <row r="848" spans="1:11">
      <c r="A848" s="1">
        <v>2011</v>
      </c>
      <c r="B848" s="1" t="s">
        <v>1936</v>
      </c>
      <c r="C848" s="1">
        <v>8</v>
      </c>
      <c r="D848" s="1" t="s">
        <v>1883</v>
      </c>
      <c r="E848" s="1" t="s">
        <v>1884</v>
      </c>
      <c r="F848" s="1">
        <v>39.4589</v>
      </c>
      <c r="G848" s="1">
        <v>-0.33166699999999999</v>
      </c>
      <c r="H848" s="1" t="s">
        <v>1885</v>
      </c>
      <c r="I848" s="1" t="s">
        <v>903</v>
      </c>
      <c r="J848" s="81">
        <v>40720</v>
      </c>
      <c r="K848" s="81" t="s">
        <v>1967</v>
      </c>
    </row>
    <row r="849" spans="1:11">
      <c r="A849" s="1">
        <v>2011</v>
      </c>
      <c r="B849" s="1" t="s">
        <v>1938</v>
      </c>
      <c r="C849" s="1">
        <v>9</v>
      </c>
      <c r="D849" s="1" t="s">
        <v>851</v>
      </c>
      <c r="E849" s="1" t="s">
        <v>852</v>
      </c>
      <c r="F849" s="1">
        <v>52.078600000000002</v>
      </c>
      <c r="G849" s="1">
        <v>-1.01694</v>
      </c>
      <c r="H849" s="1" t="s">
        <v>853</v>
      </c>
      <c r="I849" s="1" t="s">
        <v>854</v>
      </c>
      <c r="J849" s="81">
        <v>40734</v>
      </c>
      <c r="K849" s="81" t="s">
        <v>1968</v>
      </c>
    </row>
    <row r="850" spans="1:11">
      <c r="A850" s="1">
        <v>2011</v>
      </c>
      <c r="B850" s="1" t="s">
        <v>1940</v>
      </c>
      <c r="C850" s="1">
        <v>10</v>
      </c>
      <c r="D850" s="1" t="s">
        <v>894</v>
      </c>
      <c r="E850" s="1" t="s">
        <v>895</v>
      </c>
      <c r="F850" s="1">
        <v>50.335599999999999</v>
      </c>
      <c r="G850" s="1">
        <v>6.9474999999999998</v>
      </c>
      <c r="H850" s="1" t="s">
        <v>896</v>
      </c>
      <c r="I850" s="1" t="s">
        <v>761</v>
      </c>
      <c r="J850" s="81">
        <v>40748</v>
      </c>
      <c r="K850" s="81" t="s">
        <v>1969</v>
      </c>
    </row>
    <row r="851" spans="1:11">
      <c r="A851" s="1">
        <v>2011</v>
      </c>
      <c r="B851" s="1" t="s">
        <v>1942</v>
      </c>
      <c r="C851" s="1">
        <v>11</v>
      </c>
      <c r="D851" s="1" t="s">
        <v>1470</v>
      </c>
      <c r="E851" s="1" t="s">
        <v>1471</v>
      </c>
      <c r="F851" s="1">
        <v>47.578899999999997</v>
      </c>
      <c r="G851" s="1">
        <v>19.2486</v>
      </c>
      <c r="H851" s="1" t="s">
        <v>1472</v>
      </c>
      <c r="I851" s="1" t="s">
        <v>1473</v>
      </c>
      <c r="J851" s="81">
        <v>40755</v>
      </c>
      <c r="K851" s="81" t="s">
        <v>1970</v>
      </c>
    </row>
    <row r="852" spans="1:11">
      <c r="A852" s="1">
        <v>2011</v>
      </c>
      <c r="B852" s="1" t="s">
        <v>1944</v>
      </c>
      <c r="C852" s="1">
        <v>12</v>
      </c>
      <c r="D852" s="1" t="s">
        <v>873</v>
      </c>
      <c r="E852" s="1" t="s">
        <v>874</v>
      </c>
      <c r="F852" s="1">
        <v>50.437199999999997</v>
      </c>
      <c r="G852" s="1">
        <v>5.9713900000000004</v>
      </c>
      <c r="H852" s="1" t="s">
        <v>875</v>
      </c>
      <c r="I852" s="1" t="s">
        <v>244</v>
      </c>
      <c r="J852" s="81">
        <v>40783</v>
      </c>
      <c r="K852" s="81" t="s">
        <v>1971</v>
      </c>
    </row>
    <row r="853" spans="1:11">
      <c r="A853" s="1">
        <v>2011</v>
      </c>
      <c r="B853" s="1" t="s">
        <v>1946</v>
      </c>
      <c r="C853" s="1">
        <v>13</v>
      </c>
      <c r="D853" s="1" t="s">
        <v>883</v>
      </c>
      <c r="E853" s="1" t="s">
        <v>884</v>
      </c>
      <c r="F853" s="1">
        <v>45.615600000000001</v>
      </c>
      <c r="G853" s="1">
        <v>9.28111</v>
      </c>
      <c r="H853" s="1" t="s">
        <v>885</v>
      </c>
      <c r="I853" s="1" t="s">
        <v>886</v>
      </c>
      <c r="J853" s="81">
        <v>40797</v>
      </c>
      <c r="K853" s="81" t="s">
        <v>1972</v>
      </c>
    </row>
    <row r="854" spans="1:11">
      <c r="A854" s="1">
        <v>2011</v>
      </c>
      <c r="B854" s="1" t="s">
        <v>1948</v>
      </c>
      <c r="C854" s="1">
        <v>14</v>
      </c>
      <c r="D854" s="1" t="s">
        <v>1890</v>
      </c>
      <c r="E854" s="1" t="s">
        <v>1891</v>
      </c>
      <c r="F854" s="1">
        <v>1.2914000000000001</v>
      </c>
      <c r="G854" s="1">
        <v>103.864</v>
      </c>
      <c r="H854" s="1" t="s">
        <v>1892</v>
      </c>
      <c r="I854" s="1" t="s">
        <v>1893</v>
      </c>
      <c r="J854" s="81">
        <v>40811</v>
      </c>
      <c r="K854" s="81" t="s">
        <v>1973</v>
      </c>
    </row>
    <row r="855" spans="1:11">
      <c r="A855" s="1">
        <v>2011</v>
      </c>
      <c r="B855" s="1" t="s">
        <v>1950</v>
      </c>
      <c r="C855" s="1">
        <v>15</v>
      </c>
      <c r="D855" s="1" t="s">
        <v>1494</v>
      </c>
      <c r="E855" s="1" t="s">
        <v>1495</v>
      </c>
      <c r="F855" s="1">
        <v>34.8431</v>
      </c>
      <c r="G855" s="1">
        <v>136.541</v>
      </c>
      <c r="H855" s="1" t="s">
        <v>1496</v>
      </c>
      <c r="I855" s="1" t="s">
        <v>375</v>
      </c>
      <c r="J855" s="81">
        <v>40825</v>
      </c>
      <c r="K855" s="81" t="s">
        <v>1974</v>
      </c>
    </row>
    <row r="856" spans="1:11">
      <c r="A856" s="1">
        <v>2011</v>
      </c>
      <c r="B856" s="1" t="s">
        <v>1952</v>
      </c>
      <c r="C856" s="1">
        <v>16</v>
      </c>
      <c r="D856" s="1" t="s">
        <v>1953</v>
      </c>
      <c r="E856" s="1" t="s">
        <v>1954</v>
      </c>
      <c r="F856" s="1">
        <v>34.7333</v>
      </c>
      <c r="G856" s="1">
        <v>126.417</v>
      </c>
      <c r="H856" s="1" t="s">
        <v>1955</v>
      </c>
      <c r="I856" s="1" t="s">
        <v>1956</v>
      </c>
      <c r="J856" s="81">
        <v>40832</v>
      </c>
      <c r="K856" s="81" t="s">
        <v>1975</v>
      </c>
    </row>
    <row r="857" spans="1:11">
      <c r="A857" s="1">
        <v>2011</v>
      </c>
      <c r="B857" s="1" t="s">
        <v>1976</v>
      </c>
      <c r="C857" s="1">
        <v>17</v>
      </c>
      <c r="D857" s="1" t="s">
        <v>1977</v>
      </c>
      <c r="E857" s="1" t="s">
        <v>1978</v>
      </c>
      <c r="F857" s="1">
        <v>28.4072</v>
      </c>
      <c r="G857" s="1">
        <v>77.514200000000002</v>
      </c>
      <c r="H857" s="1" t="s">
        <v>1979</v>
      </c>
      <c r="I857" s="1" t="s">
        <v>128</v>
      </c>
      <c r="J857" s="81">
        <v>40846</v>
      </c>
      <c r="K857" s="81" t="s">
        <v>1980</v>
      </c>
    </row>
    <row r="858" spans="1:11">
      <c r="A858" s="1">
        <v>2011</v>
      </c>
      <c r="B858" s="1" t="s">
        <v>1981</v>
      </c>
      <c r="C858" s="1">
        <v>18</v>
      </c>
      <c r="D858" s="1" t="s">
        <v>1915</v>
      </c>
      <c r="E858" s="1" t="s">
        <v>1916</v>
      </c>
      <c r="F858" s="1">
        <v>24.467199999999998</v>
      </c>
      <c r="G858" s="1">
        <v>54.603099999999998</v>
      </c>
      <c r="H858" s="1" t="s">
        <v>1917</v>
      </c>
      <c r="I858" s="1" t="s">
        <v>1918</v>
      </c>
      <c r="J858" s="81">
        <v>40860</v>
      </c>
      <c r="K858" s="81" t="s">
        <v>1982</v>
      </c>
    </row>
    <row r="859" spans="1:11">
      <c r="A859" s="1">
        <v>2011</v>
      </c>
      <c r="B859" s="1" t="s">
        <v>1983</v>
      </c>
      <c r="C859" s="1">
        <v>19</v>
      </c>
      <c r="D859" s="1" t="s">
        <v>1204</v>
      </c>
      <c r="E859" s="1" t="s">
        <v>1205</v>
      </c>
      <c r="F859" s="1">
        <v>-23.703600000000002</v>
      </c>
      <c r="G859" s="1">
        <v>-46.6997</v>
      </c>
      <c r="H859" s="1" t="s">
        <v>1206</v>
      </c>
      <c r="I859" s="1" t="s">
        <v>1207</v>
      </c>
      <c r="J859" s="81">
        <v>40874</v>
      </c>
      <c r="K859" s="81" t="s">
        <v>1984</v>
      </c>
    </row>
    <row r="860" spans="1:11">
      <c r="A860" s="1">
        <v>2012</v>
      </c>
      <c r="B860" s="1" t="s">
        <v>1922</v>
      </c>
      <c r="C860" s="1">
        <v>1</v>
      </c>
      <c r="D860" s="1" t="s">
        <v>1644</v>
      </c>
      <c r="E860" s="1" t="s">
        <v>1645</v>
      </c>
      <c r="F860" s="1">
        <v>-37.849699999999999</v>
      </c>
      <c r="G860" s="1">
        <v>144.96799999999999</v>
      </c>
      <c r="H860" s="1" t="s">
        <v>1646</v>
      </c>
      <c r="I860" s="1" t="s">
        <v>1454</v>
      </c>
      <c r="J860" s="81">
        <v>40986</v>
      </c>
      <c r="K860" s="81" t="s">
        <v>1985</v>
      </c>
    </row>
    <row r="861" spans="1:11">
      <c r="A861" s="1">
        <v>2012</v>
      </c>
      <c r="B861" s="1" t="s">
        <v>1924</v>
      </c>
      <c r="C861" s="1">
        <v>2</v>
      </c>
      <c r="D861" s="1" t="s">
        <v>1712</v>
      </c>
      <c r="E861" s="1" t="s">
        <v>1713</v>
      </c>
      <c r="F861" s="1">
        <v>2.7608299999999999</v>
      </c>
      <c r="G861" s="1">
        <v>101.738</v>
      </c>
      <c r="H861" s="1" t="s">
        <v>1714</v>
      </c>
      <c r="I861" s="1" t="s">
        <v>1715</v>
      </c>
      <c r="J861" s="81">
        <v>40993</v>
      </c>
      <c r="K861" s="81" t="s">
        <v>1986</v>
      </c>
    </row>
    <row r="862" spans="1:11">
      <c r="A862" s="1">
        <v>2012</v>
      </c>
      <c r="B862" s="1" t="s">
        <v>1926</v>
      </c>
      <c r="C862" s="1">
        <v>3</v>
      </c>
      <c r="D862" s="1" t="s">
        <v>1806</v>
      </c>
      <c r="E862" s="1" t="s">
        <v>1807</v>
      </c>
      <c r="F862" s="1">
        <v>31.338899999999999</v>
      </c>
      <c r="G862" s="1">
        <v>121.22</v>
      </c>
      <c r="H862" s="1" t="s">
        <v>1808</v>
      </c>
      <c r="I862" s="1" t="s">
        <v>255</v>
      </c>
      <c r="J862" s="81">
        <v>41014</v>
      </c>
      <c r="K862" s="81" t="s">
        <v>1987</v>
      </c>
    </row>
    <row r="863" spans="1:11">
      <c r="A863" s="1">
        <v>2012</v>
      </c>
      <c r="B863" s="1" t="s">
        <v>1920</v>
      </c>
      <c r="C863" s="1">
        <v>4</v>
      </c>
      <c r="D863" s="1" t="s">
        <v>1788</v>
      </c>
      <c r="E863" s="1" t="s">
        <v>1789</v>
      </c>
      <c r="F863" s="1">
        <v>26.032499999999999</v>
      </c>
      <c r="G863" s="1">
        <v>50.510599999999997</v>
      </c>
      <c r="H863" s="1" t="s">
        <v>1790</v>
      </c>
      <c r="I863" s="1" t="s">
        <v>1791</v>
      </c>
      <c r="J863" s="81">
        <v>41021</v>
      </c>
      <c r="K863" s="81" t="s">
        <v>1988</v>
      </c>
    </row>
    <row r="864" spans="1:11">
      <c r="A864" s="1">
        <v>2012</v>
      </c>
      <c r="B864" s="1" t="s">
        <v>1928</v>
      </c>
      <c r="C864" s="1">
        <v>5</v>
      </c>
      <c r="D864" s="1" t="s">
        <v>1566</v>
      </c>
      <c r="E864" s="1" t="s">
        <v>1567</v>
      </c>
      <c r="F864" s="1">
        <v>41.57</v>
      </c>
      <c r="G864" s="1">
        <v>2.26111</v>
      </c>
      <c r="H864" s="1" t="s">
        <v>1568</v>
      </c>
      <c r="I864" s="1" t="s">
        <v>903</v>
      </c>
      <c r="J864" s="81">
        <v>41042</v>
      </c>
      <c r="K864" s="81" t="s">
        <v>1989</v>
      </c>
    </row>
    <row r="865" spans="1:11">
      <c r="A865" s="1">
        <v>2012</v>
      </c>
      <c r="B865" s="1" t="s">
        <v>1930</v>
      </c>
      <c r="C865" s="1">
        <v>6</v>
      </c>
      <c r="D865" s="1" t="s">
        <v>857</v>
      </c>
      <c r="E865" s="1" t="s">
        <v>858</v>
      </c>
      <c r="F865" s="1">
        <v>43.734699999999997</v>
      </c>
      <c r="G865" s="1">
        <v>7.42056</v>
      </c>
      <c r="H865" s="1" t="s">
        <v>859</v>
      </c>
      <c r="I865" s="1" t="s">
        <v>860</v>
      </c>
      <c r="J865" s="81">
        <v>41056</v>
      </c>
      <c r="K865" s="81" t="s">
        <v>1990</v>
      </c>
    </row>
    <row r="866" spans="1:11">
      <c r="A866" s="1">
        <v>2012</v>
      </c>
      <c r="B866" s="1" t="s">
        <v>1934</v>
      </c>
      <c r="C866" s="1">
        <v>7</v>
      </c>
      <c r="D866" s="1" t="s">
        <v>1320</v>
      </c>
      <c r="E866" s="1" t="s">
        <v>1321</v>
      </c>
      <c r="F866" s="1">
        <v>45.5</v>
      </c>
      <c r="G866" s="1">
        <v>-73.522800000000004</v>
      </c>
      <c r="H866" s="1" t="s">
        <v>1322</v>
      </c>
      <c r="I866" s="1" t="s">
        <v>1119</v>
      </c>
      <c r="J866" s="81">
        <v>41070</v>
      </c>
      <c r="K866" s="81" t="s">
        <v>1991</v>
      </c>
    </row>
    <row r="867" spans="1:11">
      <c r="A867" s="1">
        <v>2012</v>
      </c>
      <c r="B867" s="1" t="s">
        <v>1936</v>
      </c>
      <c r="C867" s="1">
        <v>8</v>
      </c>
      <c r="D867" s="1" t="s">
        <v>1883</v>
      </c>
      <c r="E867" s="1" t="s">
        <v>1884</v>
      </c>
      <c r="F867" s="1">
        <v>39.4589</v>
      </c>
      <c r="G867" s="1">
        <v>-0.33166699999999999</v>
      </c>
      <c r="H867" s="1" t="s">
        <v>1885</v>
      </c>
      <c r="I867" s="1" t="s">
        <v>903</v>
      </c>
      <c r="J867" s="81">
        <v>41084</v>
      </c>
      <c r="K867" s="81" t="s">
        <v>1992</v>
      </c>
    </row>
    <row r="868" spans="1:11">
      <c r="A868" s="1">
        <v>2012</v>
      </c>
      <c r="B868" s="1" t="s">
        <v>1938</v>
      </c>
      <c r="C868" s="1">
        <v>9</v>
      </c>
      <c r="D868" s="1" t="s">
        <v>851</v>
      </c>
      <c r="E868" s="1" t="s">
        <v>852</v>
      </c>
      <c r="F868" s="1">
        <v>52.078600000000002</v>
      </c>
      <c r="G868" s="1">
        <v>-1.01694</v>
      </c>
      <c r="H868" s="1" t="s">
        <v>853</v>
      </c>
      <c r="I868" s="1" t="s">
        <v>854</v>
      </c>
      <c r="J868" s="81">
        <v>41098</v>
      </c>
      <c r="K868" s="81" t="s">
        <v>1993</v>
      </c>
    </row>
    <row r="869" spans="1:11">
      <c r="A869" s="1">
        <v>2012</v>
      </c>
      <c r="B869" s="1" t="s">
        <v>1940</v>
      </c>
      <c r="C869" s="1">
        <v>10</v>
      </c>
      <c r="D869" s="1" t="s">
        <v>1162</v>
      </c>
      <c r="E869" s="1" t="s">
        <v>1163</v>
      </c>
      <c r="F869" s="1">
        <v>49.327800000000003</v>
      </c>
      <c r="G869" s="1">
        <v>8.5658300000000001</v>
      </c>
      <c r="H869" s="1" t="s">
        <v>1164</v>
      </c>
      <c r="I869" s="1" t="s">
        <v>761</v>
      </c>
      <c r="J869" s="81">
        <v>41112</v>
      </c>
      <c r="K869" s="81" t="s">
        <v>1994</v>
      </c>
    </row>
    <row r="870" spans="1:11">
      <c r="A870" s="1">
        <v>2012</v>
      </c>
      <c r="B870" s="1" t="s">
        <v>1942</v>
      </c>
      <c r="C870" s="1">
        <v>11</v>
      </c>
      <c r="D870" s="1" t="s">
        <v>1470</v>
      </c>
      <c r="E870" s="1" t="s">
        <v>1471</v>
      </c>
      <c r="F870" s="1">
        <v>47.578899999999997</v>
      </c>
      <c r="G870" s="1">
        <v>19.2486</v>
      </c>
      <c r="H870" s="1" t="s">
        <v>1472</v>
      </c>
      <c r="I870" s="1" t="s">
        <v>1473</v>
      </c>
      <c r="J870" s="81">
        <v>41119</v>
      </c>
      <c r="K870" s="81" t="s">
        <v>1995</v>
      </c>
    </row>
    <row r="871" spans="1:11">
      <c r="A871" s="1">
        <v>2012</v>
      </c>
      <c r="B871" s="1" t="s">
        <v>1944</v>
      </c>
      <c r="C871" s="1">
        <v>12</v>
      </c>
      <c r="D871" s="1" t="s">
        <v>873</v>
      </c>
      <c r="E871" s="1" t="s">
        <v>874</v>
      </c>
      <c r="F871" s="1">
        <v>50.437199999999997</v>
      </c>
      <c r="G871" s="1">
        <v>5.9713900000000004</v>
      </c>
      <c r="H871" s="1" t="s">
        <v>875</v>
      </c>
      <c r="I871" s="1" t="s">
        <v>244</v>
      </c>
      <c r="J871" s="81">
        <v>41154</v>
      </c>
      <c r="K871" s="81" t="s">
        <v>1996</v>
      </c>
    </row>
    <row r="872" spans="1:11">
      <c r="A872" s="1">
        <v>2012</v>
      </c>
      <c r="B872" s="1" t="s">
        <v>1946</v>
      </c>
      <c r="C872" s="1">
        <v>13</v>
      </c>
      <c r="D872" s="1" t="s">
        <v>883</v>
      </c>
      <c r="E872" s="1" t="s">
        <v>884</v>
      </c>
      <c r="F872" s="1">
        <v>45.615600000000001</v>
      </c>
      <c r="G872" s="1">
        <v>9.28111</v>
      </c>
      <c r="H872" s="1" t="s">
        <v>885</v>
      </c>
      <c r="I872" s="1" t="s">
        <v>886</v>
      </c>
      <c r="J872" s="81">
        <v>41161</v>
      </c>
      <c r="K872" s="81" t="s">
        <v>1997</v>
      </c>
    </row>
    <row r="873" spans="1:11">
      <c r="A873" s="1">
        <v>2012</v>
      </c>
      <c r="B873" s="1" t="s">
        <v>1948</v>
      </c>
      <c r="C873" s="1">
        <v>14</v>
      </c>
      <c r="D873" s="1" t="s">
        <v>1890</v>
      </c>
      <c r="E873" s="1" t="s">
        <v>1891</v>
      </c>
      <c r="F873" s="1">
        <v>1.2914000000000001</v>
      </c>
      <c r="G873" s="1">
        <v>103.864</v>
      </c>
      <c r="H873" s="1" t="s">
        <v>1892</v>
      </c>
      <c r="I873" s="1" t="s">
        <v>1893</v>
      </c>
      <c r="J873" s="81">
        <v>41175</v>
      </c>
      <c r="K873" s="81" t="s">
        <v>1998</v>
      </c>
    </row>
    <row r="874" spans="1:11">
      <c r="A874" s="1">
        <v>2012</v>
      </c>
      <c r="B874" s="1" t="s">
        <v>1950</v>
      </c>
      <c r="C874" s="1">
        <v>15</v>
      </c>
      <c r="D874" s="1" t="s">
        <v>1494</v>
      </c>
      <c r="E874" s="1" t="s">
        <v>1495</v>
      </c>
      <c r="F874" s="1">
        <v>34.8431</v>
      </c>
      <c r="G874" s="1">
        <v>136.541</v>
      </c>
      <c r="H874" s="1" t="s">
        <v>1496</v>
      </c>
      <c r="I874" s="1" t="s">
        <v>375</v>
      </c>
      <c r="J874" s="81">
        <v>41189</v>
      </c>
      <c r="K874" s="81" t="s">
        <v>1999</v>
      </c>
    </row>
    <row r="875" spans="1:11">
      <c r="A875" s="1">
        <v>2012</v>
      </c>
      <c r="B875" s="1" t="s">
        <v>1952</v>
      </c>
      <c r="C875" s="1">
        <v>16</v>
      </c>
      <c r="D875" s="1" t="s">
        <v>1953</v>
      </c>
      <c r="E875" s="1" t="s">
        <v>1954</v>
      </c>
      <c r="F875" s="1">
        <v>34.7333</v>
      </c>
      <c r="G875" s="1">
        <v>126.417</v>
      </c>
      <c r="H875" s="1" t="s">
        <v>1955</v>
      </c>
      <c r="I875" s="1" t="s">
        <v>1956</v>
      </c>
      <c r="J875" s="81">
        <v>41196</v>
      </c>
      <c r="K875" s="81" t="s">
        <v>2000</v>
      </c>
    </row>
    <row r="876" spans="1:11">
      <c r="A876" s="1">
        <v>2012</v>
      </c>
      <c r="B876" s="1" t="s">
        <v>1976</v>
      </c>
      <c r="C876" s="1">
        <v>17</v>
      </c>
      <c r="D876" s="1" t="s">
        <v>1977</v>
      </c>
      <c r="E876" s="1" t="s">
        <v>1978</v>
      </c>
      <c r="F876" s="1">
        <v>28.4072</v>
      </c>
      <c r="G876" s="1">
        <v>77.514200000000002</v>
      </c>
      <c r="H876" s="1" t="s">
        <v>1979</v>
      </c>
      <c r="I876" s="1" t="s">
        <v>128</v>
      </c>
      <c r="J876" s="81">
        <v>41210</v>
      </c>
      <c r="K876" s="81" t="s">
        <v>2001</v>
      </c>
    </row>
    <row r="877" spans="1:11">
      <c r="A877" s="1">
        <v>2012</v>
      </c>
      <c r="B877" s="1" t="s">
        <v>1981</v>
      </c>
      <c r="C877" s="1">
        <v>18</v>
      </c>
      <c r="D877" s="1" t="s">
        <v>1915</v>
      </c>
      <c r="E877" s="1" t="s">
        <v>1916</v>
      </c>
      <c r="F877" s="1">
        <v>24.467199999999998</v>
      </c>
      <c r="G877" s="1">
        <v>54.603099999999998</v>
      </c>
      <c r="H877" s="1" t="s">
        <v>1917</v>
      </c>
      <c r="I877" s="1" t="s">
        <v>1918</v>
      </c>
      <c r="J877" s="81">
        <v>41217</v>
      </c>
      <c r="K877" s="81" t="s">
        <v>2002</v>
      </c>
    </row>
    <row r="878" spans="1:11">
      <c r="A878" s="1">
        <v>2012</v>
      </c>
      <c r="B878" s="1" t="s">
        <v>2003</v>
      </c>
      <c r="C878" s="1">
        <v>19</v>
      </c>
      <c r="D878" s="1" t="s">
        <v>2004</v>
      </c>
      <c r="E878" s="1" t="s">
        <v>2005</v>
      </c>
      <c r="F878" s="1">
        <v>30.1328</v>
      </c>
      <c r="G878" s="1">
        <v>-97.641099999999994</v>
      </c>
      <c r="H878" s="1" t="s">
        <v>2006</v>
      </c>
      <c r="I878" s="1" t="s">
        <v>1010</v>
      </c>
      <c r="J878" s="81">
        <v>41231</v>
      </c>
      <c r="K878" s="81" t="s">
        <v>2007</v>
      </c>
    </row>
    <row r="879" spans="1:11">
      <c r="A879" s="1">
        <v>2012</v>
      </c>
      <c r="B879" s="1" t="s">
        <v>1983</v>
      </c>
      <c r="C879" s="1">
        <v>20</v>
      </c>
      <c r="D879" s="1" t="s">
        <v>1204</v>
      </c>
      <c r="E879" s="1" t="s">
        <v>1205</v>
      </c>
      <c r="F879" s="1">
        <v>-23.703600000000002</v>
      </c>
      <c r="G879" s="1">
        <v>-46.6997</v>
      </c>
      <c r="H879" s="1" t="s">
        <v>1206</v>
      </c>
      <c r="I879" s="1" t="s">
        <v>1207</v>
      </c>
      <c r="J879" s="81">
        <v>41238</v>
      </c>
      <c r="K879" s="81" t="s">
        <v>2008</v>
      </c>
    </row>
  </sheetData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 filterMode="1"/>
  <dimension ref="A1:P16657"/>
  <sheetViews>
    <sheetView topLeftCell="T41" workbookViewId="0">
      <selection activeCell="Y75" sqref="Y75"/>
    </sheetView>
  </sheetViews>
  <sheetFormatPr defaultRowHeight="12" customHeight="1"/>
  <cols>
    <col min="1" max="1" width="22.5703125" style="84" customWidth="1"/>
    <col min="2" max="2" width="9.28515625" style="84" customWidth="1"/>
    <col min="3" max="3" width="18" style="84" customWidth="1"/>
    <col min="4" max="4" width="12" style="84" customWidth="1"/>
    <col min="5" max="5" width="11.140625" style="84" customWidth="1"/>
    <col min="6" max="6" width="4.5703125" style="84" customWidth="1"/>
    <col min="7" max="7" width="7.42578125" style="84" customWidth="1"/>
    <col min="8" max="8" width="8.85546875" style="84" customWidth="1"/>
    <col min="9" max="10" width="9.140625" style="84"/>
    <col min="11" max="11" width="12" style="84" customWidth="1"/>
    <col min="12" max="16384" width="9.140625" style="84"/>
  </cols>
  <sheetData>
    <row r="1" spans="1:16" ht="43.5" customHeight="1">
      <c r="A1" s="83" t="s">
        <v>3041</v>
      </c>
      <c r="B1" s="83" t="s">
        <v>3042</v>
      </c>
      <c r="C1" s="83" t="s">
        <v>3043</v>
      </c>
      <c r="D1" s="83" t="s">
        <v>3044</v>
      </c>
      <c r="E1" s="83" t="s">
        <v>3045</v>
      </c>
      <c r="F1" s="83" t="s">
        <v>3046</v>
      </c>
      <c r="G1" s="83" t="s">
        <v>3047</v>
      </c>
      <c r="H1" s="13" t="s">
        <v>349</v>
      </c>
      <c r="I1" s="13" t="s">
        <v>3218</v>
      </c>
      <c r="J1" s="18" t="s">
        <v>499</v>
      </c>
      <c r="K1" s="18" t="s">
        <v>242</v>
      </c>
      <c r="L1" s="77" t="s">
        <v>823</v>
      </c>
      <c r="M1" s="79" t="s">
        <v>807</v>
      </c>
      <c r="N1" s="17" t="s">
        <v>143</v>
      </c>
      <c r="O1" s="17" t="s">
        <v>144</v>
      </c>
      <c r="P1" s="84" t="s">
        <v>3219</v>
      </c>
    </row>
    <row r="2" spans="1:16" ht="12" hidden="1" customHeight="1">
      <c r="A2" s="84" t="s">
        <v>3048</v>
      </c>
      <c r="B2" s="84" t="s">
        <v>3049</v>
      </c>
      <c r="C2" s="84" t="s">
        <v>3050</v>
      </c>
      <c r="D2" s="84" t="s">
        <v>3051</v>
      </c>
      <c r="E2" s="84" t="s">
        <v>3052</v>
      </c>
      <c r="F2" s="84" t="s">
        <v>3053</v>
      </c>
      <c r="G2" s="84" t="s">
        <v>3054</v>
      </c>
      <c r="H2" s="86">
        <f>ROW()</f>
        <v>2</v>
      </c>
      <c r="I2" s="84" t="str">
        <f t="shared" ref="I2:I40" si="0">D2</f>
        <v>Aldgate East</v>
      </c>
      <c r="J2" s="84" t="str">
        <f t="shared" ref="J2:J40" si="1">D2</f>
        <v>Aldgate East</v>
      </c>
      <c r="K2" s="86" t="str">
        <f t="shared" ref="K2:K40" si="2">"&lt;strong&gt;"&amp;J2&amp;"&lt;/strong&gt;&lt;/br&gt;&lt;i&gt;"&amp;$A$1&amp;"&lt;/i&gt;&lt;br&gt;"&amp;A2&amp;"&lt;br&gt;&lt;i&gt;"&amp;$G$1&amp;"&lt;/i&gt;&lt;br&gt;"&amp;G2&amp;"&lt;br&gt;&lt;i&gt;"&amp;$E$1&amp;"&lt;/i&gt;&lt;br&gt;"&amp;E2</f>
        <v>&lt;strong&gt;Aldgate East&lt;/strong&gt;&lt;/br&gt;&lt;i&gt;current_condition&lt;/i&gt;&lt;br&gt;Demolished&lt;br&gt;&lt;i&gt;line&lt;/i&gt;&lt;br&gt;District&lt;br&gt;&lt;i&gt;details&lt;/i&gt;&lt;br&gt;Closed when the current station was opened a short distance to the east to enable the Aldgate junction to be rebuilt</v>
      </c>
      <c r="L2" s="84" t="str">
        <f t="shared" ref="L2:L40" si="3">G2</f>
        <v>District</v>
      </c>
      <c r="M2" s="84" t="s">
        <v>3211</v>
      </c>
      <c r="N2" s="86">
        <v>51.515228</v>
      </c>
      <c r="O2" s="86">
        <v>-7.3139999999999997E-2</v>
      </c>
      <c r="P2" s="84" t="str">
        <f t="shared" ref="P2:P40" si="4">I2</f>
        <v>Aldgate East</v>
      </c>
    </row>
    <row r="3" spans="1:16" ht="12" hidden="1" customHeight="1">
      <c r="A3" s="84" t="s">
        <v>3055</v>
      </c>
      <c r="B3" s="84" t="s">
        <v>3056</v>
      </c>
      <c r="C3" s="84" t="s">
        <v>3057</v>
      </c>
      <c r="D3" s="84" t="s">
        <v>3058</v>
      </c>
      <c r="E3" s="84" t="s">
        <v>3059</v>
      </c>
      <c r="F3" s="84" t="s">
        <v>3060</v>
      </c>
      <c r="G3" s="84" t="s">
        <v>3061</v>
      </c>
      <c r="H3" s="86">
        <f>ROW()</f>
        <v>3</v>
      </c>
      <c r="I3" s="84" t="str">
        <f t="shared" si="0"/>
        <v>Aldwych</v>
      </c>
      <c r="J3" s="84" t="str">
        <f t="shared" si="1"/>
        <v>Aldwych</v>
      </c>
      <c r="K3" s="86" t="str">
        <f t="shared" si="2"/>
        <v>&lt;strong&gt;Aldwych&lt;/strong&gt;&lt;/br&gt;&lt;i&gt;current_condition&lt;/i&gt;&lt;br&gt;Building remains and platforms sometimes used for cinematic purposes&lt;br&gt;&lt;i&gt;line&lt;/i&gt;&lt;br&gt;Piccadilly&lt;br&gt;&lt;i&gt;details&lt;/i&gt;&lt;br&gt;Terminus of Piccadilly line branch line from Holborn; closed due to low passenger numbers and cost of replacing lifts</v>
      </c>
      <c r="L3" s="84" t="str">
        <f t="shared" si="3"/>
        <v>Piccadilly</v>
      </c>
      <c r="M3" s="84" t="s">
        <v>3210</v>
      </c>
      <c r="N3" s="86">
        <v>51.512217999999997</v>
      </c>
      <c r="O3" s="86">
        <v>-0.11891</v>
      </c>
      <c r="P3" s="84" t="str">
        <f t="shared" si="4"/>
        <v>Aldwych</v>
      </c>
    </row>
    <row r="4" spans="1:16" ht="12" hidden="1" customHeight="1">
      <c r="A4" s="84" t="s">
        <v>3062</v>
      </c>
      <c r="B4" s="84" t="s">
        <v>3056</v>
      </c>
      <c r="C4" s="84" t="s">
        <v>3063</v>
      </c>
      <c r="D4" s="84" t="s">
        <v>3064</v>
      </c>
      <c r="E4" s="84" t="s">
        <v>3065</v>
      </c>
      <c r="F4" s="84" t="s">
        <v>3066</v>
      </c>
      <c r="G4" s="84" t="s">
        <v>3067</v>
      </c>
      <c r="H4" s="86">
        <f>ROW()</f>
        <v>4</v>
      </c>
      <c r="I4" s="84" t="str">
        <f t="shared" si="0"/>
        <v>Blake Hall</v>
      </c>
      <c r="J4" s="84" t="str">
        <f t="shared" si="1"/>
        <v>Blake Hall</v>
      </c>
      <c r="K4" s="86" t="str">
        <f t="shared" si="2"/>
        <v>&lt;strong&gt;Blake Hall&lt;/strong&gt;&lt;/br&gt;&lt;i&gt;current_condition&lt;/i&gt;&lt;br&gt;Building remains as private residence&lt;br&gt;&lt;i&gt;line&lt;/i&gt;&lt;br&gt;Central&lt;br&gt;&lt;i&gt;details&lt;/i&gt;&lt;br&gt;Closed due to low passenger numbers</v>
      </c>
      <c r="L4" s="84" t="str">
        <f t="shared" si="3"/>
        <v>Central</v>
      </c>
      <c r="M4" s="84" t="s">
        <v>3212</v>
      </c>
      <c r="N4" s="86">
        <v>32.696849999999998</v>
      </c>
      <c r="O4" s="86">
        <v>-80.759743</v>
      </c>
      <c r="P4" s="84" t="str">
        <f t="shared" si="4"/>
        <v>Blake Hall</v>
      </c>
    </row>
    <row r="5" spans="1:16" ht="12" hidden="1" customHeight="1">
      <c r="A5" s="84" t="s">
        <v>3048</v>
      </c>
      <c r="B5" s="84" t="s">
        <v>3068</v>
      </c>
      <c r="C5" s="84" t="s">
        <v>3069</v>
      </c>
      <c r="D5" s="84" t="s">
        <v>3070</v>
      </c>
      <c r="E5" s="84" t="s">
        <v>3071</v>
      </c>
      <c r="F5" s="84" t="s">
        <v>3072</v>
      </c>
      <c r="G5" s="84" t="s">
        <v>3067</v>
      </c>
      <c r="H5" s="86">
        <f>ROW()</f>
        <v>5</v>
      </c>
      <c r="I5" s="84" t="str">
        <f t="shared" si="0"/>
        <v>British Museum</v>
      </c>
      <c r="J5" s="84" t="str">
        <f t="shared" si="1"/>
        <v>British Museum</v>
      </c>
      <c r="K5" s="86" t="str">
        <f t="shared" si="2"/>
        <v>&lt;strong&gt;British Museum&lt;/strong&gt;&lt;/br&gt;&lt;i&gt;current_condition&lt;/i&gt;&lt;br&gt;Demolished&lt;br&gt;&lt;i&gt;line&lt;/i&gt;&lt;br&gt;Central&lt;br&gt;&lt;i&gt;details&lt;/i&gt;&lt;br&gt;Closed when Central line platforms were opened at Holborn</v>
      </c>
      <c r="L5" s="84" t="str">
        <f t="shared" si="3"/>
        <v>Central</v>
      </c>
      <c r="M5" s="84" t="s">
        <v>3212</v>
      </c>
      <c r="N5" s="86">
        <v>51.518630999999999</v>
      </c>
      <c r="O5" s="86">
        <v>-0.12522</v>
      </c>
      <c r="P5" s="84" t="str">
        <f t="shared" si="4"/>
        <v>British Museum</v>
      </c>
    </row>
    <row r="6" spans="1:16" ht="23.25" hidden="1" customHeight="1">
      <c r="A6" s="84" t="s">
        <v>3073</v>
      </c>
      <c r="B6" s="84" t="s">
        <v>3068</v>
      </c>
      <c r="C6" s="84" t="s">
        <v>3074</v>
      </c>
      <c r="D6" s="84" t="s">
        <v>3075</v>
      </c>
      <c r="E6" s="84" t="s">
        <v>3076</v>
      </c>
      <c r="F6" s="84" t="s">
        <v>3077</v>
      </c>
      <c r="G6" s="84" t="s">
        <v>3061</v>
      </c>
      <c r="H6" s="86">
        <f>ROW()</f>
        <v>6</v>
      </c>
      <c r="I6" s="84" t="str">
        <f t="shared" si="0"/>
        <v>Brompton Road</v>
      </c>
      <c r="J6" s="84" t="str">
        <f t="shared" si="1"/>
        <v>Brompton Road</v>
      </c>
      <c r="K6" s="86" t="str">
        <f t="shared" si="2"/>
        <v>&lt;strong&gt;Brompton Road&lt;/strong&gt;&lt;/br&gt;&lt;i&gt;current_condition&lt;/i&gt;&lt;br&gt;Mostly demolished, side elevation remains&lt;br&gt;&lt;i&gt;line&lt;/i&gt;&lt;br&gt;Piccadilly&lt;br&gt;&lt;i&gt;details&lt;/i&gt;&lt;br&gt;Closed due to low passenger numbers and creation of a new entrance to Knightsbridge station</v>
      </c>
      <c r="L6" s="84" t="str">
        <f t="shared" si="3"/>
        <v>Piccadilly</v>
      </c>
      <c r="M6" s="84" t="s">
        <v>3210</v>
      </c>
      <c r="N6" s="86">
        <v>45.445160000000001</v>
      </c>
      <c r="O6" s="86">
        <v>-71.917357999999993</v>
      </c>
      <c r="P6" s="84" t="str">
        <f t="shared" si="4"/>
        <v>Brompton Road</v>
      </c>
    </row>
    <row r="7" spans="1:16" ht="12" hidden="1" customHeight="1">
      <c r="A7" s="84" t="s">
        <v>3078</v>
      </c>
      <c r="B7" s="84" t="s">
        <v>3068</v>
      </c>
      <c r="C7" s="84" t="s">
        <v>3079</v>
      </c>
      <c r="D7" s="84" t="s">
        <v>3080</v>
      </c>
      <c r="E7" s="84" t="s">
        <v>3065</v>
      </c>
      <c r="F7" s="84" t="s">
        <v>3081</v>
      </c>
      <c r="G7" s="84" t="s">
        <v>3082</v>
      </c>
      <c r="H7" s="86">
        <f>ROW()</f>
        <v>7</v>
      </c>
      <c r="I7" s="84" t="str">
        <f t="shared" si="0"/>
        <v>City Road</v>
      </c>
      <c r="J7" s="84" t="str">
        <f t="shared" si="1"/>
        <v>City Road</v>
      </c>
      <c r="K7" s="86" t="str">
        <f t="shared" si="2"/>
        <v>&lt;strong&gt;City Road&lt;/strong&gt;&lt;/br&gt;&lt;i&gt;current_condition&lt;/i&gt;&lt;br&gt;Mostly demolished, ventilation tower remains&lt;br&gt;&lt;i&gt;line&lt;/i&gt;&lt;br&gt;Northern&lt;br&gt;&lt;i&gt;details&lt;/i&gt;&lt;br&gt;Closed due to low passenger numbers</v>
      </c>
      <c r="L7" s="84" t="str">
        <f t="shared" si="3"/>
        <v>Northern</v>
      </c>
      <c r="M7" s="84" t="s">
        <v>3213</v>
      </c>
      <c r="N7" s="86">
        <v>28.405608999999998</v>
      </c>
      <c r="O7" s="86">
        <v>-80.755240999999998</v>
      </c>
      <c r="P7" s="84" t="str">
        <f t="shared" si="4"/>
        <v>City Road</v>
      </c>
    </row>
    <row r="8" spans="1:16" ht="12" hidden="1" customHeight="1">
      <c r="A8" s="84" t="s">
        <v>3083</v>
      </c>
      <c r="B8" s="84" t="s">
        <v>3068</v>
      </c>
      <c r="C8" s="84" t="s">
        <v>3084</v>
      </c>
      <c r="D8" s="84" t="s">
        <v>3085</v>
      </c>
      <c r="E8" s="84" t="s">
        <v>3086</v>
      </c>
      <c r="F8" s="84" t="s">
        <v>3087</v>
      </c>
      <c r="G8" s="84" t="s">
        <v>3061</v>
      </c>
      <c r="H8" s="86">
        <f>ROW()</f>
        <v>8</v>
      </c>
      <c r="I8" s="84" t="str">
        <f t="shared" si="0"/>
        <v>Down Street</v>
      </c>
      <c r="J8" s="84" t="str">
        <f t="shared" si="1"/>
        <v>Down Street</v>
      </c>
      <c r="K8" s="86" t="str">
        <f t="shared" si="2"/>
        <v>&lt;strong&gt;Down Street&lt;/strong&gt;&lt;/br&gt;&lt;i&gt;current_condition&lt;/i&gt;&lt;br&gt;Building remains&lt;br&gt;&lt;i&gt;line&lt;/i&gt;&lt;br&gt;Piccadilly&lt;br&gt;&lt;i&gt;details&lt;/i&gt;&lt;br&gt;Closed due to low passenger numbers when entrances to Green Park and Hyde Park Corner were moved closer to its location</v>
      </c>
      <c r="L8" s="84" t="str">
        <f t="shared" si="3"/>
        <v>Piccadilly</v>
      </c>
      <c r="M8" s="84" t="s">
        <v>3210</v>
      </c>
      <c r="N8" s="86">
        <v>50.826591999999998</v>
      </c>
      <c r="O8" s="86">
        <v>-3.78478</v>
      </c>
      <c r="P8" s="84" t="str">
        <f t="shared" si="4"/>
        <v>Down Street</v>
      </c>
    </row>
    <row r="9" spans="1:16" ht="12" hidden="1" customHeight="1">
      <c r="A9" s="84" t="s">
        <v>3048</v>
      </c>
      <c r="B9" s="84" t="s">
        <v>3049</v>
      </c>
      <c r="C9" s="84" t="s">
        <v>3088</v>
      </c>
      <c r="D9" s="84" t="s">
        <v>3089</v>
      </c>
      <c r="E9" s="84" t="s">
        <v>3090</v>
      </c>
      <c r="F9" s="84" t="s">
        <v>3091</v>
      </c>
      <c r="G9" s="84" t="s">
        <v>3054</v>
      </c>
      <c r="H9" s="86">
        <f>ROW()</f>
        <v>9</v>
      </c>
      <c r="I9" s="84" t="str">
        <f t="shared" si="0"/>
        <v>Earl's Court</v>
      </c>
      <c r="J9" s="84" t="str">
        <f t="shared" si="1"/>
        <v>Earl's Court</v>
      </c>
      <c r="K9" s="86" t="str">
        <f t="shared" si="2"/>
        <v>&lt;strong&gt;Earl's Court&lt;/strong&gt;&lt;/br&gt;&lt;i&gt;current_condition&lt;/i&gt;&lt;br&gt;Demolished&lt;br&gt;&lt;i&gt;line&lt;/i&gt;&lt;br&gt;District&lt;br&gt;&lt;i&gt;details&lt;/i&gt;&lt;br&gt;Original station closed when the current station opened to the west</v>
      </c>
      <c r="L9" s="84" t="str">
        <f t="shared" si="3"/>
        <v>District</v>
      </c>
      <c r="M9" s="84" t="s">
        <v>3211</v>
      </c>
      <c r="N9" s="86">
        <v>51.491871000000003</v>
      </c>
      <c r="O9" s="86">
        <v>-0.19728000000000001</v>
      </c>
      <c r="P9" s="84" t="str">
        <f t="shared" si="4"/>
        <v>Earl's Court</v>
      </c>
    </row>
    <row r="10" spans="1:16" ht="12" hidden="1" customHeight="1">
      <c r="A10" s="84" t="s">
        <v>3048</v>
      </c>
      <c r="B10" s="84" t="s">
        <v>3049</v>
      </c>
      <c r="C10" s="84" t="s">
        <v>3092</v>
      </c>
      <c r="D10" s="84" t="s">
        <v>3093</v>
      </c>
      <c r="E10" s="84" t="s">
        <v>3094</v>
      </c>
      <c r="F10" s="84" t="s">
        <v>3095</v>
      </c>
      <c r="G10" s="84" t="s">
        <v>3096</v>
      </c>
      <c r="H10" s="86">
        <f>ROW()</f>
        <v>10</v>
      </c>
      <c r="I10" s="84" t="str">
        <f t="shared" si="0"/>
        <v>Hillingdon</v>
      </c>
      <c r="J10" s="84" t="str">
        <f t="shared" si="1"/>
        <v>Hillingdon</v>
      </c>
      <c r="K10" s="86" t="str">
        <f t="shared" si="2"/>
        <v>&lt;strong&gt;Hillingdon&lt;/strong&gt;&lt;/br&gt;&lt;i&gt;current_condition&lt;/i&gt;&lt;br&gt;Demolished&lt;br&gt;&lt;i&gt;line&lt;/i&gt;&lt;br&gt;Metropolitan, Piccadilly&lt;br&gt;&lt;i&gt;details&lt;/i&gt;&lt;br&gt;The original station was to the east of the current station and was closed to allow widening of the A40 road.</v>
      </c>
      <c r="L10" s="84" t="str">
        <f t="shared" si="3"/>
        <v>Metropolitan, Piccadilly</v>
      </c>
      <c r="M10" s="84" t="s">
        <v>3214</v>
      </c>
      <c r="N10" s="86">
        <v>31.589199000000001</v>
      </c>
      <c r="O10" s="86">
        <v>-84.183098000000001</v>
      </c>
      <c r="P10" s="84" t="str">
        <f t="shared" si="4"/>
        <v>Hillingdon</v>
      </c>
    </row>
    <row r="11" spans="1:16" ht="247.5" hidden="1">
      <c r="A11" s="84" t="s">
        <v>3048</v>
      </c>
      <c r="B11" s="84" t="s">
        <v>3097</v>
      </c>
      <c r="C11" s="84" t="s">
        <v>3098</v>
      </c>
      <c r="D11" s="84" t="s">
        <v>3099</v>
      </c>
      <c r="E11" s="84" t="s">
        <v>3100</v>
      </c>
      <c r="F11" s="84" t="s">
        <v>3101</v>
      </c>
      <c r="G11" s="84" t="s">
        <v>3054</v>
      </c>
      <c r="H11" s="86">
        <f>ROW()</f>
        <v>11</v>
      </c>
      <c r="I11" s="84" t="str">
        <f t="shared" si="0"/>
        <v>Hounslow Town</v>
      </c>
      <c r="J11" s="84" t="str">
        <f t="shared" si="1"/>
        <v>Hounslow Town</v>
      </c>
      <c r="K11" s="86" t="str">
        <f t="shared" si="2"/>
        <v>&lt;strong&gt;Hounslow Town&lt;/strong&gt;&lt;/br&gt;&lt;i&gt;current_condition&lt;/i&gt;&lt;br&gt;Demolished&lt;br&gt;&lt;i&gt;line&lt;/i&gt;&lt;br&gt;District&lt;br&gt;&lt;i&gt;details&lt;/i&gt;&lt;br&gt;On a now-closed branch of the Metropolitan District Railway, from what is now the Piccadilly line near Hounslow East, it was closed when Hounslow East station was opened.</v>
      </c>
      <c r="L11" s="84" t="str">
        <f t="shared" si="3"/>
        <v>District</v>
      </c>
      <c r="M11" s="84" t="s">
        <v>3211</v>
      </c>
      <c r="N11" s="86">
        <v>51.467219999999998</v>
      </c>
      <c r="O11" s="86">
        <v>-0.36653000000000002</v>
      </c>
      <c r="P11" s="84" t="str">
        <f t="shared" si="4"/>
        <v>Hounslow Town</v>
      </c>
    </row>
    <row r="12" spans="1:16" ht="225" hidden="1">
      <c r="A12" s="84" t="s">
        <v>3083</v>
      </c>
      <c r="B12" s="84" t="s">
        <v>3049</v>
      </c>
      <c r="C12" s="84" t="s">
        <v>3102</v>
      </c>
      <c r="D12" s="84" t="s">
        <v>3103</v>
      </c>
      <c r="E12" s="84" t="s">
        <v>3104</v>
      </c>
      <c r="F12" s="84" t="s">
        <v>3105</v>
      </c>
      <c r="G12" s="84" t="s">
        <v>3106</v>
      </c>
      <c r="H12" s="86">
        <f>ROW()</f>
        <v>12</v>
      </c>
      <c r="I12" s="84" t="str">
        <f t="shared" si="0"/>
        <v>King's Cross St. Pancras</v>
      </c>
      <c r="J12" s="84" t="str">
        <f t="shared" si="1"/>
        <v>King's Cross St. Pancras</v>
      </c>
      <c r="K12" s="86" t="str">
        <f t="shared" si="2"/>
        <v>&lt;strong&gt;King's Cross St. Pancras&lt;/strong&gt;&lt;/br&gt;&lt;i&gt;current_condition&lt;/i&gt;&lt;br&gt;Building remains&lt;br&gt;&lt;i&gt;line&lt;/i&gt;&lt;br&gt;Metropolitan&lt;br&gt;&lt;i&gt;details&lt;/i&gt;&lt;br&gt;The original platforms were to the east of the current ones; the station was moved to make interchange with main line station easier.</v>
      </c>
      <c r="L12" s="84" t="str">
        <f t="shared" si="3"/>
        <v>Metropolitan</v>
      </c>
      <c r="M12" s="84" t="s">
        <v>3214</v>
      </c>
      <c r="N12" s="86">
        <v>51.527802000000001</v>
      </c>
      <c r="O12" s="86">
        <v>-0.12495000000000001</v>
      </c>
      <c r="P12" s="84" t="str">
        <f t="shared" si="4"/>
        <v>King's Cross St. Pancras</v>
      </c>
    </row>
    <row r="13" spans="1:16" ht="270" hidden="1">
      <c r="A13" s="84" t="s">
        <v>3107</v>
      </c>
      <c r="B13" s="84" t="s">
        <v>3056</v>
      </c>
      <c r="C13" s="84" t="s">
        <v>3108</v>
      </c>
      <c r="D13" s="84" t="s">
        <v>3109</v>
      </c>
      <c r="E13" s="84" t="s">
        <v>3110</v>
      </c>
      <c r="F13" s="84" t="s">
        <v>3111</v>
      </c>
      <c r="G13" s="84" t="s">
        <v>3082</v>
      </c>
      <c r="H13" s="86">
        <f>ROW()</f>
        <v>13</v>
      </c>
      <c r="I13" s="84" t="str">
        <f t="shared" si="0"/>
        <v>King William Street</v>
      </c>
      <c r="J13" s="84" t="str">
        <f t="shared" si="1"/>
        <v>King William Street</v>
      </c>
      <c r="K13" s="86" t="str">
        <f t="shared" si="2"/>
        <v>&lt;strong&gt;King William Street&lt;/strong&gt;&lt;/br&gt;&lt;i&gt;current_condition&lt;/i&gt;&lt;br&gt;Demolished but underground platforms remain&lt;br&gt;&lt;i&gt;line&lt;/i&gt;&lt;br&gt;Northern&lt;br&gt;&lt;i&gt;details&lt;/i&gt;&lt;br&gt;The original terminus of the City &amp;amp; South London Railway, which was closed when the line was extended on a new alignment to Bank</v>
      </c>
      <c r="L13" s="84" t="str">
        <f t="shared" si="3"/>
        <v>Northern</v>
      </c>
      <c r="M13" s="84" t="s">
        <v>3213</v>
      </c>
      <c r="N13" s="86">
        <v>43.930777999999997</v>
      </c>
      <c r="O13" s="86">
        <v>-79.522148000000001</v>
      </c>
      <c r="P13" s="84" t="str">
        <f t="shared" si="4"/>
        <v>King William Street</v>
      </c>
    </row>
    <row r="14" spans="1:16" ht="202.5" hidden="1">
      <c r="A14" s="84" t="s">
        <v>3048</v>
      </c>
      <c r="B14" s="84" t="s">
        <v>3068</v>
      </c>
      <c r="C14" s="84" t="s">
        <v>3112</v>
      </c>
      <c r="D14" s="84" t="s">
        <v>3113</v>
      </c>
      <c r="E14" s="84" t="s">
        <v>3114</v>
      </c>
      <c r="F14" s="84" t="s">
        <v>3115</v>
      </c>
      <c r="G14" s="84" t="s">
        <v>3106</v>
      </c>
      <c r="H14" s="86">
        <f>ROW()</f>
        <v>14</v>
      </c>
      <c r="I14" s="84" t="str">
        <f t="shared" si="0"/>
        <v>Lord's</v>
      </c>
      <c r="J14" s="84" t="str">
        <f t="shared" si="1"/>
        <v>Lord's</v>
      </c>
      <c r="K14" s="86" t="str">
        <f t="shared" si="2"/>
        <v>&lt;strong&gt;Lord's&lt;/strong&gt;&lt;/br&gt;&lt;i&gt;current_condition&lt;/i&gt;&lt;br&gt;Demolished&lt;br&gt;&lt;i&gt;line&lt;/i&gt;&lt;br&gt;Metropolitan&lt;br&gt;&lt;i&gt;details&lt;/i&gt;&lt;br&gt;Closed to increase capacity on Metropolitan line, following opening of nearby St John's Wood station on the Bakerloo line (now the Jubilee line).</v>
      </c>
      <c r="L14" s="84" t="str">
        <f t="shared" si="3"/>
        <v>Metropolitan</v>
      </c>
      <c r="M14" s="84" t="s">
        <v>3215</v>
      </c>
      <c r="N14" s="86">
        <v>36.359439999999999</v>
      </c>
      <c r="O14" s="86">
        <v>-100.88790899999999</v>
      </c>
      <c r="P14" s="84" t="str">
        <f t="shared" si="4"/>
        <v>Lord's</v>
      </c>
    </row>
    <row r="15" spans="1:16" ht="236.25" hidden="1">
      <c r="A15" s="84" t="s">
        <v>3083</v>
      </c>
      <c r="B15" s="84" t="s">
        <v>3068</v>
      </c>
      <c r="C15" s="84" t="s">
        <v>3121</v>
      </c>
      <c r="D15" s="84" t="s">
        <v>3122</v>
      </c>
      <c r="E15" s="84" t="s">
        <v>3123</v>
      </c>
      <c r="F15" s="84" t="s">
        <v>3115</v>
      </c>
      <c r="G15" s="84" t="s">
        <v>3106</v>
      </c>
      <c r="H15" s="86">
        <f>ROW()</f>
        <v>15</v>
      </c>
      <c r="I15" s="84" t="str">
        <f t="shared" si="0"/>
        <v>Marlborough Road</v>
      </c>
      <c r="J15" s="84" t="str">
        <f t="shared" si="1"/>
        <v>Marlborough Road</v>
      </c>
      <c r="K15" s="86" t="str">
        <f t="shared" si="2"/>
        <v>&lt;strong&gt;Marlborough Road&lt;/strong&gt;&lt;/br&gt;&lt;i&gt;current_condition&lt;/i&gt;&lt;br&gt;Building remains&lt;br&gt;&lt;i&gt;line&lt;/i&gt;&lt;br&gt;Metropolitan&lt;br&gt;&lt;i&gt;details&lt;/i&gt;&lt;br&gt;Closed to increase capacity on Metropolitan line, following opening of nearby St John's Wood station on the Bakerloo line (now the Jubilee line)</v>
      </c>
      <c r="L15" s="84" t="str">
        <f t="shared" si="3"/>
        <v>Metropolitan</v>
      </c>
      <c r="M15" s="84" t="s">
        <v>3214</v>
      </c>
      <c r="N15" s="86">
        <v>41.633040999999999</v>
      </c>
      <c r="O15" s="86">
        <v>-72.46508</v>
      </c>
      <c r="P15" s="84" t="str">
        <f t="shared" si="4"/>
        <v>Marlborough Road</v>
      </c>
    </row>
    <row r="16" spans="1:16" ht="225" hidden="1">
      <c r="A16" s="84" t="s">
        <v>3048</v>
      </c>
      <c r="B16" s="84" t="s">
        <v>3049</v>
      </c>
      <c r="C16" s="84" t="s">
        <v>3124</v>
      </c>
      <c r="D16" s="84" t="s">
        <v>3125</v>
      </c>
      <c r="E16" s="84" t="s">
        <v>3126</v>
      </c>
      <c r="F16" s="84" t="s">
        <v>3127</v>
      </c>
      <c r="G16" s="84" t="s">
        <v>3061</v>
      </c>
      <c r="H16" s="86">
        <f>ROW()</f>
        <v>16</v>
      </c>
      <c r="I16" s="84" t="str">
        <f t="shared" si="0"/>
        <v>Northfields &amp;amp; Little Ealing</v>
      </c>
      <c r="J16" s="84" t="str">
        <f t="shared" si="1"/>
        <v>Northfields &amp;amp; Little Ealing</v>
      </c>
      <c r="K16" s="86" t="str">
        <f t="shared" si="2"/>
        <v>&lt;strong&gt;Northfields &amp;amp; Little Ealing&lt;/strong&gt;&lt;/br&gt;&lt;i&gt;current_condition&lt;/i&gt;&lt;br&gt;Demolished&lt;br&gt;&lt;i&gt;line&lt;/i&gt;&lt;br&gt;Piccadilly&lt;br&gt;&lt;i&gt;details&lt;/i&gt;&lt;br&gt;Moved to allow access into new depot at Northfields built for Piccadilly line trains; when open, this station was served by the District line.</v>
      </c>
      <c r="L16" s="84" t="str">
        <f t="shared" si="3"/>
        <v>Piccadilly</v>
      </c>
      <c r="M16" s="84" t="s">
        <v>3210</v>
      </c>
      <c r="N16" s="86">
        <v>51.493698000000002</v>
      </c>
      <c r="O16" s="86">
        <v>-0.3115</v>
      </c>
      <c r="P16" s="84" t="str">
        <f t="shared" si="4"/>
        <v>Northfields &amp;amp; Little Ealing</v>
      </c>
    </row>
    <row r="17" spans="1:16" ht="135" hidden="1">
      <c r="A17" s="84" t="s">
        <v>3083</v>
      </c>
      <c r="B17" s="84" t="s">
        <v>3056</v>
      </c>
      <c r="C17" s="84" t="s">
        <v>3128</v>
      </c>
      <c r="D17" s="84" t="s">
        <v>3129</v>
      </c>
      <c r="E17" s="84" t="s">
        <v>3130</v>
      </c>
      <c r="F17" s="84" t="s">
        <v>3060</v>
      </c>
      <c r="G17" s="84" t="s">
        <v>3067</v>
      </c>
      <c r="H17" s="86">
        <f>ROW()</f>
        <v>17</v>
      </c>
      <c r="I17" s="84" t="str">
        <f t="shared" si="0"/>
        <v>North Weald</v>
      </c>
      <c r="J17" s="84" t="str">
        <f t="shared" si="1"/>
        <v>North Weald</v>
      </c>
      <c r="K17" s="86" t="str">
        <f t="shared" si="2"/>
        <v>&lt;strong&gt;North Weald&lt;/strong&gt;&lt;/br&gt;&lt;i&gt;current_condition&lt;/i&gt;&lt;br&gt;Building remains&lt;br&gt;&lt;i&gt;line&lt;/i&gt;&lt;br&gt;Central&lt;br&gt;&lt;i&gt;details&lt;/i&gt;&lt;br&gt;Closed due to low passenger numbers;</v>
      </c>
      <c r="L17" s="84" t="str">
        <f t="shared" si="3"/>
        <v>Central</v>
      </c>
      <c r="M17" s="84" t="s">
        <v>3212</v>
      </c>
      <c r="N17" s="86">
        <v>51.717830999999997</v>
      </c>
      <c r="O17" s="86">
        <v>0.16972999999999999</v>
      </c>
      <c r="P17" s="84" t="str">
        <f t="shared" si="4"/>
        <v>North Weald</v>
      </c>
    </row>
    <row r="18" spans="1:16" ht="135" hidden="1">
      <c r="A18" s="84" t="s">
        <v>3083</v>
      </c>
      <c r="B18" s="84" t="s">
        <v>3056</v>
      </c>
      <c r="C18" s="84" t="s">
        <v>3131</v>
      </c>
      <c r="D18" s="84" t="s">
        <v>3132</v>
      </c>
      <c r="E18" s="84" t="s">
        <v>3130</v>
      </c>
      <c r="F18" s="84" t="s">
        <v>3060</v>
      </c>
      <c r="G18" s="84" t="s">
        <v>3067</v>
      </c>
      <c r="H18" s="86">
        <f>ROW()</f>
        <v>18</v>
      </c>
      <c r="I18" s="84" t="str">
        <f t="shared" si="0"/>
        <v>Ongar</v>
      </c>
      <c r="J18" s="84" t="str">
        <f t="shared" si="1"/>
        <v>Ongar</v>
      </c>
      <c r="K18" s="86" t="str">
        <f t="shared" si="2"/>
        <v>&lt;strong&gt;Ongar&lt;/strong&gt;&lt;/br&gt;&lt;i&gt;current_condition&lt;/i&gt;&lt;br&gt;Building remains&lt;br&gt;&lt;i&gt;line&lt;/i&gt;&lt;br&gt;Central&lt;br&gt;&lt;i&gt;details&lt;/i&gt;&lt;br&gt;Closed due to low passenger numbers;</v>
      </c>
      <c r="L18" s="84" t="str">
        <f t="shared" si="3"/>
        <v>Central</v>
      </c>
      <c r="M18" s="84" t="s">
        <v>3212</v>
      </c>
      <c r="N18" s="86">
        <v>51.706600000000002</v>
      </c>
      <c r="O18" s="86">
        <v>0.24512</v>
      </c>
      <c r="P18" s="84" t="str">
        <f t="shared" si="4"/>
        <v>Ongar</v>
      </c>
    </row>
    <row r="19" spans="1:16" ht="168.75">
      <c r="A19" s="84" t="s">
        <v>3133</v>
      </c>
      <c r="B19" s="84" t="s">
        <v>3049</v>
      </c>
      <c r="C19" s="84" t="s">
        <v>3134</v>
      </c>
      <c r="D19" s="84" t="s">
        <v>3221</v>
      </c>
      <c r="E19" s="84" t="s">
        <v>3135</v>
      </c>
      <c r="F19" s="84" t="s">
        <v>3136</v>
      </c>
      <c r="G19" s="84" t="s">
        <v>3061</v>
      </c>
      <c r="H19" s="86">
        <f>ROW()</f>
        <v>19</v>
      </c>
      <c r="I19" s="84" t="str">
        <f t="shared" si="0"/>
        <v>Osterley and  Spring Grove</v>
      </c>
      <c r="J19" s="84" t="str">
        <f t="shared" si="1"/>
        <v>Osterley and  Spring Grove</v>
      </c>
      <c r="K19" s="86" t="str">
        <f t="shared" si="2"/>
        <v xml:space="preserve">&lt;strong&gt;Osterley and  Spring Grove&lt;/strong&gt;&lt;/br&gt;&lt;i&gt;current_condition&lt;/i&gt;&lt;br&gt;Building remains as retail unit; platforms partially remain&lt;br&gt;&lt;i&gt;line&lt;/i&gt;&lt;br&gt;Piccadilly&lt;br&gt;&lt;i&gt;details&lt;/i&gt;&lt;br&gt;Closed when new </v>
      </c>
      <c r="L19" s="84" t="str">
        <f t="shared" si="3"/>
        <v>Piccadilly</v>
      </c>
      <c r="M19" s="84" t="s">
        <v>3210</v>
      </c>
      <c r="N19" s="86">
        <v>51.477871</v>
      </c>
      <c r="O19" s="86">
        <v>-0.34603</v>
      </c>
      <c r="P19" s="84" t="str">
        <f t="shared" si="4"/>
        <v>Osterley and  Spring Grove</v>
      </c>
    </row>
    <row r="20" spans="1:16" ht="213.75">
      <c r="A20" s="84" t="s">
        <v>3048</v>
      </c>
      <c r="B20" s="84" t="s">
        <v>3049</v>
      </c>
      <c r="C20" s="84" t="s">
        <v>3137</v>
      </c>
      <c r="D20" s="84" t="s">
        <v>3222</v>
      </c>
      <c r="E20" s="84" t="s">
        <v>3138</v>
      </c>
      <c r="F20" s="84" t="s">
        <v>3139</v>
      </c>
      <c r="G20" s="84" t="s">
        <v>3061</v>
      </c>
      <c r="H20" s="86">
        <f>ROW()</f>
        <v>20</v>
      </c>
      <c r="I20" s="84" t="str">
        <f t="shared" si="0"/>
        <v>Park Royal and Twyford Abbey</v>
      </c>
      <c r="J20" s="84" t="str">
        <f t="shared" si="1"/>
        <v>Park Royal and Twyford Abbey</v>
      </c>
      <c r="K20" s="86" t="str">
        <f t="shared" si="2"/>
        <v>&lt;strong&gt;Park Royal and Twyford Abbey&lt;/strong&gt;&lt;/br&gt;&lt;i&gt;current_condition&lt;/i&gt;&lt;br&gt;Demolished&lt;br&gt;&lt;i&gt;line&lt;/i&gt;&lt;br&gt;Piccadilly&lt;br&gt;&lt;i&gt;details&lt;/i&gt;&lt;br&gt;Closed when station was relocated to Park Royal to provide more convenient access from Western Avenue;</v>
      </c>
      <c r="L20" s="84" t="str">
        <f t="shared" si="3"/>
        <v>Piccadilly</v>
      </c>
      <c r="M20" s="84" t="s">
        <v>3210</v>
      </c>
      <c r="N20" s="86">
        <v>51.478830000000002</v>
      </c>
      <c r="O20" s="86">
        <v>-0.86193500000000001</v>
      </c>
      <c r="P20" s="84" t="str">
        <f t="shared" si="4"/>
        <v>Park Royal and Twyford Abbey</v>
      </c>
    </row>
    <row r="21" spans="1:16" ht="202.5" hidden="1">
      <c r="A21" s="84" t="s">
        <v>3048</v>
      </c>
      <c r="B21" s="84" t="s">
        <v>3049</v>
      </c>
      <c r="C21" s="84" t="s">
        <v>3140</v>
      </c>
      <c r="D21" s="84" t="s">
        <v>3141</v>
      </c>
      <c r="E21" s="84" t="s">
        <v>3142</v>
      </c>
      <c r="F21" s="84" t="s">
        <v>3143</v>
      </c>
      <c r="G21" s="84" t="s">
        <v>3106</v>
      </c>
      <c r="H21" s="86">
        <f>ROW()</f>
        <v>21</v>
      </c>
      <c r="I21" s="84" t="str">
        <f t="shared" si="0"/>
        <v>Preston Road</v>
      </c>
      <c r="J21" s="84" t="str">
        <f t="shared" si="1"/>
        <v>Preston Road</v>
      </c>
      <c r="K21" s="86" t="str">
        <f t="shared" si="2"/>
        <v>&lt;strong&gt;Preston Road&lt;/strong&gt;&lt;/br&gt;&lt;i&gt;current_condition&lt;/i&gt;&lt;br&gt;Demolished&lt;br&gt;&lt;i&gt;line&lt;/i&gt;&lt;br&gt;Metropolitan&lt;br&gt;&lt;i&gt;details&lt;/i&gt;&lt;br&gt;A small halt station was reconstructed to the west when the number of tracks through the station was increased from two to four.</v>
      </c>
      <c r="L21" s="84" t="str">
        <f t="shared" si="3"/>
        <v>Metropolitan</v>
      </c>
      <c r="M21" s="84" t="s">
        <v>3214</v>
      </c>
      <c r="N21" s="86">
        <v>51.569752000000001</v>
      </c>
      <c r="O21" s="86">
        <v>-0.29282000000000002</v>
      </c>
      <c r="P21" s="84" t="str">
        <f t="shared" si="4"/>
        <v>Preston Road</v>
      </c>
    </row>
    <row r="22" spans="1:16" ht="146.25" hidden="1">
      <c r="A22" s="84" t="s">
        <v>3144</v>
      </c>
      <c r="B22" s="84" t="s">
        <v>3145</v>
      </c>
      <c r="C22" s="84" t="s">
        <v>3146</v>
      </c>
      <c r="D22" s="84" t="s">
        <v>3147</v>
      </c>
      <c r="E22" s="84" t="s">
        <v>3148</v>
      </c>
      <c r="F22" s="84" t="s">
        <v>3149</v>
      </c>
      <c r="G22" s="84" t="s">
        <v>3150</v>
      </c>
      <c r="H22" s="86">
        <f>ROW()</f>
        <v>22</v>
      </c>
      <c r="I22" s="84" t="str">
        <f t="shared" si="0"/>
        <v>Rotherhithe</v>
      </c>
      <c r="J22" s="84" t="str">
        <f t="shared" si="1"/>
        <v>Rotherhithe</v>
      </c>
      <c r="K22" s="86" t="str">
        <f t="shared" si="2"/>
        <v>&lt;strong&gt;Rotherhithe&lt;/strong&gt;&lt;/br&gt;&lt;i&gt;current_condition&lt;/i&gt;&lt;br&gt;Operated by National Rail&lt;br&gt;&lt;i&gt;line&lt;/i&gt;&lt;br&gt;East London&lt;br&gt;&lt;i&gt;details&lt;/i&gt;&lt;br&gt;Now operated by London Overground</v>
      </c>
      <c r="L22" s="84" t="str">
        <f t="shared" si="3"/>
        <v>East London</v>
      </c>
      <c r="M22" s="84" t="s">
        <v>3216</v>
      </c>
      <c r="N22" s="86">
        <v>51.495739</v>
      </c>
      <c r="O22" s="86">
        <v>-5.1580000000000001E-2</v>
      </c>
      <c r="P22" s="84" t="str">
        <f t="shared" si="4"/>
        <v>Rotherhithe</v>
      </c>
    </row>
    <row r="23" spans="1:16" ht="247.5" hidden="1">
      <c r="A23" s="84" t="s">
        <v>3151</v>
      </c>
      <c r="B23" s="84" t="s">
        <v>3068</v>
      </c>
      <c r="C23" s="84" t="s">
        <v>3152</v>
      </c>
      <c r="D23" s="84" t="s">
        <v>3153</v>
      </c>
      <c r="E23" s="84" t="s">
        <v>3154</v>
      </c>
      <c r="F23" s="84" t="s">
        <v>3155</v>
      </c>
      <c r="G23" s="84" t="s">
        <v>3054</v>
      </c>
      <c r="H23" s="86">
        <f>ROW()</f>
        <v>23</v>
      </c>
      <c r="I23" s="84" t="str">
        <f t="shared" si="0"/>
        <v>St Mary's (Whitechapel Road)</v>
      </c>
      <c r="J23" s="84" t="str">
        <f t="shared" si="1"/>
        <v>St Mary's (Whitechapel Road)</v>
      </c>
      <c r="K23" s="86" t="str">
        <f t="shared" si="2"/>
        <v>&lt;strong&gt;St Mary's (Whitechapel Road)&lt;/strong&gt;&lt;/br&gt;&lt;i&gt;current_condition&lt;/i&gt;&lt;br&gt;Demolished !Bombed in World War II; demolished&lt;br&gt;&lt;i&gt;line&lt;/i&gt;&lt;br&gt;District&lt;br&gt;&lt;i&gt;details&lt;/i&gt;&lt;br&gt;Closed when Aldgate East was rebuilt closer to its location; converted for use as an air-raid shelter during the war</v>
      </c>
      <c r="L23" s="84" t="str">
        <f t="shared" si="3"/>
        <v>District</v>
      </c>
      <c r="M23" s="84" t="s">
        <v>3211</v>
      </c>
      <c r="N23" s="86">
        <v>-33.766834000000003</v>
      </c>
      <c r="O23" s="86">
        <v>150.776779</v>
      </c>
      <c r="P23" s="84" t="str">
        <f t="shared" si="4"/>
        <v>St Mary's (Whitechapel Road)</v>
      </c>
    </row>
    <row r="24" spans="1:16" ht="180" hidden="1">
      <c r="A24" s="84" t="s">
        <v>3048</v>
      </c>
      <c r="B24" s="84" t="s">
        <v>3049</v>
      </c>
      <c r="C24" s="84" t="s">
        <v>3050</v>
      </c>
      <c r="D24" s="84" t="s">
        <v>3051</v>
      </c>
      <c r="E24" s="84" t="s">
        <v>3052</v>
      </c>
      <c r="F24" s="84" t="s">
        <v>3053</v>
      </c>
      <c r="G24" s="84" t="s">
        <v>3054</v>
      </c>
      <c r="H24" s="86">
        <f>ROW()</f>
        <v>24</v>
      </c>
      <c r="I24" s="84" t="str">
        <f t="shared" si="0"/>
        <v>Aldgate East</v>
      </c>
      <c r="J24" s="84" t="str">
        <f t="shared" si="1"/>
        <v>Aldgate East</v>
      </c>
      <c r="K24" s="86" t="str">
        <f t="shared" si="2"/>
        <v>&lt;strong&gt;Aldgate East&lt;/strong&gt;&lt;/br&gt;&lt;i&gt;current_condition&lt;/i&gt;&lt;br&gt;Demolished&lt;br&gt;&lt;i&gt;line&lt;/i&gt;&lt;br&gt;District&lt;br&gt;&lt;i&gt;details&lt;/i&gt;&lt;br&gt;Closed when the current station was opened a short distance to the east to enable the Aldgate junction to be rebuilt</v>
      </c>
      <c r="L24" s="84" t="str">
        <f t="shared" si="3"/>
        <v>District</v>
      </c>
      <c r="M24" s="84" t="s">
        <v>3211</v>
      </c>
      <c r="N24" s="86">
        <v>51.515228</v>
      </c>
      <c r="O24" s="86">
        <v>-7.3139999999999997E-2</v>
      </c>
      <c r="P24" s="84" t="str">
        <f t="shared" si="4"/>
        <v>Aldgate East</v>
      </c>
    </row>
    <row r="25" spans="1:16" ht="146.25" hidden="1">
      <c r="A25" s="84" t="s">
        <v>3144</v>
      </c>
      <c r="B25" s="84" t="s">
        <v>3145</v>
      </c>
      <c r="C25" s="84" t="s">
        <v>3156</v>
      </c>
      <c r="D25" s="84" t="s">
        <v>3157</v>
      </c>
      <c r="E25" s="84" t="s">
        <v>3148</v>
      </c>
      <c r="F25" s="84" t="s">
        <v>3149</v>
      </c>
      <c r="G25" s="84" t="s">
        <v>3150</v>
      </c>
      <c r="H25" s="86">
        <f>ROW()</f>
        <v>25</v>
      </c>
      <c r="I25" s="84" t="str">
        <f t="shared" si="0"/>
        <v>Shadwell</v>
      </c>
      <c r="J25" s="84" t="str">
        <f t="shared" si="1"/>
        <v>Shadwell</v>
      </c>
      <c r="K25" s="86" t="str">
        <f t="shared" si="2"/>
        <v>&lt;strong&gt;Shadwell&lt;/strong&gt;&lt;/br&gt;&lt;i&gt;current_condition&lt;/i&gt;&lt;br&gt;Operated by National Rail&lt;br&gt;&lt;i&gt;line&lt;/i&gt;&lt;br&gt;East London&lt;br&gt;&lt;i&gt;details&lt;/i&gt;&lt;br&gt;Now operated by London Overground</v>
      </c>
      <c r="L25" s="84" t="str">
        <f t="shared" si="3"/>
        <v>East London</v>
      </c>
      <c r="M25" s="84" t="s">
        <v>3216</v>
      </c>
      <c r="N25" s="86">
        <v>38.015658999999999</v>
      </c>
      <c r="O25" s="86">
        <v>-78.399567000000005</v>
      </c>
      <c r="P25" s="84" t="str">
        <f t="shared" si="4"/>
        <v>Shadwell</v>
      </c>
    </row>
    <row r="26" spans="1:16" ht="135">
      <c r="A26" s="84" t="s">
        <v>3048</v>
      </c>
      <c r="B26" s="84" t="s">
        <v>3049</v>
      </c>
      <c r="C26" s="84" t="s">
        <v>3158</v>
      </c>
      <c r="D26" s="84" t="s">
        <v>3159</v>
      </c>
      <c r="E26" s="84" t="s">
        <v>3160</v>
      </c>
      <c r="F26" s="84" t="s">
        <v>3161</v>
      </c>
      <c r="G26" s="84" t="s">
        <v>3223</v>
      </c>
      <c r="H26" s="86">
        <f>ROW()</f>
        <v>26</v>
      </c>
      <c r="I26" s="84" t="str">
        <f t="shared" si="0"/>
        <v>Shepherd's Bush</v>
      </c>
      <c r="J26" s="84" t="str">
        <f t="shared" si="1"/>
        <v>Shepherd's Bush</v>
      </c>
      <c r="K26" s="86" t="str">
        <f t="shared" si="2"/>
        <v xml:space="preserve">&lt;strong&gt;Shepherd's Bush&lt;/strong&gt;&lt;/br&gt;&lt;i&gt;current_condition&lt;/i&gt;&lt;br&gt;Demolished&lt;br&gt;&lt;i&gt;line&lt;/i&gt;&lt;br&gt;Hammersmith and  City&lt;br&gt;&lt;i&gt;details&lt;/i&gt;&lt;br&gt;Station replaced by </v>
      </c>
      <c r="L26" s="84" t="str">
        <f t="shared" si="3"/>
        <v>Hammersmith and  City</v>
      </c>
      <c r="M26" s="84" t="s">
        <v>3217</v>
      </c>
      <c r="N26" s="86">
        <v>51.506458000000002</v>
      </c>
      <c r="O26" s="86">
        <v>-0.23610999999999999</v>
      </c>
      <c r="P26" s="84" t="str">
        <f t="shared" si="4"/>
        <v>Shepherd's Bush</v>
      </c>
    </row>
    <row r="27" spans="1:16" ht="168.75" hidden="1">
      <c r="A27" s="84" t="s">
        <v>3083</v>
      </c>
      <c r="B27" s="84" t="s">
        <v>3056</v>
      </c>
      <c r="C27" s="84" t="s">
        <v>3162</v>
      </c>
      <c r="D27" s="84" t="s">
        <v>3163</v>
      </c>
      <c r="E27" s="84" t="s">
        <v>3164</v>
      </c>
      <c r="F27" s="84" t="s">
        <v>3165</v>
      </c>
      <c r="G27" s="84" t="s">
        <v>3150</v>
      </c>
      <c r="H27" s="86">
        <f>ROW()</f>
        <v>27</v>
      </c>
      <c r="I27" s="84" t="str">
        <f t="shared" si="0"/>
        <v>Shoreditch</v>
      </c>
      <c r="J27" s="84" t="str">
        <f t="shared" si="1"/>
        <v>Shoreditch</v>
      </c>
      <c r="K27" s="86" t="str">
        <f t="shared" si="2"/>
        <v>&lt;strong&gt;Shoreditch&lt;/strong&gt;&lt;/br&gt;&lt;i&gt;current_condition&lt;/i&gt;&lt;br&gt;Building remains&lt;br&gt;&lt;i&gt;line&lt;/i&gt;&lt;br&gt;East London&lt;br&gt;&lt;i&gt;details&lt;/i&gt;&lt;br&gt;Closed to allow extension of East London Line on new alignment across site</v>
      </c>
      <c r="L27" s="84" t="str">
        <f t="shared" si="3"/>
        <v>East London</v>
      </c>
      <c r="M27" s="84" t="s">
        <v>3216</v>
      </c>
      <c r="N27" s="86">
        <v>51.525371999999997</v>
      </c>
      <c r="O27" s="86">
        <v>-7.7490000000000003E-2</v>
      </c>
      <c r="P27" s="84" t="str">
        <f t="shared" si="4"/>
        <v>Shoreditch</v>
      </c>
    </row>
    <row r="28" spans="1:16" ht="146.25" hidden="1">
      <c r="A28" s="84" t="s">
        <v>3083</v>
      </c>
      <c r="B28" s="84" t="s">
        <v>3049</v>
      </c>
      <c r="C28" s="84" t="s">
        <v>3166</v>
      </c>
      <c r="D28" s="84" t="s">
        <v>3167</v>
      </c>
      <c r="E28" s="84" t="s">
        <v>3168</v>
      </c>
      <c r="F28" s="84" t="s">
        <v>3169</v>
      </c>
      <c r="G28" s="84" t="s">
        <v>3061</v>
      </c>
      <c r="H28" s="86">
        <f>ROW()</f>
        <v>28</v>
      </c>
      <c r="I28" s="84" t="str">
        <f t="shared" si="0"/>
        <v>South Harrow</v>
      </c>
      <c r="J28" s="84" t="str">
        <f t="shared" si="1"/>
        <v>South Harrow</v>
      </c>
      <c r="K28" s="86" t="str">
        <f t="shared" si="2"/>
        <v>&lt;strong&gt;South Harrow&lt;/strong&gt;&lt;/br&gt;&lt;i&gt;current_condition&lt;/i&gt;&lt;br&gt;Building remains&lt;br&gt;&lt;i&gt;line&lt;/i&gt;&lt;br&gt;Piccadilly&lt;br&gt;&lt;i&gt;details&lt;/i&gt;&lt;br&gt;Closed when station was relocated a short distance to the north</v>
      </c>
      <c r="L28" s="84" t="str">
        <f t="shared" si="3"/>
        <v>Piccadilly</v>
      </c>
      <c r="M28" s="84" t="s">
        <v>3210</v>
      </c>
      <c r="N28" s="86">
        <v>51.568600000000004</v>
      </c>
      <c r="O28" s="86">
        <v>-0.36925000000000002</v>
      </c>
      <c r="P28" s="84" t="str">
        <f t="shared" si="4"/>
        <v>South Harrow</v>
      </c>
    </row>
    <row r="29" spans="1:16" ht="225" hidden="1">
      <c r="A29" s="84" t="s">
        <v>3083</v>
      </c>
      <c r="B29" s="84" t="s">
        <v>3068</v>
      </c>
      <c r="C29" s="84" t="s">
        <v>3170</v>
      </c>
      <c r="D29" s="84" t="s">
        <v>3171</v>
      </c>
      <c r="E29" s="84" t="s">
        <v>3172</v>
      </c>
      <c r="F29" s="84" t="s">
        <v>3173</v>
      </c>
      <c r="G29" s="84" t="s">
        <v>3082</v>
      </c>
      <c r="H29" s="86">
        <f>ROW()</f>
        <v>29</v>
      </c>
      <c r="I29" s="84" t="str">
        <f t="shared" si="0"/>
        <v>South Kentish Town</v>
      </c>
      <c r="J29" s="84" t="str">
        <f t="shared" si="1"/>
        <v>South Kentish Town</v>
      </c>
      <c r="K29" s="86" t="str">
        <f t="shared" si="2"/>
        <v>&lt;strong&gt;South Kentish Town&lt;/strong&gt;&lt;/br&gt;&lt;i&gt;current_condition&lt;/i&gt;&lt;br&gt;Building remains&lt;br&gt;&lt;i&gt;line&lt;/i&gt;&lt;br&gt;Northern&lt;br&gt;&lt;i&gt;details&lt;/i&gt;&lt;br&gt;Closed due to a strike at the Underground's Lots Road Power Station and never reopened due to low passenger numbers</v>
      </c>
      <c r="L29" s="84" t="str">
        <f t="shared" si="3"/>
        <v>Northern</v>
      </c>
      <c r="M29" s="84" t="s">
        <v>3213</v>
      </c>
      <c r="N29" s="86">
        <v>51.549518999999997</v>
      </c>
      <c r="O29" s="86">
        <v>-0.13904</v>
      </c>
      <c r="P29" s="84" t="str">
        <f t="shared" si="4"/>
        <v>South Kentish Town</v>
      </c>
    </row>
    <row r="30" spans="1:16" ht="146.25" hidden="1">
      <c r="A30" s="84" t="s">
        <v>3144</v>
      </c>
      <c r="B30" s="84" t="s">
        <v>3145</v>
      </c>
      <c r="C30" s="84" t="s">
        <v>3174</v>
      </c>
      <c r="D30" s="84" t="s">
        <v>3175</v>
      </c>
      <c r="E30" s="84" t="s">
        <v>3148</v>
      </c>
      <c r="F30" s="84" t="s">
        <v>3149</v>
      </c>
      <c r="G30" s="84" t="s">
        <v>3150</v>
      </c>
      <c r="H30" s="86">
        <f>ROW()</f>
        <v>30</v>
      </c>
      <c r="I30" s="84" t="str">
        <f t="shared" si="0"/>
        <v>Surrey Quays</v>
      </c>
      <c r="J30" s="84" t="str">
        <f t="shared" si="1"/>
        <v>Surrey Quays</v>
      </c>
      <c r="K30" s="86" t="str">
        <f t="shared" si="2"/>
        <v>&lt;strong&gt;Surrey Quays&lt;/strong&gt;&lt;/br&gt;&lt;i&gt;current_condition&lt;/i&gt;&lt;br&gt;Operated by National Rail&lt;br&gt;&lt;i&gt;line&lt;/i&gt;&lt;br&gt;East London&lt;br&gt;&lt;i&gt;details&lt;/i&gt;&lt;br&gt;Now operated by London Overground</v>
      </c>
      <c r="L30" s="84" t="str">
        <f t="shared" si="3"/>
        <v>East London</v>
      </c>
      <c r="M30" s="84" t="s">
        <v>3216</v>
      </c>
      <c r="N30" s="86">
        <v>51.493091999999997</v>
      </c>
      <c r="O30" s="86">
        <v>-4.7469999999999998E-2</v>
      </c>
      <c r="P30" s="84" t="str">
        <f t="shared" si="4"/>
        <v>Surrey Quays</v>
      </c>
    </row>
    <row r="31" spans="1:16" ht="213.75" hidden="1">
      <c r="A31" s="84" t="s">
        <v>3048</v>
      </c>
      <c r="B31" s="84" t="s">
        <v>3068</v>
      </c>
      <c r="C31" s="84" t="s">
        <v>3176</v>
      </c>
      <c r="D31" s="84" t="s">
        <v>3177</v>
      </c>
      <c r="E31" s="84" t="s">
        <v>3178</v>
      </c>
      <c r="F31" s="84" t="s">
        <v>3179</v>
      </c>
      <c r="G31" s="84" t="s">
        <v>3106</v>
      </c>
      <c r="H31" s="86">
        <f>ROW()</f>
        <v>31</v>
      </c>
      <c r="I31" s="84" t="str">
        <f t="shared" si="0"/>
        <v>Swiss Cottage</v>
      </c>
      <c r="J31" s="84" t="str">
        <f t="shared" si="1"/>
        <v>Swiss Cottage</v>
      </c>
      <c r="K31" s="86" t="str">
        <f t="shared" si="2"/>
        <v>&lt;strong&gt;Swiss Cottage&lt;/strong&gt;&lt;/br&gt;&lt;i&gt;current_condition&lt;/i&gt;&lt;br&gt;Demolished&lt;br&gt;&lt;i&gt;line&lt;/i&gt;&lt;br&gt;Metropolitan&lt;br&gt;&lt;i&gt;details&lt;/i&gt;&lt;br&gt;Closed as a wartime measure and not reopened; the adjacent Bakerloo line (now Jubilee line) station briefly operated as an interchange</v>
      </c>
      <c r="L31" s="84" t="str">
        <f t="shared" si="3"/>
        <v>Metropolitan</v>
      </c>
      <c r="M31" s="84" t="s">
        <v>3214</v>
      </c>
      <c r="N31" s="86">
        <v>51.54298</v>
      </c>
      <c r="O31" s="86">
        <v>-0.17535000000000001</v>
      </c>
      <c r="P31" s="84" t="str">
        <f t="shared" si="4"/>
        <v>Swiss Cottage</v>
      </c>
    </row>
    <row r="32" spans="1:16" ht="225" hidden="1">
      <c r="A32" s="84" t="s">
        <v>3048</v>
      </c>
      <c r="B32" s="84" t="s">
        <v>3049</v>
      </c>
      <c r="C32" s="84" t="s">
        <v>3180</v>
      </c>
      <c r="D32" s="84" t="s">
        <v>3181</v>
      </c>
      <c r="E32" s="84" t="s">
        <v>3182</v>
      </c>
      <c r="F32" s="84" t="s">
        <v>3183</v>
      </c>
      <c r="G32" s="84" t="s">
        <v>3120</v>
      </c>
      <c r="H32" s="86">
        <f>ROW()</f>
        <v>32</v>
      </c>
      <c r="I32" s="84" t="str">
        <f t="shared" si="0"/>
        <v>Tower of London</v>
      </c>
      <c r="J32" s="84" t="str">
        <f t="shared" si="1"/>
        <v>Tower of London</v>
      </c>
      <c r="K32" s="86" t="str">
        <f t="shared" si="2"/>
        <v>&lt;strong&gt;Tower of London&lt;/strong&gt;&lt;/br&gt;&lt;i&gt;current_condition&lt;/i&gt;&lt;br&gt;Demolished&lt;br&gt;&lt;i&gt;line&lt;/i&gt;&lt;br&gt;District, Circle&lt;br&gt;&lt;i&gt;details&lt;/i&gt;&lt;br&gt;A short-lived station on the site of the present Tower Hill station, which was closed when Mark Lane (also now closed) was opened</v>
      </c>
      <c r="L32" s="84" t="str">
        <f t="shared" si="3"/>
        <v>District, Circle</v>
      </c>
      <c r="M32" s="84" t="s">
        <v>3211</v>
      </c>
      <c r="N32" s="86">
        <v>51.508099000000001</v>
      </c>
      <c r="O32" s="86">
        <v>-7.6109999999999997E-2</v>
      </c>
      <c r="P32" s="84" t="str">
        <f t="shared" si="4"/>
        <v>Tower of London</v>
      </c>
    </row>
    <row r="33" spans="1:16" ht="236.25" hidden="1">
      <c r="A33" s="84" t="s">
        <v>3083</v>
      </c>
      <c r="B33" s="84" t="s">
        <v>3049</v>
      </c>
      <c r="C33" s="84" t="s">
        <v>3116</v>
      </c>
      <c r="D33" s="84" t="s">
        <v>3117</v>
      </c>
      <c r="E33" s="84" t="s">
        <v>3118</v>
      </c>
      <c r="F33" s="84" t="s">
        <v>3119</v>
      </c>
      <c r="G33" s="84" t="s">
        <v>3120</v>
      </c>
      <c r="H33" s="86">
        <f>ROW()</f>
        <v>33</v>
      </c>
      <c r="I33" s="84" t="str">
        <f t="shared" si="0"/>
        <v>Mark Lane</v>
      </c>
      <c r="J33" s="84" t="str">
        <f t="shared" si="1"/>
        <v>Mark Lane</v>
      </c>
      <c r="K33" s="86" t="str">
        <f t="shared" si="2"/>
        <v>&lt;strong&gt;Mark Lane&lt;/strong&gt;&lt;/br&gt;&lt;i&gt;current_condition&lt;/i&gt;&lt;br&gt;Building remains&lt;br&gt;&lt;i&gt;line&lt;/i&gt;&lt;br&gt;District, Circle&lt;br&gt;&lt;i&gt;details&lt;/i&gt;&lt;br&gt;Closed when current Tower Hill station to the east was built to a provide better interchange with mainline services at Fenchurch Street</v>
      </c>
      <c r="L33" s="84" t="str">
        <f t="shared" si="3"/>
        <v>District, Circle</v>
      </c>
      <c r="M33" s="84" t="s">
        <v>3211</v>
      </c>
      <c r="N33" s="86">
        <v>43.863905000000003</v>
      </c>
      <c r="O33" s="86">
        <v>-122.963581</v>
      </c>
      <c r="P33" s="84" t="str">
        <f t="shared" si="4"/>
        <v>Mark Lane</v>
      </c>
    </row>
    <row r="34" spans="1:16" ht="191.25" hidden="1">
      <c r="A34" s="84" t="s">
        <v>3048</v>
      </c>
      <c r="B34" s="84" t="s">
        <v>3049</v>
      </c>
      <c r="C34" s="84" t="s">
        <v>3184</v>
      </c>
      <c r="D34" s="84" t="s">
        <v>3185</v>
      </c>
      <c r="E34" s="84" t="s">
        <v>3186</v>
      </c>
      <c r="F34" s="84" t="s">
        <v>3187</v>
      </c>
      <c r="G34" s="84" t="s">
        <v>3096</v>
      </c>
      <c r="H34" s="86">
        <f>ROW()</f>
        <v>34</v>
      </c>
      <c r="I34" s="84" t="str">
        <f t="shared" si="0"/>
        <v>Uxbridge</v>
      </c>
      <c r="J34" s="84" t="str">
        <f t="shared" si="1"/>
        <v>Uxbridge</v>
      </c>
      <c r="K34" s="86" t="str">
        <f t="shared" si="2"/>
        <v>&lt;strong&gt;Uxbridge&lt;/strong&gt;&lt;/br&gt;&lt;i&gt;current_condition&lt;/i&gt;&lt;br&gt;Demolished&lt;br&gt;&lt;i&gt;line&lt;/i&gt;&lt;br&gt;Metropolitan, Piccadilly&lt;br&gt;&lt;i&gt;details&lt;/i&gt;&lt;br&gt;Closed when the current station was opened on a new alignment closer to Uxbridge town centre</v>
      </c>
      <c r="L34" s="84" t="str">
        <f t="shared" si="3"/>
        <v>Metropolitan, Piccadilly</v>
      </c>
      <c r="M34" s="84" t="s">
        <v>3210</v>
      </c>
      <c r="N34" s="86">
        <v>51.544079000000004</v>
      </c>
      <c r="O34" s="86">
        <v>-0.47454000000000002</v>
      </c>
      <c r="P34" s="84" t="str">
        <f t="shared" si="4"/>
        <v>Uxbridge</v>
      </c>
    </row>
    <row r="35" spans="1:16" ht="180" hidden="1">
      <c r="A35" s="84" t="s">
        <v>3048</v>
      </c>
      <c r="B35" s="84" t="s">
        <v>3068</v>
      </c>
      <c r="C35" s="84" t="s">
        <v>3188</v>
      </c>
      <c r="D35" s="84" t="s">
        <v>3189</v>
      </c>
      <c r="E35" s="84" t="s">
        <v>3190</v>
      </c>
      <c r="F35" s="84" t="s">
        <v>3191</v>
      </c>
      <c r="G35" s="84" t="s">
        <v>3106</v>
      </c>
      <c r="H35" s="86">
        <f>ROW()</f>
        <v>35</v>
      </c>
      <c r="I35" s="84" t="str">
        <f t="shared" si="0"/>
        <v>Uxbridge Road</v>
      </c>
      <c r="J35" s="84" t="str">
        <f t="shared" si="1"/>
        <v>Uxbridge Road</v>
      </c>
      <c r="K35" s="86" t="str">
        <f t="shared" si="2"/>
        <v>&lt;strong&gt;Uxbridge Road&lt;/strong&gt;&lt;/br&gt;&lt;i&gt;current_condition&lt;/i&gt;&lt;br&gt;Demolished&lt;br&gt;&lt;i&gt;line&lt;/i&gt;&lt;br&gt;Metropolitan&lt;br&gt;&lt;i&gt;details&lt;/i&gt;&lt;br&gt;Closed after bombing of the line during World War II, due to low passenger numbers;</v>
      </c>
      <c r="L35" s="84" t="str">
        <f t="shared" si="3"/>
        <v>Metropolitan</v>
      </c>
      <c r="M35" s="84" t="s">
        <v>3214</v>
      </c>
      <c r="N35" s="86">
        <v>44.038212000000001</v>
      </c>
      <c r="O35" s="86">
        <v>-79.190323000000006</v>
      </c>
      <c r="P35" s="84" t="str">
        <f t="shared" si="4"/>
        <v>Uxbridge Road</v>
      </c>
    </row>
    <row r="36" spans="1:16" ht="146.25" hidden="1">
      <c r="A36" s="84" t="s">
        <v>3144</v>
      </c>
      <c r="B36" s="84" t="s">
        <v>3145</v>
      </c>
      <c r="C36" s="84" t="s">
        <v>3192</v>
      </c>
      <c r="D36" s="84" t="s">
        <v>3193</v>
      </c>
      <c r="E36" s="84" t="s">
        <v>3148</v>
      </c>
      <c r="F36" s="84" t="s">
        <v>3149</v>
      </c>
      <c r="G36" s="84" t="s">
        <v>3150</v>
      </c>
      <c r="H36" s="86">
        <f>ROW()</f>
        <v>36</v>
      </c>
      <c r="I36" s="84" t="str">
        <f t="shared" si="0"/>
        <v>Wapping</v>
      </c>
      <c r="J36" s="84" t="str">
        <f t="shared" si="1"/>
        <v>Wapping</v>
      </c>
      <c r="K36" s="86" t="str">
        <f t="shared" si="2"/>
        <v>&lt;strong&gt;Wapping&lt;/strong&gt;&lt;/br&gt;&lt;i&gt;current_condition&lt;/i&gt;&lt;br&gt;Operated by National Rail&lt;br&gt;&lt;i&gt;line&lt;/i&gt;&lt;br&gt;East London&lt;br&gt;&lt;i&gt;details&lt;/i&gt;&lt;br&gt;Now operated by London Overground</v>
      </c>
      <c r="L36" s="84" t="str">
        <f t="shared" si="3"/>
        <v>East London</v>
      </c>
      <c r="M36" s="84" t="s">
        <v>3216</v>
      </c>
      <c r="N36" s="86">
        <v>41.827548999999998</v>
      </c>
      <c r="O36" s="86">
        <v>-72.553719000000001</v>
      </c>
      <c r="P36" s="84" t="str">
        <f t="shared" si="4"/>
        <v>Wapping</v>
      </c>
    </row>
    <row r="37" spans="1:16" ht="146.25" hidden="1">
      <c r="A37" s="84" t="s">
        <v>3048</v>
      </c>
      <c r="B37" s="84" t="s">
        <v>3049</v>
      </c>
      <c r="C37" s="84" t="s">
        <v>3194</v>
      </c>
      <c r="D37" s="84" t="s">
        <v>3195</v>
      </c>
      <c r="E37" s="84" t="s">
        <v>3196</v>
      </c>
      <c r="F37" s="84" t="s">
        <v>3197</v>
      </c>
      <c r="G37" s="84" t="s">
        <v>3106</v>
      </c>
      <c r="H37" s="86">
        <f>ROW()</f>
        <v>37</v>
      </c>
      <c r="I37" s="84" t="str">
        <f t="shared" si="0"/>
        <v>Westbourne Park</v>
      </c>
      <c r="J37" s="84" t="str">
        <f t="shared" si="1"/>
        <v>Westbourne Park</v>
      </c>
      <c r="K37" s="86" t="str">
        <f t="shared" si="2"/>
        <v>&lt;strong&gt;Westbourne Park&lt;/strong&gt;&lt;/br&gt;&lt;i&gt;current_condition&lt;/i&gt;&lt;br&gt;Demolished&lt;br&gt;&lt;i&gt;line&lt;/i&gt;&lt;br&gt;Metropolitan&lt;br&gt;&lt;i&gt;details&lt;/i&gt;&lt;br&gt;Closed when current station was opened in 1871</v>
      </c>
      <c r="L37" s="84" t="str">
        <f t="shared" si="3"/>
        <v>Metropolitan</v>
      </c>
      <c r="M37" s="84" t="s">
        <v>3214</v>
      </c>
      <c r="N37" s="86">
        <v>51.520167999999998</v>
      </c>
      <c r="O37" s="86">
        <v>-0.19972000000000001</v>
      </c>
      <c r="P37" s="84" t="str">
        <f t="shared" si="4"/>
        <v>Westbourne Park</v>
      </c>
    </row>
    <row r="38" spans="1:16" ht="135" hidden="1">
      <c r="A38" s="84" t="s">
        <v>3048</v>
      </c>
      <c r="B38" s="84" t="s">
        <v>3068</v>
      </c>
      <c r="C38" s="84" t="s">
        <v>3198</v>
      </c>
      <c r="D38" s="84" t="s">
        <v>3199</v>
      </c>
      <c r="E38" s="84" t="s">
        <v>3200</v>
      </c>
      <c r="F38" s="84" t="s">
        <v>3201</v>
      </c>
      <c r="G38" s="84" t="s">
        <v>3220</v>
      </c>
      <c r="H38" s="86">
        <f>ROW()</f>
        <v>38</v>
      </c>
      <c r="I38" s="84" t="str">
        <f t="shared" si="0"/>
        <v>White City</v>
      </c>
      <c r="J38" s="84" t="str">
        <f t="shared" si="1"/>
        <v>White City</v>
      </c>
      <c r="K38" s="86" t="str">
        <f t="shared" si="2"/>
        <v>&lt;strong&gt;White City&lt;/strong&gt;&lt;/br&gt;&lt;i&gt;current_condition&lt;/i&gt;&lt;br&gt;Demolished&lt;br&gt;&lt;i&gt;line&lt;/i&gt;&lt;br&gt;Hammersmith and City&lt;br&gt;&lt;i&gt;details&lt;/i&gt;&lt;br&gt;This station closed following a fire.</v>
      </c>
      <c r="L38" s="84" t="str">
        <f t="shared" si="3"/>
        <v>Hammersmith and City</v>
      </c>
      <c r="M38" s="84" t="s">
        <v>3217</v>
      </c>
      <c r="N38" s="86">
        <v>42.438308999999997</v>
      </c>
      <c r="O38" s="86">
        <v>-122.838387</v>
      </c>
      <c r="P38" s="84" t="str">
        <f t="shared" si="4"/>
        <v>White City</v>
      </c>
    </row>
    <row r="39" spans="1:16" ht="180" hidden="1">
      <c r="A39" s="84" t="s">
        <v>3048</v>
      </c>
      <c r="B39" s="84" t="s">
        <v>3049</v>
      </c>
      <c r="C39" s="84" t="s">
        <v>3203</v>
      </c>
      <c r="D39" s="84" t="s">
        <v>3202</v>
      </c>
      <c r="E39" s="84" t="s">
        <v>3204</v>
      </c>
      <c r="F39" s="84" t="s">
        <v>3205</v>
      </c>
      <c r="G39" s="84" t="s">
        <v>3067</v>
      </c>
      <c r="H39" s="86">
        <f>ROW()</f>
        <v>39</v>
      </c>
      <c r="I39" s="84" t="str">
        <f t="shared" si="0"/>
        <v>Wood Lane</v>
      </c>
      <c r="J39" s="84" t="str">
        <f t="shared" si="1"/>
        <v>Wood Lane</v>
      </c>
      <c r="K39" s="86" t="str">
        <f t="shared" si="2"/>
        <v>&lt;strong&gt;Wood Lane&lt;/strong&gt;&lt;/br&gt;&lt;i&gt;current_condition&lt;/i&gt;&lt;br&gt;Demolished&lt;br&gt;&lt;i&gt;line&lt;/i&gt;&lt;br&gt;Central&lt;br&gt;&lt;i&gt;details&lt;/i&gt;&lt;br&gt;This awkwardly arranged station was closed when its replacement, White City, opened to the north.</v>
      </c>
      <c r="L39" s="84" t="str">
        <f t="shared" si="3"/>
        <v>Central</v>
      </c>
      <c r="M39" s="84" t="s">
        <v>3212</v>
      </c>
      <c r="N39" s="86">
        <v>42.744323999999999</v>
      </c>
      <c r="O39" s="86">
        <v>-91.368697999999995</v>
      </c>
      <c r="P39" s="84" t="str">
        <f t="shared" si="4"/>
        <v>Wood Lane</v>
      </c>
    </row>
    <row r="40" spans="1:16" ht="12" hidden="1" customHeight="1">
      <c r="A40" s="84" t="s">
        <v>3206</v>
      </c>
      <c r="B40" s="84" t="s">
        <v>3068</v>
      </c>
      <c r="C40" s="84" t="s">
        <v>3207</v>
      </c>
      <c r="D40" s="84" t="s">
        <v>3208</v>
      </c>
      <c r="E40" s="84" t="s">
        <v>3065</v>
      </c>
      <c r="F40" s="84" t="s">
        <v>3209</v>
      </c>
      <c r="G40" s="84" t="s">
        <v>3061</v>
      </c>
      <c r="H40" s="86">
        <f>ROW()</f>
        <v>40</v>
      </c>
      <c r="I40" s="84" t="str">
        <f t="shared" si="0"/>
        <v>York Road</v>
      </c>
      <c r="J40" s="84" t="str">
        <f t="shared" si="1"/>
        <v>York Road</v>
      </c>
      <c r="K40" s="86" t="str">
        <f t="shared" si="2"/>
        <v>&lt;strong&gt;York Road&lt;/strong&gt;&lt;/br&gt;&lt;i&gt;current_condition&lt;/i&gt;&lt;br&gt;Building remains and platforms visible between King's Cross and Caledonian Road&lt;br&gt;&lt;i&gt;line&lt;/i&gt;&lt;br&gt;Piccadilly&lt;br&gt;&lt;i&gt;details&lt;/i&gt;&lt;br&gt;Closed due to low passenger numbers</v>
      </c>
      <c r="L40" s="84" t="str">
        <f t="shared" si="3"/>
        <v>Piccadilly</v>
      </c>
      <c r="M40" s="84" t="s">
        <v>3210</v>
      </c>
      <c r="N40" s="86">
        <v>39.810809999999996</v>
      </c>
      <c r="O40" s="86">
        <v>-76.945098999999999</v>
      </c>
      <c r="P40" s="84" t="str">
        <f t="shared" si="4"/>
        <v>York Road</v>
      </c>
    </row>
    <row r="234" spans="2:2" ht="11.25"/>
    <row r="235" spans="2:2" ht="12" customHeight="1">
      <c r="B235" s="85"/>
    </row>
    <row r="1341" spans="2:2" ht="11.25"/>
    <row r="1342" spans="2:2" ht="12" customHeight="1">
      <c r="B1342" s="85"/>
    </row>
    <row r="12418" spans="1:1" ht="11.25"/>
    <row r="12419" spans="1:1" ht="12" customHeight="1">
      <c r="A12419" s="85"/>
    </row>
    <row r="12471" spans="1:1" ht="11.25"/>
    <row r="12472" spans="1:1" ht="12" customHeight="1">
      <c r="A12472" s="85"/>
    </row>
    <row r="12530" spans="1:1" ht="11.25"/>
    <row r="12531" spans="1:1" ht="12" customHeight="1">
      <c r="A12531" s="85"/>
    </row>
    <row r="12537" spans="1:1" ht="11.25"/>
    <row r="12538" spans="1:1" ht="12" customHeight="1">
      <c r="A12538" s="85"/>
    </row>
    <row r="12616" spans="1:1" ht="11.25"/>
    <row r="12617" spans="1:1" ht="12" customHeight="1">
      <c r="A12617" s="85"/>
    </row>
    <row r="12830" spans="1:1" ht="11.25"/>
    <row r="12831" spans="1:1" ht="12" customHeight="1">
      <c r="A12831" s="85"/>
    </row>
    <row r="12833" spans="1:1" ht="11.25"/>
    <row r="12834" spans="1:1" ht="12" customHeight="1">
      <c r="A12834" s="85"/>
    </row>
    <row r="12835" spans="1:1" ht="11.25"/>
    <row r="12836" spans="1:1" ht="12" customHeight="1">
      <c r="A12836" s="85"/>
    </row>
    <row r="13013" spans="1:1" ht="11.25"/>
    <row r="13014" spans="1:1" ht="12" customHeight="1">
      <c r="A13014" s="85"/>
    </row>
    <row r="13015" spans="1:1" ht="11.25"/>
    <row r="13016" spans="1:1" ht="12" customHeight="1">
      <c r="A13016" s="85"/>
    </row>
    <row r="13102" spans="1:1" ht="11.25"/>
    <row r="13103" spans="1:1" ht="12" customHeight="1">
      <c r="A13103" s="85"/>
    </row>
    <row r="13333" spans="1:1" ht="11.25"/>
    <row r="13334" spans="1:1" ht="11.25">
      <c r="A13334" s="85"/>
    </row>
    <row r="13335" spans="1:1" ht="12" customHeight="1">
      <c r="A13335" s="85"/>
    </row>
    <row r="13758" spans="1:1" ht="11.25"/>
    <row r="13759" spans="1:1" ht="11.25">
      <c r="A13759" s="85"/>
    </row>
    <row r="13760" spans="1:1" ht="12" customHeight="1">
      <c r="A13760" s="85"/>
    </row>
    <row r="13828" spans="1:1" ht="11.25"/>
    <row r="13829" spans="1:1" ht="12" customHeight="1">
      <c r="A13829" s="85"/>
    </row>
    <row r="13865" spans="1:1" ht="11.25"/>
    <row r="13866" spans="1:1" ht="12" customHeight="1">
      <c r="A13866" s="85"/>
    </row>
    <row r="13885" spans="1:1" ht="11.25"/>
    <row r="13886" spans="1:1" ht="12" customHeight="1">
      <c r="A13886" s="85"/>
    </row>
    <row r="13983" spans="1:1" ht="11.25"/>
    <row r="13984" spans="1:1" ht="12" customHeight="1">
      <c r="A13984" s="85"/>
    </row>
    <row r="14009" spans="1:1" ht="11.25"/>
    <row r="14010" spans="1:1" ht="12" customHeight="1">
      <c r="A14010" s="85"/>
    </row>
    <row r="14307" spans="1:1" ht="11.25"/>
    <row r="14308" spans="1:1" ht="12" customHeight="1">
      <c r="A14308" s="85"/>
    </row>
    <row r="14360" spans="1:1" ht="11.25"/>
    <row r="14361" spans="1:1" ht="12" customHeight="1">
      <c r="A14361" s="85"/>
    </row>
    <row r="14440" spans="1:1" ht="11.25"/>
    <row r="14441" spans="1:1" ht="12" customHeight="1">
      <c r="A14441" s="85"/>
    </row>
    <row r="14528" ht="11.25"/>
    <row r="14529" spans="1:1" ht="12" customHeight="1">
      <c r="A14529" s="85"/>
    </row>
    <row r="14551" spans="1:1" ht="11.25"/>
    <row r="14552" spans="1:1" ht="12" customHeight="1">
      <c r="A14552" s="85"/>
    </row>
    <row r="14568" spans="1:1" ht="11.25"/>
    <row r="14569" spans="1:1" ht="12" customHeight="1">
      <c r="A14569" s="85"/>
    </row>
    <row r="14576" spans="1:1" ht="11.25"/>
    <row r="14577" spans="1:1" ht="12" customHeight="1">
      <c r="A14577" s="85"/>
    </row>
    <row r="14583" spans="1:1" ht="11.25"/>
    <row r="14584" spans="1:1" ht="12" customHeight="1">
      <c r="A14584" s="85"/>
    </row>
    <row r="14611" spans="1:1" ht="11.25"/>
    <row r="14612" spans="1:1" ht="12" customHeight="1">
      <c r="A14612" s="85"/>
    </row>
    <row r="14615" spans="1:1" ht="11.25"/>
    <row r="14616" spans="1:1" ht="12" customHeight="1">
      <c r="A14616" s="85"/>
    </row>
    <row r="14638" spans="1:1" ht="11.25"/>
    <row r="14639" spans="1:1" ht="11.25">
      <c r="A14639" s="85"/>
    </row>
    <row r="14640" spans="1:1" ht="12" customHeight="1">
      <c r="A14640" s="85"/>
    </row>
    <row r="14702" spans="1:1" ht="11.25"/>
    <row r="14703" spans="1:1" ht="12" customHeight="1">
      <c r="A14703" s="85"/>
    </row>
    <row r="15023" spans="1:1" ht="11.25"/>
    <row r="15024" spans="1:1" ht="12" customHeight="1">
      <c r="A15024" s="85"/>
    </row>
    <row r="15052" spans="1:1" ht="11.25"/>
    <row r="15053" spans="1:1" ht="12" customHeight="1">
      <c r="A15053" s="85"/>
    </row>
    <row r="15154" spans="1:1" ht="11.25"/>
    <row r="15155" spans="1:1" ht="12" customHeight="1">
      <c r="A15155" s="85"/>
    </row>
    <row r="15176" spans="1:1" ht="11.25"/>
    <row r="15177" spans="1:1" ht="12" customHeight="1">
      <c r="A15177" s="85"/>
    </row>
    <row r="15185" spans="1:1" ht="11.25"/>
    <row r="15186" spans="1:1" ht="12" customHeight="1">
      <c r="A15186" s="85"/>
    </row>
    <row r="15259" spans="1:1" ht="11.25"/>
    <row r="15260" spans="1:1" ht="12" customHeight="1">
      <c r="A15260" s="85"/>
    </row>
    <row r="15368" spans="1:1" ht="11.25"/>
    <row r="15369" spans="1:1" ht="12" customHeight="1">
      <c r="A15369" s="85"/>
    </row>
    <row r="15377" spans="1:1" ht="11.25"/>
    <row r="15378" spans="1:1" ht="12" customHeight="1">
      <c r="A15378" s="85"/>
    </row>
    <row r="15381" spans="1:1" ht="11.25"/>
    <row r="15382" spans="1:1" ht="12" customHeight="1">
      <c r="A15382" s="85"/>
    </row>
    <row r="15405" spans="1:1" ht="11.25"/>
    <row r="15406" spans="1:1" ht="12" customHeight="1">
      <c r="A15406" s="85"/>
    </row>
    <row r="15533" spans="1:1" ht="11.25"/>
    <row r="15534" spans="1:1" ht="12" customHeight="1">
      <c r="A15534" s="85"/>
    </row>
    <row r="15542" spans="1:1" ht="11.25"/>
    <row r="15543" spans="1:1" ht="12" customHeight="1">
      <c r="A15543" s="85"/>
    </row>
    <row r="15549" spans="1:1" ht="11.25"/>
    <row r="15550" spans="1:1" ht="12" customHeight="1">
      <c r="A15550" s="85"/>
    </row>
    <row r="15566" spans="1:1" ht="11.25"/>
    <row r="15567" spans="1:1" ht="12" customHeight="1">
      <c r="A15567" s="85"/>
    </row>
    <row r="15573" spans="1:1" ht="11.25"/>
    <row r="15574" spans="1:1" ht="12" customHeight="1">
      <c r="A15574" s="85"/>
    </row>
    <row r="15579" spans="1:1" ht="11.25"/>
    <row r="15580" spans="1:1" ht="12" customHeight="1">
      <c r="A15580" s="85"/>
    </row>
    <row r="15581" spans="1:1" ht="11.25"/>
    <row r="15582" spans="1:1" ht="12" customHeight="1">
      <c r="A15582" s="85"/>
    </row>
    <row r="15606" spans="1:1" ht="11.25"/>
    <row r="15607" spans="1:1" ht="12" customHeight="1">
      <c r="A15607" s="85"/>
    </row>
    <row r="15631" spans="1:1" ht="11.25"/>
    <row r="15632" spans="1:1" ht="11.25">
      <c r="A15632" s="85"/>
    </row>
    <row r="15633" spans="1:1" ht="12" customHeight="1">
      <c r="A15633" s="85"/>
    </row>
    <row r="15660" spans="1:1" ht="11.25"/>
    <row r="15661" spans="1:1" ht="12" customHeight="1">
      <c r="A15661" s="85"/>
    </row>
    <row r="15736" spans="1:1" ht="11.25"/>
    <row r="15737" spans="1:1" ht="12" customHeight="1">
      <c r="A15737" s="85"/>
    </row>
    <row r="15794" spans="1:1" ht="11.25"/>
    <row r="15795" spans="1:1" ht="12" customHeight="1">
      <c r="A15795" s="85"/>
    </row>
    <row r="15813" spans="1:1" ht="11.25"/>
    <row r="15814" spans="1:1" ht="12" customHeight="1">
      <c r="A15814" s="85"/>
    </row>
    <row r="16069" spans="1:1" ht="11.25"/>
    <row r="16070" spans="1:1" ht="12" customHeight="1">
      <c r="A16070" s="85"/>
    </row>
    <row r="16117" spans="1:1" ht="11.25"/>
    <row r="16118" spans="1:1" ht="12" customHeight="1">
      <c r="A16118" s="85"/>
    </row>
    <row r="16286" spans="1:1" ht="11.25"/>
    <row r="16287" spans="1:1" ht="12" customHeight="1">
      <c r="A16287" s="85"/>
    </row>
    <row r="16333" spans="1:1" ht="11.25"/>
    <row r="16334" spans="1:1" ht="11.25">
      <c r="A16334" s="85"/>
    </row>
    <row r="16335" spans="1:1" ht="12" customHeight="1">
      <c r="A16335" s="85"/>
    </row>
    <row r="16415" spans="1:1" ht="11.25"/>
    <row r="16416" spans="1:1" ht="12" customHeight="1">
      <c r="A16416" s="85"/>
    </row>
    <row r="16593" spans="1:1" ht="11.25"/>
    <row r="16594" spans="1:1" ht="12" customHeight="1">
      <c r="A16594" s="85"/>
    </row>
    <row r="16627" spans="1:1" ht="11.25"/>
    <row r="16628" spans="1:1" ht="12" customHeight="1">
      <c r="A16628" s="85"/>
    </row>
    <row r="16656" ht="11.25"/>
    <row r="16657" spans="1:1" ht="12" customHeight="1">
      <c r="A16657" s="85"/>
    </row>
  </sheetData>
  <autoFilter ref="A1:P40">
    <filterColumn colId="3">
      <filters>
        <filter val="Osterley &amp;amp; Spring Grove"/>
        <filter val="Park Royal &amp;amp; Twyford Abbey"/>
        <filter val="Shepherd's Bush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venuemaster</vt:lpstr>
      <vt:lpstr>geoCodingParameters</vt:lpstr>
      <vt:lpstr>Step by Step Master</vt:lpstr>
      <vt:lpstr>Step by Step Parameters</vt:lpstr>
      <vt:lpstr>Step by Step Transactions</vt:lpstr>
      <vt:lpstr>Step by Step Join</vt:lpstr>
      <vt:lpstr>OrgParameters</vt:lpstr>
      <vt:lpstr>FamilyParameters</vt:lpstr>
      <vt:lpstr>OrdersParameters</vt:lpstr>
      <vt:lpstr>VenuesParameters</vt:lpstr>
      <vt:lpstr>PalacesParameters</vt:lpstr>
      <vt:lpstr>f1Circuits</vt:lpstr>
      <vt:lpstr>f1Parameters</vt:lpstr>
      <vt:lpstr>f1Races</vt:lpstr>
      <vt:lpstr>f1MapThis</vt:lpstr>
      <vt:lpstr>ArtistMaster</vt:lpstr>
      <vt:lpstr>VenueMapping</vt:lpstr>
      <vt:lpstr>VenueTransactions</vt:lpstr>
      <vt:lpstr>CustomerMaster</vt:lpstr>
      <vt:lpstr>PalaceMaster</vt:lpstr>
      <vt:lpstr>DynastyMaster</vt:lpstr>
      <vt:lpstr>PalaceTransactions</vt:lpstr>
      <vt:lpstr>PalaceMapping</vt:lpstr>
      <vt:lpstr>OrdersMapping</vt:lpstr>
      <vt:lpstr>OrdersTransactions</vt:lpstr>
      <vt:lpstr>PeopleMapping</vt:lpstr>
      <vt:lpstr>Homes</vt:lpstr>
      <vt:lpstr>Families</vt:lpstr>
      <vt:lpstr>PeopleTransactions</vt:lpstr>
      <vt:lpstr>People</vt:lpstr>
      <vt:lpstr>Offices</vt:lpstr>
      <vt:lpstr>Functions</vt:lpstr>
      <vt:lpstr>Staff</vt:lpstr>
      <vt:lpstr>StaffMapping</vt:lpstr>
      <vt:lpstr>StaffTransactions</vt:lpstr>
      <vt:lpstr>API cObject names</vt:lpstr>
      <vt:lpstr>Bing API cObject names</vt:lpstr>
      <vt:lpstr>Yahoo API cObject names</vt:lpstr>
      <vt:lpstr>Debug</vt:lpstr>
      <vt:lpstr>f1</vt:lpstr>
      <vt:lpstr>Tube</vt:lpstr>
    </vt:vector>
  </TitlesOfParts>
  <Company>Motorola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fhk647</cp:lastModifiedBy>
  <dcterms:created xsi:type="dcterms:W3CDTF">2010-08-08T14:56:18Z</dcterms:created>
  <dcterms:modified xsi:type="dcterms:W3CDTF">2013-07-15T12:44:42Z</dcterms:modified>
</cp:coreProperties>
</file>