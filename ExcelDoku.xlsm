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2" defaultThemeVersion="124226"/>
  <bookViews>
    <workbookView xWindow="-450" yWindow="-315" windowWidth="12480" windowHeight="5955"/>
  </bookViews>
  <sheets>
    <sheet name="puzzle" sheetId="10" r:id="rId1"/>
    <sheet name="puzzleDump" sheetId="11" r:id="rId2"/>
    <sheet name="Sheet1" sheetId="8" r:id="rId3"/>
  </sheets>
  <functionGroups/>
  <calcPr calcId="125725"/>
</workbook>
</file>

<file path=xl/calcChain.xml><?xml version="1.0" encoding="utf-8"?>
<calcChain xmlns="http://schemas.openxmlformats.org/spreadsheetml/2006/main">
  <c r="I11" i="8"/>
  <c r="H11"/>
  <c r="F11"/>
  <c r="E11"/>
  <c r="D11"/>
  <c r="G10"/>
  <c r="G9"/>
  <c r="G8"/>
  <c r="G7"/>
  <c r="G6"/>
  <c r="G5"/>
  <c r="G4"/>
  <c r="G3"/>
  <c r="G2"/>
</calcChain>
</file>

<file path=xl/sharedStrings.xml><?xml version="1.0" encoding="utf-8"?>
<sst xmlns="http://schemas.openxmlformats.org/spreadsheetml/2006/main" count="30" uniqueCount="30">
  <si>
    <t>Section</t>
  </si>
  <si>
    <t>Iterations</t>
  </si>
  <si>
    <t>Total</t>
  </si>
  <si>
    <t>Max</t>
  </si>
  <si>
    <t>Min</t>
  </si>
  <si>
    <t>Average</t>
  </si>
  <si>
    <t>%age</t>
  </si>
  <si>
    <t>First</t>
  </si>
  <si>
    <t>Last</t>
  </si>
  <si>
    <t>Procedure</t>
  </si>
  <si>
    <t>Created</t>
  </si>
  <si>
    <t>apProfiler_1</t>
  </si>
  <si>
    <t>Proc:resetPossibilities</t>
  </si>
  <si>
    <t>(cSudGrid) Proc:resetPossibilities</t>
  </si>
  <si>
    <t>Proc:generate</t>
  </si>
  <si>
    <t>Proc:cover</t>
  </si>
  <si>
    <t>(cSudPuzzle) Proc:cover</t>
  </si>
  <si>
    <t>(Sud) Proc:generate</t>
  </si>
  <si>
    <t>Proc:makeSureEliminations</t>
  </si>
  <si>
    <t>(cSudSolver) Proc:makeSureEliminations</t>
  </si>
  <si>
    <t>Proc:makeReductions</t>
  </si>
  <si>
    <t>(cSudSolver) Proc:makeReductions</t>
  </si>
  <si>
    <t>Proc:makexWing</t>
  </si>
  <si>
    <t>(cSudSolver) Proc:makexWing</t>
  </si>
  <si>
    <t>Proc:xWing</t>
  </si>
  <si>
    <t>(cSudSolver) Proc:xWing</t>
  </si>
  <si>
    <t>Proc:xyWing</t>
  </si>
  <si>
    <t>(cSudSolver) Proc:xyWing</t>
  </si>
  <si>
    <t>Proc:soak</t>
  </si>
  <si>
    <t>(Sud) Proc:soak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</si>
</sst>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"/>
  </numFmts>
  <fonts count="6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2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22" fontId="1" fillId="0" borderId="0" xfId="0" applyNumberFormat="1" applyFont="1"/>
    <xf numFmtId="9" fontId="1" fillId="0" borderId="0" xfId="2" applyFont="1"/>
    <xf numFmtId="164" fontId="1" fillId="0" borderId="0" xfId="0" applyNumberFormat="1" applyFont="1"/>
    <xf numFmtId="0" fontId="4" fillId="2" borderId="0" xfId="0" applyFont="1" applyFill="1"/>
    <xf numFmtId="9" fontId="4" fillId="2" borderId="0" xfId="2" applyFont="1" applyFill="1"/>
    <xf numFmtId="164" fontId="4" fillId="2" borderId="0" xfId="0" applyNumberFormat="1" applyFont="1" applyFill="1"/>
    <xf numFmtId="165" fontId="1" fillId="0" borderId="0" xfId="0" applyNumberFormat="1" applyFont="1"/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</cellXfs>
  <cellStyles count="3">
    <cellStyle name="Normal" xfId="0" builtinId="0"/>
    <cellStyle name="Normal 5 2" xfId="1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tabSelected="1" workbookViewId="0">
      <selection activeCell="F30" sqref="F30"/>
    </sheetView>
  </sheetViews>
  <sheetFormatPr defaultRowHeight="15"/>
  <sheetData/>
  <pageMargins left="0.7" right="0.7" top="0.75" bottom="0.75" header="0.3" footer="0.3"/>
  <legacyDrawing r:id="rId1"/>
  <controls>
    <control shapeId="2049" r:id="rId2" name="cbShow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I10"/>
  <sheetViews>
    <sheetView workbookViewId="0">
      <selection activeCell="M4" sqref="M4"/>
    </sheetView>
  </sheetViews>
  <sheetFormatPr defaultRowHeight="15"/>
  <cols>
    <col min="1" max="9" width="5.7109375" customWidth="1"/>
  </cols>
  <sheetData>
    <row r="1" spans="1:9" ht="30" customHeight="1">
      <c r="A1" s="9"/>
      <c r="B1" s="10"/>
      <c r="C1" s="26"/>
      <c r="D1" s="27"/>
      <c r="E1" s="10">
        <v>1</v>
      </c>
      <c r="F1" s="26">
        <v>7</v>
      </c>
      <c r="G1" s="27"/>
      <c r="H1" s="10"/>
      <c r="I1" s="11"/>
    </row>
    <row r="2" spans="1:9" ht="30" customHeight="1">
      <c r="A2" s="12">
        <v>4</v>
      </c>
      <c r="B2" s="13"/>
      <c r="C2" s="22"/>
      <c r="D2" s="21"/>
      <c r="E2" s="13"/>
      <c r="F2" s="22"/>
      <c r="G2" s="21">
        <v>5</v>
      </c>
      <c r="H2" s="13"/>
      <c r="I2" s="14"/>
    </row>
    <row r="3" spans="1:9" ht="30" customHeight="1">
      <c r="A3" s="28"/>
      <c r="B3" s="24"/>
      <c r="C3" s="25">
        <v>9</v>
      </c>
      <c r="D3" s="23"/>
      <c r="E3" s="24"/>
      <c r="F3" s="25"/>
      <c r="G3" s="23"/>
      <c r="H3" s="24"/>
      <c r="I3" s="29"/>
    </row>
    <row r="4" spans="1:9" ht="30" customHeight="1">
      <c r="A4" s="30"/>
      <c r="B4" s="19"/>
      <c r="C4" s="20"/>
      <c r="D4" s="18"/>
      <c r="E4" s="19"/>
      <c r="F4" s="20">
        <v>1</v>
      </c>
      <c r="G4" s="18"/>
      <c r="H4" s="19">
        <v>9</v>
      </c>
      <c r="I4" s="31"/>
    </row>
    <row r="5" spans="1:9" ht="30" customHeight="1">
      <c r="A5" s="12"/>
      <c r="B5" s="13"/>
      <c r="C5" s="22">
        <v>5</v>
      </c>
      <c r="D5" s="21">
        <v>7</v>
      </c>
      <c r="E5" s="13">
        <v>8</v>
      </c>
      <c r="F5" s="22"/>
      <c r="G5" s="21"/>
      <c r="H5" s="13"/>
      <c r="I5" s="14"/>
    </row>
    <row r="6" spans="1:9" ht="30" customHeight="1">
      <c r="A6" s="28">
        <v>1</v>
      </c>
      <c r="B6" s="24"/>
      <c r="C6" s="25"/>
      <c r="D6" s="23">
        <v>2</v>
      </c>
      <c r="E6" s="24"/>
      <c r="F6" s="25"/>
      <c r="G6" s="23"/>
      <c r="H6" s="24"/>
      <c r="I6" s="29">
        <v>6</v>
      </c>
    </row>
    <row r="7" spans="1:9" ht="30" customHeight="1">
      <c r="A7" s="30">
        <v>5</v>
      </c>
      <c r="B7" s="19"/>
      <c r="C7" s="20">
        <v>4</v>
      </c>
      <c r="D7" s="18"/>
      <c r="E7" s="19">
        <v>2</v>
      </c>
      <c r="F7" s="20"/>
      <c r="G7" s="18"/>
      <c r="H7" s="19"/>
      <c r="I7" s="31">
        <v>3</v>
      </c>
    </row>
    <row r="8" spans="1:9" ht="30" customHeight="1">
      <c r="A8" s="12">
        <v>2</v>
      </c>
      <c r="B8" s="13"/>
      <c r="C8" s="22"/>
      <c r="D8" s="21"/>
      <c r="E8" s="13">
        <v>3</v>
      </c>
      <c r="F8" s="22">
        <v>8</v>
      </c>
      <c r="G8" s="21"/>
      <c r="H8" s="13">
        <v>6</v>
      </c>
      <c r="I8" s="14">
        <v>4</v>
      </c>
    </row>
    <row r="9" spans="1:9" ht="30" customHeight="1" thickBot="1">
      <c r="A9" s="15"/>
      <c r="B9" s="16">
        <v>1</v>
      </c>
      <c r="C9" s="32">
        <v>3</v>
      </c>
      <c r="D9" s="33"/>
      <c r="E9" s="16"/>
      <c r="F9" s="32">
        <v>9</v>
      </c>
      <c r="G9" s="33"/>
      <c r="H9" s="16">
        <v>5</v>
      </c>
      <c r="I9" s="17"/>
    </row>
    <row r="10" spans="1:9" ht="30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K17"/>
  <sheetViews>
    <sheetView workbookViewId="0">
      <selection activeCell="E25" sqref="E25"/>
    </sheetView>
  </sheetViews>
  <sheetFormatPr defaultRowHeight="15"/>
  <cols>
    <col min="1" max="1" width="27.140625" customWidth="1"/>
    <col min="7" max="7" width="4.7109375" bestFit="1" customWidth="1"/>
    <col min="8" max="9" width="13.28515625" bestFit="1" customWidth="1"/>
    <col min="10" max="10" width="26.7109375" bestFit="1" customWidth="1"/>
    <col min="11" max="11" width="16.42578125" customWidth="1"/>
  </cols>
  <sheetData>
    <row r="1" spans="1:11">
      <c r="A1" s="5" t="s">
        <v>0</v>
      </c>
      <c r="B1" s="5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6" t="s">
        <v>6</v>
      </c>
      <c r="H1" s="5" t="s">
        <v>7</v>
      </c>
      <c r="I1" s="5" t="s">
        <v>8</v>
      </c>
      <c r="J1" s="5" t="s">
        <v>9</v>
      </c>
      <c r="K1" s="5" t="s">
        <v>10</v>
      </c>
    </row>
    <row r="2" spans="1:11">
      <c r="A2" s="1" t="s">
        <v>28</v>
      </c>
      <c r="B2" s="1">
        <v>1</v>
      </c>
      <c r="C2" s="4">
        <v>114.32926</v>
      </c>
      <c r="D2" s="4">
        <v>114.32926</v>
      </c>
      <c r="E2" s="4">
        <v>114.32926</v>
      </c>
      <c r="F2" s="8">
        <v>114.32926</v>
      </c>
      <c r="G2" s="3">
        <f>$C$2/$C$11</f>
        <v>0.99999947520023746</v>
      </c>
      <c r="H2" s="2">
        <v>40498.534768518519</v>
      </c>
      <c r="I2" s="2">
        <v>40498.536087962966</v>
      </c>
      <c r="J2" s="1" t="s">
        <v>29</v>
      </c>
      <c r="K2" s="2">
        <v>40498.534768518519</v>
      </c>
    </row>
    <row r="3" spans="1:11">
      <c r="A3" s="1" t="s">
        <v>14</v>
      </c>
      <c r="B3" s="1">
        <v>20</v>
      </c>
      <c r="C3" s="4">
        <v>114.32907</v>
      </c>
      <c r="D3" s="4">
        <v>13.39757</v>
      </c>
      <c r="E3" s="4">
        <v>2.8370500000000001</v>
      </c>
      <c r="F3" s="8">
        <v>5.71645</v>
      </c>
      <c r="G3" s="3">
        <f>$C$3/$C$11</f>
        <v>0.99999781333432236</v>
      </c>
      <c r="H3" s="2">
        <v>40498.534768518519</v>
      </c>
      <c r="I3" s="2">
        <v>40498.536087962966</v>
      </c>
      <c r="J3" s="1" t="s">
        <v>17</v>
      </c>
      <c r="K3" s="2">
        <v>40498.534768518519</v>
      </c>
    </row>
    <row r="4" spans="1:11">
      <c r="A4" s="1" t="s">
        <v>18</v>
      </c>
      <c r="B4" s="1">
        <v>4895</v>
      </c>
      <c r="C4" s="4">
        <v>20.893920000000001</v>
      </c>
      <c r="D4" s="4">
        <v>9.2800000000000001E-3</v>
      </c>
      <c r="E4" s="4">
        <v>1.32E-3</v>
      </c>
      <c r="F4" s="8">
        <v>4.2700000000000004E-3</v>
      </c>
      <c r="G4" s="3">
        <f>$C$4/$C$11</f>
        <v>0.18275207094733006</v>
      </c>
      <c r="H4" s="2">
        <v>40498.534768518519</v>
      </c>
      <c r="I4" s="2">
        <v>40498.536087962966</v>
      </c>
      <c r="J4" s="1" t="s">
        <v>19</v>
      </c>
      <c r="K4" s="2">
        <v>40498.534768518519</v>
      </c>
    </row>
    <row r="5" spans="1:11">
      <c r="A5" s="1" t="s">
        <v>20</v>
      </c>
      <c r="B5" s="1">
        <v>4875</v>
      </c>
      <c r="C5" s="4">
        <v>5.3059700000000003</v>
      </c>
      <c r="D5" s="4">
        <v>2.8700000000000002E-3</v>
      </c>
      <c r="E5" s="4">
        <v>1E-4</v>
      </c>
      <c r="F5" s="8">
        <v>1.09E-3</v>
      </c>
      <c r="G5" s="3">
        <f>$C$5/$C$11</f>
        <v>4.6409529943849927E-2</v>
      </c>
      <c r="H5" s="2">
        <v>40498.534768518519</v>
      </c>
      <c r="I5" s="2">
        <v>40498.536087962966</v>
      </c>
      <c r="J5" s="1" t="s">
        <v>21</v>
      </c>
      <c r="K5" s="2">
        <v>40498.534768518519</v>
      </c>
    </row>
    <row r="6" spans="1:11">
      <c r="A6" s="1" t="s">
        <v>22</v>
      </c>
      <c r="B6" s="1">
        <v>4875</v>
      </c>
      <c r="C6" s="4">
        <v>0.90410999999999997</v>
      </c>
      <c r="D6" s="4">
        <v>9.6000000000000002E-4</v>
      </c>
      <c r="E6" s="4">
        <v>5.0000000000000002E-5</v>
      </c>
      <c r="F6" s="8">
        <v>1.9000000000000001E-4</v>
      </c>
      <c r="G6" s="3">
        <f>$C$6/$C$11</f>
        <v>7.9079452234999733E-3</v>
      </c>
      <c r="H6" s="2">
        <v>40498.534768518519</v>
      </c>
      <c r="I6" s="2">
        <v>40498.536087962966</v>
      </c>
      <c r="J6" s="1" t="s">
        <v>23</v>
      </c>
      <c r="K6" s="2">
        <v>40498.534768518519</v>
      </c>
    </row>
    <row r="7" spans="1:11">
      <c r="A7" s="1" t="s">
        <v>24</v>
      </c>
      <c r="B7" s="1">
        <v>13434</v>
      </c>
      <c r="C7" s="4">
        <v>30.349260000000001</v>
      </c>
      <c r="D7" s="4">
        <v>1.6619999999999999E-2</v>
      </c>
      <c r="E7" s="4">
        <v>2.0000000000000002E-5</v>
      </c>
      <c r="F7" s="8">
        <v>2.2599999999999999E-3</v>
      </c>
      <c r="G7" s="3">
        <f>$C$7/$C$11</f>
        <v>0.26545474074366926</v>
      </c>
      <c r="H7" s="2">
        <v>40498.534768518519</v>
      </c>
      <c r="I7" s="2">
        <v>40498.536087962966</v>
      </c>
      <c r="J7" s="1" t="s">
        <v>25</v>
      </c>
      <c r="K7" s="2">
        <v>40498.534768518519</v>
      </c>
    </row>
    <row r="8" spans="1:11">
      <c r="A8" s="1" t="s">
        <v>26</v>
      </c>
      <c r="B8" s="1">
        <v>4875</v>
      </c>
      <c r="C8" s="4">
        <v>19.982690000000002</v>
      </c>
      <c r="D8" s="4">
        <v>2.0029999999999999E-2</v>
      </c>
      <c r="E8" s="4">
        <v>4.0000000000000003E-5</v>
      </c>
      <c r="F8" s="8">
        <v>4.1000000000000003E-3</v>
      </c>
      <c r="G8" s="3">
        <f>$C$8/$C$11</f>
        <v>0.17478184948532891</v>
      </c>
      <c r="H8" s="2">
        <v>40498.534768518519</v>
      </c>
      <c r="I8" s="2">
        <v>40498.536087962966</v>
      </c>
      <c r="J8" s="1" t="s">
        <v>27</v>
      </c>
      <c r="K8" s="2">
        <v>40498.534768518519</v>
      </c>
    </row>
    <row r="9" spans="1:11">
      <c r="A9" s="1" t="s">
        <v>15</v>
      </c>
      <c r="B9" s="1">
        <v>20</v>
      </c>
      <c r="C9" s="4">
        <v>84.640839999999997</v>
      </c>
      <c r="D9" s="4">
        <v>12.109170000000001</v>
      </c>
      <c r="E9" s="4">
        <v>1.2833000000000001</v>
      </c>
      <c r="F9" s="8">
        <v>4.2320399999999996</v>
      </c>
      <c r="G9" s="3">
        <f>$C$9/$C$11</f>
        <v>0.74032487904240141</v>
      </c>
      <c r="H9" s="2">
        <v>40498.534780092596</v>
      </c>
      <c r="I9" s="2">
        <v>40498.536087962966</v>
      </c>
      <c r="J9" s="1" t="s">
        <v>16</v>
      </c>
      <c r="K9" s="2">
        <v>40498.534780092596</v>
      </c>
    </row>
    <row r="10" spans="1:11">
      <c r="A10" s="1" t="s">
        <v>12</v>
      </c>
      <c r="B10" s="1">
        <v>320</v>
      </c>
      <c r="C10" s="4">
        <v>0.49836000000000003</v>
      </c>
      <c r="D10" s="4">
        <v>2.49E-3</v>
      </c>
      <c r="E10" s="4">
        <v>5.8E-4</v>
      </c>
      <c r="F10" s="8">
        <v>1.56E-3</v>
      </c>
      <c r="G10" s="3">
        <f>$C$10/$C$11</f>
        <v>4.3589868285755576E-3</v>
      </c>
      <c r="H10" s="2">
        <v>40498.534780092596</v>
      </c>
      <c r="I10" s="2">
        <v>40498.536087962966</v>
      </c>
      <c r="J10" s="1" t="s">
        <v>13</v>
      </c>
      <c r="K10" s="2">
        <v>40498.534780092596</v>
      </c>
    </row>
    <row r="11" spans="1:11">
      <c r="A11" s="1" t="s">
        <v>11</v>
      </c>
      <c r="B11" s="1">
        <v>1</v>
      </c>
      <c r="C11" s="4">
        <v>114.32932</v>
      </c>
      <c r="D11" s="4">
        <f>MAX($D$1:$D$10)</f>
        <v>114.32926</v>
      </c>
      <c r="E11" s="4">
        <f>MIN($E$1:$E$10)</f>
        <v>2.0000000000000002E-5</v>
      </c>
      <c r="F11" s="8">
        <f>AVERAGE($F$1:$F$10)</f>
        <v>13.810135555555556</v>
      </c>
      <c r="G11" s="3"/>
      <c r="H11" s="2">
        <f>MIN($H$1:$H$10)</f>
        <v>40498.534768518519</v>
      </c>
      <c r="I11" s="2">
        <f>MAX($I$1:$I$10)</f>
        <v>40498.536087962966</v>
      </c>
      <c r="J11" s="1"/>
      <c r="K11" s="2">
        <v>40498.534768518519</v>
      </c>
    </row>
    <row r="12" spans="1:11">
      <c r="A12" s="1"/>
      <c r="B12" s="1"/>
      <c r="C12" s="4"/>
      <c r="D12" s="4"/>
      <c r="E12" s="4"/>
      <c r="F12" s="8"/>
      <c r="G12" s="3"/>
      <c r="H12" s="2"/>
      <c r="I12" s="2"/>
      <c r="J12" s="1"/>
      <c r="K12" s="2"/>
    </row>
    <row r="13" spans="1:11">
      <c r="A13" s="1"/>
      <c r="B13" s="1"/>
      <c r="C13" s="4"/>
      <c r="D13" s="4"/>
      <c r="E13" s="4"/>
      <c r="F13" s="8"/>
      <c r="G13" s="3"/>
      <c r="H13" s="2"/>
      <c r="I13" s="2"/>
      <c r="J13" s="1"/>
      <c r="K13" s="2"/>
    </row>
    <row r="14" spans="1:11">
      <c r="A14" s="1"/>
      <c r="B14" s="1"/>
      <c r="C14" s="4"/>
      <c r="D14" s="4"/>
      <c r="E14" s="4"/>
      <c r="F14" s="8"/>
      <c r="G14" s="3"/>
      <c r="H14" s="2"/>
      <c r="I14" s="2"/>
      <c r="J14" s="1"/>
      <c r="K14" s="2"/>
    </row>
    <row r="15" spans="1:11">
      <c r="A15" s="1"/>
      <c r="B15" s="1"/>
      <c r="C15" s="4"/>
      <c r="D15" s="4"/>
      <c r="E15" s="4"/>
      <c r="F15" s="8"/>
      <c r="G15" s="3"/>
      <c r="H15" s="2"/>
      <c r="I15" s="2"/>
      <c r="J15" s="1"/>
      <c r="K15" s="2"/>
    </row>
    <row r="16" spans="1:11">
      <c r="A16" s="1"/>
      <c r="B16" s="1"/>
      <c r="C16" s="4"/>
      <c r="D16" s="4"/>
      <c r="E16" s="4"/>
      <c r="F16" s="8"/>
      <c r="H16" s="2"/>
      <c r="I16" s="2"/>
      <c r="K16" s="2"/>
    </row>
    <row r="17" spans="11:11">
      <c r="K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puzzle</vt:lpstr>
      <vt:lpstr>puzzleDump</vt:lpstr>
      <vt:lpstr>Sheet1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fhk647</cp:lastModifiedBy>
  <dcterms:created xsi:type="dcterms:W3CDTF">2010-08-08T14:56:18Z</dcterms:created>
  <dcterms:modified xsi:type="dcterms:W3CDTF">2013-01-30T19:18:16Z</dcterms:modified>
</cp:coreProperties>
</file>